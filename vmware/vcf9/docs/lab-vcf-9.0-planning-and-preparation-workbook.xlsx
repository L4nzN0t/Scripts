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docs.live.net/465401cde172eedf/Trabalho/Norwegian Cruise Line/"/>
    </mc:Choice>
  </mc:AlternateContent>
  <xr:revisionPtr revIDLastSave="184" documentId="13_ncr:1_{66DE4402-5EF6-4DBB-825D-185DD2BA75E1}" xr6:coauthVersionLast="47" xr6:coauthVersionMax="47" xr10:uidLastSave="{2124D361-E943-4C20-BB35-96DE858E04AD}"/>
  <workbookProtection workbookAlgorithmName="SHA-512" workbookHashValue="/X8SwjjrqetnX+PH6dIGpYJLBsddw/cv31/a3Ethq5OJd+VGi6ZeV2FP+/PP/EN4E7WN5suWUMYQAz3RrMGyxw==" workbookSaltValue="Y9LCIanNnFD8UMIv0u98jQ==" workbookSpinCount="100000" lockStructure="1"/>
  <bookViews>
    <workbookView xWindow="-120" yWindow="-120" windowWidth="29040" windowHeight="15720" activeTab="4"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Arkham" sheetId="123" state="hidden" r:id="rId8"/>
    <sheet name="Configure Workload Domain" sheetId="109" r:id="rId9"/>
    <sheet name="Deploy Cluster" sheetId="115" r:id="rId10"/>
    <sheet name="Change Control" sheetId="126" state="hidden" r:id="rId11"/>
    <sheet name="Value Reference Tables - MR" sheetId="87" state="hidden" r:id="rId12"/>
    <sheet name="Value Reference Tables" sheetId="63" state="hidden" r:id="rId13"/>
    <sheet name="Static Reference Tables" sheetId="56" state="hidden" r:id="rId14"/>
    <sheet name="Dumping Ground" sheetId="120" state="hidden" r:id="rId15"/>
    <sheet name="Additional Racks" sheetId="117" r:id="rId16"/>
    <sheet name="Site Protection &amp; DR" sheetId="75" r:id="rId17"/>
    <sheet name="On-Premises Ransomware Recovery" sheetId="119" r:id="rId18"/>
    <sheet name="Management Domain As Built" sheetId="113" r:id="rId19"/>
    <sheet name="Workload Domain As Built" sheetId="116" r:id="rId20"/>
    <sheet name="Public Reference Sheet" sheetId="112" state="hidden" r:id="rId21"/>
    <sheet name="Version History" sheetId="122" r:id="rId22"/>
    <sheet name="Private AI Ready Infrastructure" sheetId="95" state="hidden" r:id="rId23"/>
    <sheet name="Cloud-Based Ransomware Recovery" sheetId="86" state="hidden" r:id="rId24"/>
    <sheet name="Cross Cloud Mobility" sheetId="85" state="hidden" r:id="rId25"/>
    <sheet name="Active Directory Inputs" sheetId="34" state="hidden" r:id="rId26"/>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ange_control_new">'Change Control'!$B$2:$B$100</definedName>
    <definedName name="change_control_old">'Change Control'!$C$2:$C$100</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Tables'!$I$163</definedName>
    <definedName name="cluster_az1_host_overlay_gateway_ip">'Value Reference Tables'!$I$166</definedName>
    <definedName name="cluster_az1_host_overlay_network_pool_description">'Value Reference Tables'!$I$162</definedName>
    <definedName name="cluster_az1_host_overlay_network_pool_name">'Value Reference Tables'!$I$161</definedName>
    <definedName name="cluster_az1_host_overlay_network_profile_name">'Value Reference Tables'!$I$109</definedName>
    <definedName name="cluster_az1_host_overlay_new_pool_chosen">'Deploy Cluster'!$D$233</definedName>
    <definedName name="cluster_az1_host_overlay_pool_end_ip">'Value Reference Tables'!$I$165</definedName>
    <definedName name="cluster_az1_host_overlay_pool_start_ip">'Value Reference Tables'!$I$164</definedName>
    <definedName name="cluster_az1_host_overlay_transport_zone">'Value Reference Tables'!$I$157</definedName>
    <definedName name="cluster_az1_host_overlay_uplink_profile_name">'Value Reference Tables'!$I$171</definedName>
    <definedName name="cluster_az1_host_overlay_vlan">'Value Reference Tables'!$I$158</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Cluster'!$D$201</definedName>
    <definedName name="cluster_az1_mgmt_mtu">'Value Reference Tables'!$I$15</definedName>
    <definedName name="cluster_az1_mgmt_pg">'Value Reference Tables'!$I$127</definedName>
    <definedName name="cluster_az1_mgmt_uplink1_chosen">'Deploy Cluster'!$D$202</definedName>
    <definedName name="cluster_az1_mgmt_uplink2_chosen">'Deploy Cluster'!$D$203</definedName>
    <definedName name="cluster_az1_mgmt_vlan">'Value Reference Tables'!$I$12</definedName>
    <definedName name="cluster_az1_mgmt_vm_lbt_chosen">'Deploy Cluster'!$D$206</definedName>
    <definedName name="cluster_az1_mgmt_vm_pg">'Value Reference Tables'!$I$132</definedName>
    <definedName name="cluster_az1_mgmt_vm_uplink1_chosen">'Deploy Cluster'!$D$207</definedName>
    <definedName name="cluster_az1_mgmt_vm_uplink2_chosen">'Deploy Cluster'!$D$208</definedName>
    <definedName name="cluster_az1_nsx_lbt_chosen">'Deploy Cluster'!$D$247</definedName>
    <definedName name="cluster_az1_nsx_uplink_count">'Value Reference Tables'!$I$168</definedName>
    <definedName name="cluster_az1_nsx_uplink1">'Value Reference Tables'!$I$169</definedName>
    <definedName name="cluster_az1_nsx_uplink1_active">'Value Reference Tables'!$I$173</definedName>
    <definedName name="cluster_az1_nsx_uplink2">'Value Reference Tables'!$I$170</definedName>
    <definedName name="cluster_az1_nsx_uplink2_active">'Value Reference Tables'!$I$174</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Cluster'!$D$216</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Tables'!$I$142</definedName>
    <definedName name="cluster_az1_principal_storage_pool_end_ip">'Value Reference Tables'!$I$33</definedName>
    <definedName name="cluster_az1_principal_storage_pool_start_ip">'Value Reference Tables'!$I$32</definedName>
    <definedName name="cluster_az1_principal_storage_uplink1_chosen">'Deploy Cluster'!$D$217</definedName>
    <definedName name="cluster_az1_principal_storage_uplink2_chosen">'Deploy Cluster'!$D$218</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Cluster'!$D$211</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Tables'!$I$137</definedName>
    <definedName name="cluster_az1_vmotion_pool_end_ip">'Value Reference Tables'!$I$24</definedName>
    <definedName name="cluster_az1_vmotion_pool_start_ip">'Value Reference Tables'!$I$23</definedName>
    <definedName name="cluster_az1_vmotion_uplink1_chosen">'Deploy Cluster'!$D$212</definedName>
    <definedName name="cluster_az1_vmotion_uplink2_chosen">'Deploy Cluster'!$D$213</definedName>
    <definedName name="cluster_az1_vmotion_vlan">'Value Reference Tables'!$I$17</definedName>
    <definedName name="cluster_az1_vsan_storage_client_lbt_chosen">'Deploy Cluster'!$D$221</definedName>
    <definedName name="cluster_az1_vsan_storage_client_pg">'Value Reference Tables'!$I$147</definedName>
    <definedName name="cluster_az1_vsan_storage_client_uplink1">'Deploy Cluster'!$D$222</definedName>
    <definedName name="cluster_az1_vsan_storage_client_uplink2">'Deploy Cluster'!$D$223</definedName>
    <definedName name="cluster_az2_host_fqdns">'Value Reference Tables'!$I$292:$I$307</definedName>
    <definedName name="cluster_az2_host_mgmt_ips">'Value Reference Tables'!$I$205:$I$220</definedName>
    <definedName name="cluster_az2_host_overlay_cidr">'Value Reference Tables'!$I$286</definedName>
    <definedName name="cluster_az2_host_overlay_gateway_ip">'Value Reference Tables'!$I$287</definedName>
    <definedName name="cluster_az2_host_overlay_network_pool_name">'Value Reference Tables'!$I$283</definedName>
    <definedName name="cluster_az2_host_overlay_network_profile_name">'Value Reference Tables'!$I$282</definedName>
    <definedName name="cluster_az2_host_overlay_new_pool_chosen">'Deploy Cluster'!$D$406</definedName>
    <definedName name="cluster_az2_host_overlay_pool_end_ip">'Value Reference Tables'!$I$289</definedName>
    <definedName name="cluster_az2_host_overlay_pool_start_ip">'Value Reference Tables'!$I$288</definedName>
    <definedName name="cluster_az2_host_overlay_uplink_profile_name">'Value Reference Tables'!$I$284</definedName>
    <definedName name="cluster_az2_host_overlay_vlan">'Value Reference Tables'!$I$285</definedName>
    <definedName name="cluster_az2_host1_fqdn">'Value Reference Tables'!$I$292</definedName>
    <definedName name="cluster_az2_host1_mgmt_ip">'Value Reference Tables'!$I$205</definedName>
    <definedName name="cluster_az2_host10_fqdn">'Value Reference Tables'!$I$301</definedName>
    <definedName name="cluster_az2_host10_mgmt_ip">'Value Reference Tables'!$I$214</definedName>
    <definedName name="cluster_az2_host11_fqdn">'Value Reference Tables'!$I$302</definedName>
    <definedName name="cluster_az2_host11_mgmt_ip">'Value Reference Tables'!$I$215</definedName>
    <definedName name="cluster_az2_host12_fqdn">'Value Reference Tables'!$I$303</definedName>
    <definedName name="cluster_az2_host12_mgmt_ip">'Value Reference Tables'!$I$216</definedName>
    <definedName name="cluster_az2_host13_fqdn">'Value Reference Tables'!$I$304</definedName>
    <definedName name="cluster_az2_host13_mgmt_ip">'Value Reference Tables'!$I$217</definedName>
    <definedName name="cluster_az2_host14_fqdn">'Value Reference Tables'!$I$305</definedName>
    <definedName name="cluster_az2_host14_mgmt_ip">'Value Reference Tables'!$I$218</definedName>
    <definedName name="cluster_az2_host15_fqdn">'Value Reference Tables'!$I$306</definedName>
    <definedName name="cluster_az2_host15_mgmt_ip">'Value Reference Tables'!$I$219</definedName>
    <definedName name="cluster_az2_host16_fqdn">'Value Reference Tables'!$I$307</definedName>
    <definedName name="cluster_az2_host16_mgmt_ip">'Value Reference Tables'!$I$220</definedName>
    <definedName name="cluster_az2_host2_fqdn">'Value Reference Tables'!$I$293</definedName>
    <definedName name="cluster_az2_host2_mgmt_ip">'Value Reference Tables'!$I$206</definedName>
    <definedName name="cluster_az2_host3_fqdn">'Value Reference Tables'!$I$294</definedName>
    <definedName name="cluster_az2_host3_mgmt_ip">'Value Reference Tables'!$I$207</definedName>
    <definedName name="cluster_az2_host4_fqdn">'Value Reference Tables'!$I$295</definedName>
    <definedName name="cluster_az2_host4_mgmt_ip">'Value Reference Tables'!$I$208</definedName>
    <definedName name="cluster_az2_host5_fqdn">'Value Reference Tables'!$I$296</definedName>
    <definedName name="cluster_az2_host5_mgmt_ip">'Value Reference Tables'!$I$209</definedName>
    <definedName name="cluster_az2_host6_fqdn">'Value Reference Tables'!$I$297</definedName>
    <definedName name="cluster_az2_host6_mgmt_ip">'Value Reference Tables'!$I$210</definedName>
    <definedName name="cluster_az2_host7_fqdn">'Value Reference Tables'!$I$298</definedName>
    <definedName name="cluster_az2_host7_mgmt_ip">'Value Reference Tables'!$I$211</definedName>
    <definedName name="cluster_az2_host8_fqdn">'Value Reference Tables'!$I$299</definedName>
    <definedName name="cluster_az2_host8_mgmt_ip">'Value Reference Tables'!$I$212</definedName>
    <definedName name="cluster_az2_host9_fqdn">'Value Reference Tables'!$I$300</definedName>
    <definedName name="cluster_az2_host9_mgmt_ip">'Value Reference Tables'!$I$213</definedName>
    <definedName name="cluster_az2_mgmt_cidr">'Value Reference Tables'!$I$203</definedName>
    <definedName name="cluster_az2_mgmt_gateway_ip">'Value Reference Tables'!$I$202</definedName>
    <definedName name="cluster_az2_mgmt_mtu">'Value Reference Tables'!$I$204</definedName>
    <definedName name="cluster_az2_mgmt_vlan">'Value Reference Tables'!$I$201</definedName>
    <definedName name="cluster_az2_pool_name">'Value Reference Tables'!$I$221</definedName>
    <definedName name="cluster_az2_principal_storage_cidr">'Value Reference Tables'!$I$236</definedName>
    <definedName name="cluster_az2_principal_storage_gateway_ip">'Value Reference Tables'!$I$237</definedName>
    <definedName name="cluster_az2_principal_storage_mask">'Value Reference Tables'!$I$235</definedName>
    <definedName name="cluster_az2_principal_storage_mtu">'Value Reference Tables'!$I$233</definedName>
    <definedName name="cluster_az2_principal_storage_network">'Value Reference Tables'!$I$234</definedName>
    <definedName name="cluster_az2_principal_storage_pool_end_ip">'Value Reference Tables'!$I$239</definedName>
    <definedName name="cluster_az2_principal_storage_pool_start_ip">'Value Reference Tables'!$I$238</definedName>
    <definedName name="cluster_az2_principal_storage_vlan">'Value Reference Tables'!$I$232</definedName>
    <definedName name="cluster_az2_reuse_vcf_networkpool_chosen">'Deploy Cluster'!$D$280</definedName>
    <definedName name="cluster_az2_secondary_storage_gateway_ip">'Value Reference Tables'!$I$245</definedName>
    <definedName name="cluster_az2_secondary_storage_mask">'Value Reference Tables'!$I$244</definedName>
    <definedName name="cluster_az2_secondary_storage_mtu">'Value Reference Tables'!$I$242</definedName>
    <definedName name="cluster_az2_secondary_storage_network">'Value Reference Tables'!$I$243</definedName>
    <definedName name="cluster_az2_secondary_storage_pool_end_ip">'Value Reference Tables'!$I$247</definedName>
    <definedName name="cluster_az2_secondary_storage_pool_start_ip">'Value Reference Tables'!$I$246</definedName>
    <definedName name="cluster_az2_secondary_storage_vlan">'Value Reference Tables'!$I$241</definedName>
    <definedName name="cluster_az2_storage_cluster_cidr">'Value Reference Tables'!$I$253</definedName>
    <definedName name="cluster_az2_storage_cluster_gateway_ip">'Value Reference Tables'!$I$254</definedName>
    <definedName name="cluster_az2_storage_cluster_mask">'Value Reference Tables'!$I$252</definedName>
    <definedName name="cluster_az2_storage_cluster_mtu">'Value Reference Tables'!$I$250</definedName>
    <definedName name="cluster_az2_storage_cluster_network">'Value Reference Tables'!$I$251</definedName>
    <definedName name="cluster_az2_storage_cluster_pool_end_ip">'Value Reference Tables'!$I$256</definedName>
    <definedName name="cluster_az2_storage_cluster_pool_start_ip">'Value Reference Tables'!$I$255</definedName>
    <definedName name="cluster_az2_storage_cluster_vlan">'Value Reference Tables'!$I$249</definedName>
    <definedName name="cluster_az2_tor1_peer_asn">'Value Reference Tables'!$I$308</definedName>
    <definedName name="cluster_az2_tor1_peer_ip">'Value Reference Tables'!$I$309</definedName>
    <definedName name="cluster_az2_tor2_peer_asn">'Value Reference Tables'!$I$310</definedName>
    <definedName name="cluster_az2_tor2_peer_ip">'Value Reference Tables'!$I$311</definedName>
    <definedName name="cluster_az2_vmotion_cidr">'Value Reference Tables'!$I$227</definedName>
    <definedName name="cluster_az2_vmotion_gateway_ip">'Value Reference Tables'!$I$228</definedName>
    <definedName name="cluster_az2_vmotion_mask">'Value Reference Tables'!$I$226</definedName>
    <definedName name="cluster_az2_vmotion_mtu">'Value Reference Tables'!$I$224</definedName>
    <definedName name="cluster_az2_vmotion_network">'Value Reference Tables'!$I$225</definedName>
    <definedName name="cluster_az2_vmotion_pool_end_ip">'Value Reference Tables'!$I$230</definedName>
    <definedName name="cluster_az2_vmotion_pool_start_ip">'Value Reference Tables'!$I$229</definedName>
    <definedName name="cluster_az2_vmotion_vlan">'Value Reference Tables'!$I$223</definedName>
    <definedName name="cluster_chosen">'Deploy Cluster'!$B$8</definedName>
    <definedName name="cluster_cl01_vds_copy_profile_chosen">'Deploy Cluster'!$D$162</definedName>
    <definedName name="cluster_cluster_sddc_id">'Value Reference Tables'!$I$313</definedName>
    <definedName name="cluster_compute_hosts_per_rack_chosen">'Deploy Cluster'!$B$9</definedName>
    <definedName name="cluster_compute_hosts_per_rack_result">'Deploy Cluster'!$D$9</definedName>
    <definedName name="cluster_datacenter">'Value Reference Tables'!$I$280</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Cluster'!$D$232</definedName>
    <definedName name="cluster_host_overlay_transportzone">'Value Reference Tables'!$I$312</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Cluster'!$D$225</definedName>
    <definedName name="cluster_nsx_operation_mode_chosen">'Deploy Cluster'!$D$226</definedName>
    <definedName name="cluster_nsx_overlay_transport_zone_chosen">'Deploy Cluster'!$D$227</definedName>
    <definedName name="cluster_nsx_vlan_transport_zone_chosen">'Deploy Cluster'!$D$228</definedName>
    <definedName name="cluster_nsx_vlan_transport_zone_name">'Value Reference Tables'!$I$167</definedName>
    <definedName name="cluster_nsxt_vip_fqdn">'Value Reference Tables'!$I$291</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Tables'!$I$279</definedName>
    <definedName name="cluster_vds_profile_chosen">'Deploy Cluster'!$D$161</definedName>
    <definedName name="cluster_vds01_lacp_mode_chosen">'Deploy Cluster'!$D$171</definedName>
    <definedName name="cluster_vds01_lacp_timeout_chosen">'Deploy Cluster'!$D$173</definedName>
    <definedName name="cluster_vds01_lag_lbt_chosen">'Deploy Cluster'!$D$172</definedName>
    <definedName name="cluster_vds01_lag_name">'Value Reference Tables'!$I$113</definedName>
    <definedName name="cluster_vds01_link_type_chosen">'Deploy Cluster'!$D$169</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lacp_mode_chosen">'Deploy Cluster'!$D$182</definedName>
    <definedName name="cluster_vds02_lacp_timeout_chosen">'Deploy Cluster'!$D$184</definedName>
    <definedName name="cluster_vds02_lag_lbt_chosen">'Deploy Cluster'!$D$183</definedName>
    <definedName name="cluster_vds02_lag_name">'Value Reference Tables'!$I$119</definedName>
    <definedName name="cluster_vds02_link_type_chosen">'Deploy Cluster'!$D$180</definedName>
    <definedName name="cluster_vds02_mtu">'Value Reference Tables'!$I$115</definedName>
    <definedName name="cluster_vds02_name">'Value Reference Tables'!$I$114</definedName>
    <definedName name="cluster_vds02_pnics">'Value Reference Tables'!$I$117</definedName>
    <definedName name="cluster_vds02_traffic_type">'Value Reference Tables'!$I$118</definedName>
    <definedName name="cluster_vds02_uplink_count">'Value Reference Tables'!$I$116</definedName>
    <definedName name="cluster_vds03_lacp_mode_chosen">'Deploy Cluster'!$D$193</definedName>
    <definedName name="cluster_vds03_lacp_timeout_chosen">'Deploy Cluster'!$D$195</definedName>
    <definedName name="cluster_vds03_lag_lbt_chosen">'Deploy Cluster'!$D$194</definedName>
    <definedName name="cluster_vds03_lag_name">'Value Reference Tables'!$I$125</definedName>
    <definedName name="cluster_vds03_link_type_chosen">'Deploy Cluster'!$D$191</definedName>
    <definedName name="cluster_vds03_mtu">'Value Reference Tables'!$I$121</definedName>
    <definedName name="cluster_vds03_name">'Value Reference Tables'!$I$120</definedName>
    <definedName name="cluster_vds03_pnics">'Value Reference Tables'!$I$123</definedName>
    <definedName name="cluster_vds03_traffic_type">'Value Reference Tables'!$I$124</definedName>
    <definedName name="cluster_vds03_uplink_count">'Value Reference Tables'!$I$122</definedName>
    <definedName name="cluster_vmfs_datastore_name">'Value Reference Tables'!$I$101</definedName>
    <definedName name="cluster_vsan_client_network">'Deploy Cluster'!$D$130</definedName>
    <definedName name="cluster_vsan_compute_fault_domain_mapping_chosen">'Deploy Cluster'!$D$404</definedName>
    <definedName name="cluster_vsan_compute_network_topology_chosen">'Deploy Cluster'!$D$403</definedName>
    <definedName name="cluster_vsan_datastore">'Value Reference Tables'!$I$97</definedName>
    <definedName name="cluster_vsan_dedupe_compression_chosen">'Deploy Cluster'!$D$132</definedName>
    <definedName name="cluster_vsan_ftt_chosen">'Deploy Cluster'!$D$131</definedName>
    <definedName name="cluster_vsan_type">'Deploy Cluster'!$D$101</definedName>
    <definedName name="cluster_witness_cluster">'Value Reference Tables'!$I$266</definedName>
    <definedName name="cluster_witness_dns1_ip">'Value Reference Tables'!$I$275</definedName>
    <definedName name="cluster_witness_dns2_ip">'Value Reference Tables'!$I$276</definedName>
    <definedName name="cluster_witness_fqdn">'Value Reference Tables'!$I$281</definedName>
    <definedName name="cluster_witness_hostname">'Value Reference Tables'!$I$265</definedName>
    <definedName name="cluster_witness_ip">'Value Reference Tables'!$I$273</definedName>
    <definedName name="cluster_witness_mgmt_pg">'Value Reference Tables'!$I$269</definedName>
    <definedName name="cluster_witness_ntp1_server">'Value Reference Tables'!$I$277</definedName>
    <definedName name="cluster_witness_ntp2_server">'Value Reference Tables'!$I$278</definedName>
    <definedName name="cluster_witness_vm_folder">'Value Reference Tables'!$I$267</definedName>
    <definedName name="cluster_witness_vsan_datastore">'Value Reference Tables'!$I$268</definedName>
    <definedName name="cluster_witness_zone_vc_fqdn">'Value Reference Tables'!$I$264</definedName>
    <definedName name="cluster_witnessaz_mgmt_cidr">'Value Reference Tables'!$I$262</definedName>
    <definedName name="cluster_witnessaz_mgmt_gateway_ip">'Value Reference Tables'!$I$261</definedName>
    <definedName name="cluster_witnessaz_mgmt_mask">'Value Reference Tables'!$I$272</definedName>
    <definedName name="cluster_witnessaz_mgmt_mtu">'Value Reference Tables'!$I$263</definedName>
    <definedName name="cluster_witnessaz_mgmt_vlan">'Value Reference Tables'!$I$260</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auto_node_pool_end_ip">Arkham!$R$35</definedName>
    <definedName name="flt_auto_node_pool_start_ip">Arkham!$R$34</definedName>
    <definedName name="flt_auto_sr_fqdn">Arkham!$R$32</definedName>
    <definedName name="flt_auto_sr_ip">Arkham!$R$26</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nodee_ip">Arkham!$R$11</definedName>
    <definedName name="flt_custom_network_auto_nodef_ip">Arkham!$R$12</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fc_fqdn">Arkham!$R$31</definedName>
    <definedName name="flt_fc_ip">Arkham!$R$25</definedName>
    <definedName name="flt_ic_fqdn">Arkham!$R$30</definedName>
    <definedName name="flt_ic_ip">Arkham!$R$24</definedName>
    <definedName name="flt_lc_fqdn">Arkham!$R$28</definedName>
    <definedName name="flt_lc_ip">Arkham!$R$22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sr_fqdn">Arkham!$R$29</definedName>
    <definedName name="flt_sr_ip">Arkham!$R$23</definedName>
    <definedName name="flt_vcfms_node_pool_end_ip">Arkham!$R$41</definedName>
    <definedName name="flt_vcfms_node_pool_start_ip">Arkham!$R$40</definedName>
    <definedName name="flt_vidb_additional_vips">'Value Reference Tables'!$C$234</definedName>
    <definedName name="flt_vidb_base_dn">'Value Reference Tables'!$C$177</definedName>
    <definedName name="flt_vidb_bind_password">'Value Reference Tables'!$C$179</definedName>
    <definedName name="flt_vidb_bind_username">'Value Reference Tables'!$C$178</definedName>
    <definedName name="flt_vidb_cert_alias">'Value Reference Tables'!$C$149</definedName>
    <definedName name="flt_vidb_cert_common_name">'Value Reference Tables'!$C$150</definedName>
    <definedName name="flt_vidb_cert_country_code">'Value Reference Tables'!$C$153</definedName>
    <definedName name="flt_vidb_cert_key_length_chosen">'Deploy Fleet Management Day-N'!$D$136</definedName>
    <definedName name="flt_vidb_cert_locality">'Value Reference Tables'!$C$154</definedName>
    <definedName name="flt_vidb_cert_organisation">'Value Reference Tables'!$C$151</definedName>
    <definedName name="flt_vidb_cert_state">'Value Reference Tables'!$C$155</definedName>
    <definedName name="flt_vidb_cert_type_chosen">'Deploy Fleet Management Day-N'!$D$127</definedName>
    <definedName name="flt_vidb_chosen">'Deploy Fleet Management Day-N'!$B$9</definedName>
    <definedName name="flt_vidb_cluster">'Value Reference Tables'!$C$163</definedName>
    <definedName name="flt_vidb_datastore">'Value Reference Tables'!$C$164</definedName>
    <definedName name="flt_vidb_deployment_mode">'Value Reference Tables'!$C$165</definedName>
    <definedName name="flt_vidb_directory_name">'Value Reference Tables'!$C$167</definedName>
    <definedName name="flt_vidb_directory_search_chosen">'Deploy Fleet Management Day-N'!$D$188</definedName>
    <definedName name="flt_vidb_distinguished_name">'Value Reference Tables'!$C$183</definedName>
    <definedName name="flt_vidb_employeeID">'Value Reference Tables'!$C$184</definedName>
    <definedName name="flt_vidb_encrypted_cert">'Value Reference Tables'!$C$171</definedName>
    <definedName name="flt_vidb_encrypted_connection_chosen">'Deploy Fleet Management Day-N'!$D$182</definedName>
    <definedName name="flt_vidb_first_name">'Value Reference Tables'!$C$181</definedName>
    <definedName name="flt_vidb_folder">'Value Reference Tables'!$C$157</definedName>
    <definedName name="flt_vidb_gateway_ip">'Value Reference Tables'!$C$158</definedName>
    <definedName name="flt_vidb_global_catalog_chosen">'Deploy Fleet Management Day-N'!$D$181</definedName>
    <definedName name="flt_vidb_group_base_dn">'Value Reference Tables'!$C$187</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Tables'!$C$182</definedName>
    <definedName name="flt_vidb_mail">'Value Reference Tables'!$C$185</definedName>
    <definedName name="flt_vidb_mask">'Value Reference Tables'!$C$159</definedName>
    <definedName name="flt_vidb_node_prefix">'Value Reference Tables'!$C$235</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Tables'!$C$152</definedName>
    <definedName name="flt_vidb_password">'Value Reference Tables'!$C$236</definedName>
    <definedName name="flt_vidb_password_alias">'Value Reference Tables'!$C$237</definedName>
    <definedName name="flt_vidb_password_description">'Value Reference Tables'!$C$238</definedName>
    <definedName name="flt_vidb_pg">'Value Reference Tables'!$C$161</definedName>
    <definedName name="flt_vidb_primary_domain_controller">'Value Reference Tables'!$C$172</definedName>
    <definedName name="flt_vidb_primary_domain_controller_port">'Value Reference Tables'!$C$173</definedName>
    <definedName name="flt_vidb_resource_pool">'Value Reference Tables'!$C$160</definedName>
    <definedName name="flt_vidb_result">'Deploy Fleet Management Day-N'!$D$9</definedName>
    <definedName name="flt_vidb_root_username">'Value Reference Tables'!$C$239</definedName>
    <definedName name="flt_vidb_secondary_domain_controller">'Value Reference Tables'!$C$174</definedName>
    <definedName name="flt_vidb_secondary_domain_controller_port">'Value Reference Tables'!$C$175</definedName>
    <definedName name="flt_vidb_server_location_chosen">'Deploy Fleet Management Day-N'!$D$180</definedName>
    <definedName name="flt_vidb_size_chosen">'Deploy Fleet Management Day-N'!$D$125</definedName>
    <definedName name="flt_vidb_system_user_alias">'Value Reference Tables'!$C$240</definedName>
    <definedName name="flt_vidb_system_user_description">'Value Reference Tables'!$C$242</definedName>
    <definedName name="flt_vidb_system_user_password">'Value Reference Tables'!$C$241</definedName>
    <definedName name="flt_vidb_time_sync_mode_chosen">'Deploy Fleet Management Day-N'!$D$151</definedName>
    <definedName name="flt_vidb_type_chosen">'Deploy Fleet Management Day-N'!$D$123</definedName>
    <definedName name="flt_vidb_user_base_dn">'Value Reference Tables'!$C$188</definedName>
    <definedName name="flt_vidb_user_name">'Value Reference Tables'!$C$180</definedName>
    <definedName name="flt_vidb_user_principal_name">'Value Reference Tables'!$C$186</definedName>
    <definedName name="flt_vidb_vcenter_fqdn">'Value Reference Tables'!$C$162</definedName>
    <definedName name="flt_vidb_version">'Value Reference Tables'!$C$147</definedName>
    <definedName name="flt_vidb_vip_fqdn">'Value Reference Tables'!$C$67</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Cluster'!$D$236</definedName>
    <definedName name="input_cluster_az1_host_overlay_gateway_ip">'Deploy Cluster'!$D$239</definedName>
    <definedName name="input_cluster_az1_host_overlay_network_pool_description">'Deploy Cluster'!$D$235</definedName>
    <definedName name="input_cluster_az1_host_overlay_network_pool_name">'Deploy Cluster'!$D$234</definedName>
    <definedName name="input_cluster_az1_host_overlay_network_profile_name">'Deploy Cluster'!$D$242</definedName>
    <definedName name="input_cluster_az1_host_overlay_pool_end_ip">'Deploy Cluster'!$D$238</definedName>
    <definedName name="input_cluster_az1_host_overlay_pool_start_ip">'Deploy Cluster'!$D$237</definedName>
    <definedName name="input_cluster_az1_host_overlay_uplink_profile_name">'Deploy Cluster'!$D$246</definedName>
    <definedName name="input_cluster_az1_host_overlay_vlan">'Deploy Cluster'!$D$231</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Cluster'!$D$200</definedName>
    <definedName name="input_cluster_az1_mgmt_vlan">'Deploy Cluster'!$D$24</definedName>
    <definedName name="input_cluster_az1_mgmt_vm_pg">'Deploy Cluster'!$D$205</definedName>
    <definedName name="input_cluster_az1_nsx_uplink_count">'Deploy Cluster'!$D$243</definedName>
    <definedName name="input_cluster_az1_nsx_uplink1">'Deploy Cluster'!$D$244</definedName>
    <definedName name="input_cluster_az1_nsx_uplink1_active">'Deploy Cluster'!$D$248</definedName>
    <definedName name="input_cluster_az1_nsx_uplink2">'Deploy Cluster'!$D$245</definedName>
    <definedName name="input_cluster_az1_nsx_uplink2_active">'Deploy Cluster'!$D$249</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Cluster'!$D$215</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Cluster'!$D$210</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Cluster'!$D$220</definedName>
    <definedName name="input_cluster_az2_host_overlay_cidr">'Deploy Cluster'!$D$410</definedName>
    <definedName name="input_cluster_az2_host_overlay_gateway_ip">'Deploy Cluster'!$D$411</definedName>
    <definedName name="input_cluster_az2_host_overlay_gateway_mtu">'Deploy Cluster'!$D$412</definedName>
    <definedName name="input_cluster_az2_host_overlay_network_pool_name">'Deploy Cluster'!$D$407</definedName>
    <definedName name="input_cluster_az2_host_overlay_network_profile_name">'Deploy Cluster'!$D$405</definedName>
    <definedName name="input_cluster_az2_host_overlay_pool_end_ip">'Deploy Cluster'!$D$414</definedName>
    <definedName name="input_cluster_az2_host_overlay_pool_start_ip">'Deploy Cluster'!$D$413</definedName>
    <definedName name="input_cluster_az2_host_overlay_uplink_profile_name">'Deploy Cluster'!$D$408</definedName>
    <definedName name="input_cluster_az2_host_overlay_vlan">'Deploy Cluster'!$D$409</definedName>
    <definedName name="input_cluster_az2_host1_fqdn">'Deploy Cluster'!$D$317</definedName>
    <definedName name="input_cluster_az2_host1_mgmt_ip">'Deploy Cluster'!$D$261</definedName>
    <definedName name="input_cluster_az2_host10_fqdn">'Deploy Cluster'!$D$326</definedName>
    <definedName name="input_cluster_az2_host10_mgmt_ip">'Deploy Cluster'!$D$270</definedName>
    <definedName name="input_cluster_az2_host11_fqdn">'Deploy Cluster'!$D$327</definedName>
    <definedName name="input_cluster_az2_host11_mgmt_ip">'Deploy Cluster'!$D$271</definedName>
    <definedName name="input_cluster_az2_host12_fqdn">'Deploy Cluster'!$D$328</definedName>
    <definedName name="input_cluster_az2_host12_mgmt_ip">'Deploy Cluster'!$D$272</definedName>
    <definedName name="input_cluster_az2_host13_fqdn">'Deploy Cluster'!$D$329</definedName>
    <definedName name="input_cluster_az2_host13_mgmt_ip">'Deploy Cluster'!$D$273</definedName>
    <definedName name="input_cluster_az2_host14_fqdn">'Deploy Cluster'!$D$330</definedName>
    <definedName name="input_cluster_az2_host14_mgmt_ip">'Deploy Cluster'!$D$274</definedName>
    <definedName name="input_cluster_az2_host15_fqdn">'Deploy Cluster'!$D$331</definedName>
    <definedName name="input_cluster_az2_host15_mgmt_ip">'Deploy Cluster'!$D$275</definedName>
    <definedName name="input_cluster_az2_host16_fqdn">'Deploy Cluster'!$D$332</definedName>
    <definedName name="input_cluster_az2_host16_mgmt_ip">'Deploy Cluster'!$D$276</definedName>
    <definedName name="input_cluster_az2_host2_fqdn">'Deploy Cluster'!$D$318</definedName>
    <definedName name="input_cluster_az2_host2_mgmt_ip">'Deploy Cluster'!$D$262</definedName>
    <definedName name="input_cluster_az2_host3_fqdn">'Deploy Cluster'!$D$319</definedName>
    <definedName name="input_cluster_az2_host3_mgmt_ip">'Deploy Cluster'!$D$263</definedName>
    <definedName name="input_cluster_az2_host4_fqdn">'Deploy Cluster'!$D$320</definedName>
    <definedName name="input_cluster_az2_host4_mgmt_ip">'Deploy Cluster'!$D$264</definedName>
    <definedName name="input_cluster_az2_host5_fqdn">'Deploy Cluster'!$D$321</definedName>
    <definedName name="input_cluster_az2_host5_mgmt_ip">'Deploy Cluster'!$D$265</definedName>
    <definedName name="input_cluster_az2_host6_fqdn">'Deploy Cluster'!$D$322</definedName>
    <definedName name="input_cluster_az2_host6_mgmt_ip">'Deploy Cluster'!$D$266</definedName>
    <definedName name="input_cluster_az2_host7_fqdn">'Deploy Cluster'!$D$323</definedName>
    <definedName name="input_cluster_az2_host7_mgmt_ip">'Deploy Cluster'!$D$267</definedName>
    <definedName name="input_cluster_az2_host8_fqdn">'Deploy Cluster'!$D$324</definedName>
    <definedName name="input_cluster_az2_host8_mgmt_ip">'Deploy Cluster'!$D$268</definedName>
    <definedName name="input_cluster_az2_host9_fqdn">'Deploy Cluster'!$D$325</definedName>
    <definedName name="input_cluster_az2_host9_mgmt_ip">'Deploy Cluster'!$D$269</definedName>
    <definedName name="input_cluster_az2_mgmt_cidr">'Deploy Cluster'!$D$258</definedName>
    <definedName name="input_cluster_az2_mgmt_gateway_ip">'Deploy Cluster'!$D$257</definedName>
    <definedName name="input_cluster_az2_mgmt_mtu">'Deploy Cluster'!$D$259</definedName>
    <definedName name="input_cluster_az2_mgmt_vlan">'Deploy Cluster'!$D$256</definedName>
    <definedName name="input_cluster_az2_pool_name">'Deploy Cluster'!$D$281</definedName>
    <definedName name="input_cluster_az2_principal_storage_gateway_ip">'Deploy Cluster'!$D$295</definedName>
    <definedName name="input_cluster_az2_principal_storage_mask">'Deploy Cluster'!$D$294</definedName>
    <definedName name="input_cluster_az2_principal_storage_mtu">'Deploy Cluster'!$D$292</definedName>
    <definedName name="input_cluster_az2_principal_storage_network">'Deploy Cluster'!$D$293</definedName>
    <definedName name="input_cluster_az2_principal_storage_pool_end_ip">'Deploy Cluster'!$D$296</definedName>
    <definedName name="input_cluster_az2_principal_storage_pool_start_ip">'Deploy Cluster'!$D$297</definedName>
    <definedName name="input_cluster_az2_principal_storage_vlan">'Deploy Cluster'!$D$291</definedName>
    <definedName name="input_cluster_az2_secondary_storage_gateway_ip">'Deploy Cluster'!$D$303</definedName>
    <definedName name="input_cluster_az2_secondary_storage_mask">'Deploy Cluster'!$D$302</definedName>
    <definedName name="input_cluster_az2_secondary_storage_mtu">'Deploy Cluster'!$D$300</definedName>
    <definedName name="input_cluster_az2_secondary_storage_network">'Deploy Cluster'!$D$301</definedName>
    <definedName name="input_cluster_az2_secondary_storage_pool_end_ip">'Deploy Cluster'!$D$305</definedName>
    <definedName name="input_cluster_az2_secondary_storage_pool_start_ip">'Deploy Cluster'!$D$304</definedName>
    <definedName name="input_cluster_az2_secondary_storage_vlan">'Deploy Cluster'!$D$299</definedName>
    <definedName name="input_cluster_az2_storage_cluster_gateway_ip">'Deploy Cluster'!$D$311</definedName>
    <definedName name="input_cluster_az2_storage_cluster_mask">'Deploy Cluster'!$D$310</definedName>
    <definedName name="input_cluster_az2_storage_cluster_mtu">'Deploy Cluster'!$D$308</definedName>
    <definedName name="input_cluster_az2_storage_cluster_network">'Deploy Cluster'!$D$309</definedName>
    <definedName name="input_cluster_az2_storage_cluster_pool_end_ip">'Deploy Cluster'!$D$313</definedName>
    <definedName name="input_cluster_az2_storage_cluster_pool_start_ip">'Deploy Cluster'!$D$312</definedName>
    <definedName name="input_cluster_az2_storage_cluster_vlan">'Deploy Cluster'!$D$307</definedName>
    <definedName name="input_cluster_az2_tor1_peer_asn">'Deploy Cluster'!$D$432</definedName>
    <definedName name="input_cluster_az2_tor1_peer_ip">'Deploy Cluster'!$D$431</definedName>
    <definedName name="input_cluster_az2_tor2_peer_asn">'Deploy Cluster'!$D$439</definedName>
    <definedName name="input_cluster_az2_tor2_peer_ip">'Deploy Cluster'!$D$436</definedName>
    <definedName name="input_cluster_az2_vmotion_gateway_ip">'Deploy Cluster'!$D$287</definedName>
    <definedName name="input_cluster_az2_vmotion_mask">'Deploy Cluster'!$D$286</definedName>
    <definedName name="input_cluster_az2_vmotion_mtu">'Deploy Cluster'!$D$284</definedName>
    <definedName name="input_cluster_az2_vmotion_network">'Deploy Cluster'!$D$285</definedName>
    <definedName name="input_cluster_az2_vmotion_pool_end_ip">'Deploy Cluster'!$D$289</definedName>
    <definedName name="input_cluster_az2_vmotion_pool_start_ip">'Deploy Cluster'!$D$288</definedName>
    <definedName name="input_cluster_az2_vmotion_vlan">'Deploy Cluster'!$D$283</definedName>
    <definedName name="input_cluster_cluster_sddc_id">'Deploy Cluster'!$D$418</definedName>
    <definedName name="input_cluster_datacenter">'Deploy Cluster'!$D$370</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Cluster'!$D$230</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Cluster'!$D$240</definedName>
    <definedName name="input_cluster_nsxt_vip_fqdn">'Deploy Cluster'!$D$423</definedName>
    <definedName name="input_cluster_storage_cluster_name">'Deploy Cluster'!$D$128</definedName>
    <definedName name="input_cluster_vc_fqdn">'Deploy Cluster'!$D$369</definedName>
    <definedName name="input_cluster_vds01_lag_name">'Deploy Cluster'!$D$170</definedName>
    <definedName name="input_cluster_vds01_mtu">'Deploy Cluster'!$D$168</definedName>
    <definedName name="input_cluster_vds01_name">'Deploy Cluster'!$D$167</definedName>
    <definedName name="input_cluster_vds01_pnics">'Deploy Cluster'!$D$175</definedName>
    <definedName name="input_cluster_vds01_uplink_count">'Deploy Cluster'!$D$174</definedName>
    <definedName name="input_cluster_vds02_lag_name">'Deploy Cluster'!$D$181</definedName>
    <definedName name="input_cluster_vds02_mtu">'Deploy Cluster'!$D$179</definedName>
    <definedName name="input_cluster_vds02_name">'Deploy Cluster'!$D$178</definedName>
    <definedName name="input_cluster_vds02_pnics">'Deploy Cluster'!$D$186</definedName>
    <definedName name="input_cluster_vds02_uplink_count">'Deploy Cluster'!$D$185</definedName>
    <definedName name="input_cluster_vds03_lag_name">'Deploy Cluster'!$D$192</definedName>
    <definedName name="input_cluster_vds03_mtu">'Deploy Cluster'!$D$190</definedName>
    <definedName name="input_cluster_vds03_name">'Deploy Cluster'!$D$189</definedName>
    <definedName name="input_cluster_vds03_pnics">'Deploy Cluster'!$D$197</definedName>
    <definedName name="input_cluster_vds03_uplink_count">'Deploy Cluster'!$D$196</definedName>
    <definedName name="input_cluster_vmfs_datastore_name">'Deploy Cluster'!$D$133</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Cluster'!$D$352</definedName>
    <definedName name="input_cluster_witness_dns1_ip">'Deploy Cluster'!$D$363</definedName>
    <definedName name="input_cluster_witness_dns2_ip">'Deploy Cluster'!$D$364</definedName>
    <definedName name="input_cluster_witness_fqdn">'Deploy Cluster'!$D$371</definedName>
    <definedName name="input_cluster_witness_hostname">'Deploy Cluster'!$D$351</definedName>
    <definedName name="input_cluster_witness_ip">'Deploy Cluster'!$D$358</definedName>
    <definedName name="input_cluster_witness_mgmt_pg">'Deploy Cluster'!$D$355</definedName>
    <definedName name="input_cluster_witness_ntp1_server">'Deploy Cluster'!$D$365</definedName>
    <definedName name="input_cluster_witness_ntp2_server">'Deploy Cluster'!$D$366</definedName>
    <definedName name="input_cluster_witness_vm_folder">'Deploy Cluster'!$D$353</definedName>
    <definedName name="input_cluster_witness_vsan_datastore">'Deploy Cluster'!$D$354</definedName>
    <definedName name="input_cluster_witness_zone_vc_fqdn">'Deploy Cluster'!$D$350</definedName>
    <definedName name="input_cluster_witnessaz_mask">'Deploy Cluster'!$D$359</definedName>
    <definedName name="input_cluster_witnessaz_mgmt_cidr">'Deploy Cluster'!$D$344</definedName>
    <definedName name="input_cluster_witnessaz_mgmt_gateway_ip">'Deploy Cluster'!$D$343</definedName>
    <definedName name="input_cluster_witnessaz_mgmt_mtu">'Deploy Cluster'!$D$345</definedName>
    <definedName name="input_cluster_witnessaz_mgmt_vlan">'Deploy Cluster'!$D$342</definedName>
    <definedName name="input_domain_controller_hostname">Arkham!$C$15</definedName>
    <definedName name="input_esxi_root_password">'Deploy Management Domain'!$L$127</definedName>
    <definedName name="input_flt_auto_node_pool_end_ip">Arkham!$Q$35</definedName>
    <definedName name="input_flt_auto_node_pool_start_ip">Arkham!$Q$34</definedName>
    <definedName name="input_flt_auto_sr_fqdn">Arkham!$Q$32</definedName>
    <definedName name="input_flt_auto_sr_ip">Arkham!$Q$26</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nodee_ip">Arkham!$Q$11</definedName>
    <definedName name="input_flt_custom_network_auto_nodef_ip">Arkham!$Q$12</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fc_fqdn">Arkham!$Q$31</definedName>
    <definedName name="input_flt_fc_ip">Arkham!$Q$25</definedName>
    <definedName name="input_flt_ic_fqdn">Arkham!$Q$30</definedName>
    <definedName name="input_flt_ic_ip">Arkham!$Q$24</definedName>
    <definedName name="input_flt_lc_fqdn">Arkham!$Q$28</definedName>
    <definedName name="input_flt_lc_ip">Arkham!$Q$22</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sr_fqdn">Arkham!$Q$29</definedName>
    <definedName name="input_flt_sr_ip">Arkham!$Q$23</definedName>
    <definedName name="input_flt_vcfms_node_pool_end_ip">Arkham!$Q$41</definedName>
    <definedName name="input_flt_vcfms_node_pool_start_ip">Arkham!$Q$40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g">'Deploy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fqdn">'Deploy Fleet Management Day-N'!$D$137</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mgmt_ip">Arkham!$Q$17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mgmt_ip">Arkham!$Q$18</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Domain'!$L$257</definedName>
    <definedName name="input_mgmt_az1_host_overlay_gateway_ip">'Deploy Management Domain'!$L$260</definedName>
    <definedName name="input_mgmt_az1_host_overlay_mtu">'Deploy Management Domain'!$L$301</definedName>
    <definedName name="input_mgmt_az1_host_overlay_network_pool_description">'Deploy Management Domain'!$L$256</definedName>
    <definedName name="input_mgmt_az1_host_overlay_network_pool_name">'Deploy Management Domain'!$L$255</definedName>
    <definedName name="input_mgmt_az1_host_overlay_pool_end_ip">'Deploy Management Domain'!$L$259</definedName>
    <definedName name="input_mgmt_az1_host_overlay_pool_start_ip">'Deploy Management Domain'!$L$258</definedName>
    <definedName name="input_mgmt_az1_host_overlay_vlan">'Deploy Management Domain'!$L$253</definedName>
    <definedName name="input_mgmt_az1_host1_fqdn">'Deploy Management Domain'!$L$128</definedName>
    <definedName name="input_mgmt_az1_host1_mgmt_ip">'Deploy Management Domain'!$L$330</definedName>
    <definedName name="input_mgmt_az1_host1_vrms_ip">'Site Protection &amp; DR'!$D$176</definedName>
    <definedName name="input_mgmt_az1_host10_fqdn">'Deploy Management Domain'!$L$137</definedName>
    <definedName name="input_mgmt_az1_host10_mgmt_ip">'Deploy Management Domain'!$L$339</definedName>
    <definedName name="input_mgmt_az1_host10_vrms_ip">'Site Protection &amp; DR'!$D$185</definedName>
    <definedName name="input_mgmt_az1_host11_fqdn">'Deploy Management Domain'!$L$138</definedName>
    <definedName name="input_mgmt_az1_host11_mgmt_ip">'Deploy Management Domain'!$L$340</definedName>
    <definedName name="input_mgmt_az1_host11_vrms_ip">'Site Protection &amp; DR'!$D$186</definedName>
    <definedName name="input_mgmt_az1_host12_fqdn">'Deploy Management Domain'!$L$139</definedName>
    <definedName name="input_mgmt_az1_host12_mgmt_ip">'Deploy Management Domain'!$L$341</definedName>
    <definedName name="input_mgmt_az1_host12_vrms_ip">'Site Protection &amp; DR'!$D$187</definedName>
    <definedName name="input_mgmt_az1_host13_fqdn">'Deploy Management Domain'!$L$140</definedName>
    <definedName name="input_mgmt_az1_host13_mgmt_ip">'Deploy Management Domain'!$L$342</definedName>
    <definedName name="input_mgmt_az1_host13_vrms_ip">'Site Protection &amp; DR'!$D$188</definedName>
    <definedName name="input_mgmt_az1_host14_fqdn">'Deploy Management Domain'!$L$141</definedName>
    <definedName name="input_mgmt_az1_host14_mgmt_ip">'Deploy Management Domain'!$L$343</definedName>
    <definedName name="input_mgmt_az1_host14_vrms_ip">'Site Protection &amp; DR'!$D$189</definedName>
    <definedName name="input_mgmt_az1_host15_fqdn">'Deploy Management Domain'!$L$142</definedName>
    <definedName name="input_mgmt_az1_host15_mgmt_ip">'Deploy Management Domain'!$L$344</definedName>
    <definedName name="input_mgmt_az1_host15_vrms_ip">'Site Protection &amp; DR'!$D$190</definedName>
    <definedName name="input_mgmt_az1_host16_fqdn">'Deploy Management Domain'!$L$143</definedName>
    <definedName name="input_mgmt_az1_host16_mgmt_ip">'Deploy Management Domain'!$L$345</definedName>
    <definedName name="input_mgmt_az1_host16_vrms_ip">'Site Protection &amp; DR'!$D$191</definedName>
    <definedName name="input_mgmt_az1_host2_fqdn">'Deploy Management Domain'!$L$129</definedName>
    <definedName name="input_mgmt_az1_host2_mgmt_ip">'Deploy Management Domain'!$L$331</definedName>
    <definedName name="input_mgmt_az1_host2_vrms_ip">'Site Protection &amp; DR'!$D$177</definedName>
    <definedName name="input_mgmt_az1_host3_fqdn">'Deploy Management Domain'!$L$130</definedName>
    <definedName name="input_mgmt_az1_host3_mgmt_ip">'Deploy Management Domain'!$L$332</definedName>
    <definedName name="input_mgmt_az1_host3_vrms_ip">'Site Protection &amp; DR'!$D$178</definedName>
    <definedName name="input_mgmt_az1_host4_fqdn">'Deploy Management Domain'!$L$131</definedName>
    <definedName name="input_mgmt_az1_host4_mgmt_ip">'Deploy Management Domain'!$L$333</definedName>
    <definedName name="input_mgmt_az1_host4_vrms_ip">'Site Protection &amp; DR'!$D$179</definedName>
    <definedName name="input_mgmt_az1_host5_fqdn">'Deploy Management Domain'!$L$132</definedName>
    <definedName name="input_mgmt_az1_host5_mgmt_ip">'Deploy Management Domain'!$L$334</definedName>
    <definedName name="input_mgmt_az1_host5_vrms_ip">'Site Protection &amp; DR'!$D$180</definedName>
    <definedName name="input_mgmt_az1_host6_fqdn">'Deploy Management Domain'!$L$133</definedName>
    <definedName name="input_mgmt_az1_host6_mgmt_ip">'Deploy Management Domain'!$L$335</definedName>
    <definedName name="input_mgmt_az1_host6_vrms_ip">'Site Protection &amp; DR'!$D$181</definedName>
    <definedName name="input_mgmt_az1_host7_fqdn">'Deploy Management Domain'!$L$134</definedName>
    <definedName name="input_mgmt_az1_host7_mgmt_ip">'Deploy Management Domain'!$L$336</definedName>
    <definedName name="input_mgmt_az1_host7_vrms_ip">'Site Protection &amp; DR'!$D$182</definedName>
    <definedName name="input_mgmt_az1_host8_fqdn">'Deploy Management Domain'!$L$135</definedName>
    <definedName name="input_mgmt_az1_host8_mgmt_ip">'Deploy Management Domain'!$L$337</definedName>
    <definedName name="input_mgmt_az1_host8_vrms_ip">'Site Protection &amp; DR'!$D$183</definedName>
    <definedName name="input_mgmt_az1_host9_fqdn">'Deploy Management Domain'!$L$136</definedName>
    <definedName name="input_mgmt_az1_host9_mgmt_ip">'Deploy Management Domain'!$L$338</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Domain'!$D$491</definedName>
    <definedName name="input_mgmt_az1_rtep_overlay_cidr">'Configure Management Domain'!$D$494</definedName>
    <definedName name="input_mgmt_az1_rtep_overlay_gateway_ip">'Configure Management Domain'!$D$495</definedName>
    <definedName name="input_mgmt_az1_rtep_overlay_vlan">'Configure Management Domain'!$D$518</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Domain'!$D$385</definedName>
    <definedName name="input_mgmt_az2_tor1_peer_bgp_password">'Configure Management Domain'!$D$388</definedName>
    <definedName name="input_mgmt_az2_tor1_peer_ip">'Configure Management Domain'!$D$384</definedName>
    <definedName name="input_mgmt_az2_tor2_peer_asn">'Configure Management Domain'!$D$392</definedName>
    <definedName name="input_mgmt_az2_tor2_peer_bgp_password">'Configure Management Domain'!$D$393</definedName>
    <definedName name="input_mgmt_az2_tor2_peer_ip">'Configure Management Domain'!$D$389</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Domain'!$L$221</definedName>
    <definedName name="input_mgmt_cl01_az1_mgmt_vm_pg">'Deploy Management Domain'!$L$226</definedName>
    <definedName name="input_mgmt_cl01_az1_nfs_pg">'Deploy Management Domain'!$L$241</definedName>
    <definedName name="input_mgmt_cl01_az1_uplink01_pg">'Configure Management Domain'!$D$193</definedName>
    <definedName name="input_mgmt_cl01_az1_uplink02_pg">'Configure Management Domain'!$D$197</definedName>
    <definedName name="input_mgmt_cl01_az1_vcf_mgmt_pg">Arkham!$B$9</definedName>
    <definedName name="input_mgmt_cl01_az1_vmotion_pg">'Deploy Management Domain'!$L$231</definedName>
    <definedName name="input_mgmt_cl01_az1_vsan_pg">'Deploy Management Domain'!$L$236</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lag_name">'Deploy Management Domain'!$L$191</definedName>
    <definedName name="input_mgmt_cl01_vds01_mtu">'Deploy Management Domain'!$L$189</definedName>
    <definedName name="input_mgmt_cl01_vds01_name">'Deploy Management Domain'!$L$188</definedName>
    <definedName name="input_mgmt_cl01_vds01_uplink_count">'Deploy Management Domain'!$L$195</definedName>
    <definedName name="input_mgmt_cl01_vds01_uplink1">'Deploy Management Domain'!$L$196</definedName>
    <definedName name="input_mgmt_cl01_vds01_uplink2">'Deploy Management Domain'!$L$197</definedName>
    <definedName name="input_mgmt_cl01_vds02_lag_name">'Deploy Management Domain'!$L$202</definedName>
    <definedName name="input_mgmt_cl01_vds02_mtu">'Deploy Management Domain'!$L$200</definedName>
    <definedName name="input_mgmt_cl01_vds02_name">'Deploy Management Domain'!$L$199</definedName>
    <definedName name="input_mgmt_cl01_vds02_uplink_count">'Deploy Management Domain'!$L$206</definedName>
    <definedName name="input_mgmt_cl01_vds02_uplink1">'Deploy Management Domain'!$L$207</definedName>
    <definedName name="input_mgmt_cl01_vds02_uplink2">'Deploy Management Domain'!$L$208</definedName>
    <definedName name="input_mgmt_cl01_vds03_lag_name">'Deploy Management Domain'!$L$213</definedName>
    <definedName name="input_mgmt_cl01_vds03_mtu">'Deploy Management Domain'!$L$212</definedName>
    <definedName name="input_mgmt_cl01_vds03_name">'Deploy Management Domain'!$L$210</definedName>
    <definedName name="input_mgmt_cl01_vds03_uplink_count">'Deploy Management Domain'!$L$217</definedName>
    <definedName name="input_mgmt_cl01_vds03_uplink1">'Deploy Management Domain'!$L$218</definedName>
    <definedName name="input_mgmt_cl01_vds03_uplink2">'Deploy Management Domain'!$L$219</definedName>
    <definedName name="input_mgmt_cl01_vsan_datastore">'Deploy Management Domain'!$L$117</definedName>
    <definedName name="input_mgmt_cross_instance_linked_t0_name">'Configure Management Domain'!$D$523</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Domain'!$D$531</definedName>
    <definedName name="input_mgmt_existing_cross_instance_t0_name">'Configure Management Domain'!$D$532</definedName>
    <definedName name="input_mgmt_host_overlay_transportzone">'Deploy Management Domain'!$L$252</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Domain'!$M$350</definedName>
    <definedName name="input_mgmt_nsx_rp">'Deploy Management Domain'!$M$351</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Domain'!$D$498</definedName>
    <definedName name="input_mgmt_nsxt_federation_location_name">'Configure Management Domain'!$D$512</definedName>
    <definedName name="input_mgmt_nsxt_global_mgr_anti_affinity_rule_name">'Configure Management Domain'!$D$469</definedName>
    <definedName name="input_mgmt_nsxt_global_mgr_certificate_id">'Configure Management Domain'!$D$481</definedName>
    <definedName name="input_mgmt_nsxt_global_mgr_cluster_id">'Configure Management Domain'!$D$453</definedName>
    <definedName name="input_mgmt_nsxt_global_mgr_vmca_signed_thumbprint">'Configure Management Domain'!$D$454</definedName>
    <definedName name="input_mgmt_nsxt_global_mgra_fqdn">'Configure Management Domain'!$D$409</definedName>
    <definedName name="input_mgmt_nsxt_global_mgra_hostname">'Configure Management Domain'!$D$400</definedName>
    <definedName name="input_mgmt_nsxt_global_mgra_ip">'Configure Management Domain'!$D$410</definedName>
    <definedName name="input_mgmt_nsxt_global_mgrb_fqdn">'Configure Management Domain'!$D$426</definedName>
    <definedName name="input_mgmt_nsxt_global_mgrb_hostname">'Configure Management Domain'!$D$417</definedName>
    <definedName name="input_mgmt_nsxt_global_mgrb_ip">'Configure Management Domain'!$D$427</definedName>
    <definedName name="input_mgmt_nsxt_global_mgrc_fqdn">'Configure Management Domain'!$D$443</definedName>
    <definedName name="input_mgmt_nsxt_global_mgrc_hostname">'Configure Management Domain'!$D$434</definedName>
    <definedName name="input_mgmt_nsxt_global_mgrc_ip">'Configure Management Domain'!$D$444</definedName>
    <definedName name="input_mgmt_nsxt_gm_fingerprint">'Configure Management Domain'!$D$501</definedName>
    <definedName name="input_mgmt_nsxt_gm_vip_fqdn">'Configure Management Domain'!$D$450</definedName>
    <definedName name="input_mgmt_nsxt_gm_vip_ip">'Configure Management Domain'!$D$475</definedName>
    <definedName name="input_mgmt_nsxt_lm_fingerprint">'Configure Management Domain'!$D$510</definedName>
    <definedName name="input_mgmt_nsxt_mgra_fqdn">'Deploy Management Domain'!$L$105</definedName>
    <definedName name="input_mgmt_nsxt_mgra_ip">'Deploy Management Domain'!$L$326</definedName>
    <definedName name="input_mgmt_nsxt_mgrb_fqdn">'Deploy Management Domain'!$L$106</definedName>
    <definedName name="input_mgmt_nsxt_mgrb_ip">'Deploy Management Domain'!$L$327</definedName>
    <definedName name="input_mgmt_nsxt_mgrc_fqdn">'Deploy Management Domain'!$L$107</definedName>
    <definedName name="input_mgmt_nsxt_mgrc_ip">'Deploy Management Domain'!$L$328</definedName>
    <definedName name="input_mgmt_nsxt_vip_fqdn">'Deploy Management Domain'!$L$104</definedName>
    <definedName name="input_mgmt_nsxt_vip_ip">'Deploy Management Domain'!$L$325</definedName>
    <definedName name="input_mgmt_nsxt_xreg_t1_name">'Configure Management Domain'!$D$522</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Domain'!$D$493</definedName>
    <definedName name="input_mgmt_rtep_overlay_pool_start_ip">'Configure Management Domain'!$D$492</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Domain'!$M$352</definedName>
    <definedName name="input_mgmt_user_vm_rp">'Deploy Management Domain'!$M$353</definedName>
    <definedName name="input_mgmt_vc_fqdn">'Deploy Management Domain'!$L$90</definedName>
    <definedName name="input_mgmt_vc_ip">'Deploy Management Domain'!$L$323</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Domain'!$D$407</definedName>
    <definedName name="input_nsxt_gm_audit_password">'Configure Management Domain'!$D$408</definedName>
    <definedName name="input_nsxt_gm_root_password">'Configure Management Domain'!$D$406</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Domain'!$L$269</definedName>
    <definedName name="input_sddc_mgr_fqdn">'Deploy Management Domain'!$L$266</definedName>
    <definedName name="input_sddc_mgr_ip">'Deploy Management Domain'!$L$322</definedName>
    <definedName name="input_sddc_mgr_root_password">'Deploy Management Domain'!$L$267</definedName>
    <definedName name="input_sddc_mgr_vcf_password">'Deploy Management Domain'!$L$268</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nodee_ip">Arkham!$Q$14</definedName>
    <definedName name="input_vcf_automation_nodef_ip">Arkham!$Q$15</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Domain'!$J$321</definedName>
    <definedName name="input_vcf_installer_ip">'Deploy Management Domain'!$L$321</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mgmt_ip">Arkham!$Q$19</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mgmt_ip">Arkham!$Q$20</definedName>
    <definedName name="input_wld_az1_en2_uplink01_interface_cidr">'Configure Workload Domain'!$D$117</definedName>
    <definedName name="input_wld_az1_en2_uplink02_interface_cidr">'Configure Workload Domain'!$D$124</definedName>
    <definedName name="input_wld_az1_host_overlay_cidr">'Deploy Workload Domain'!$D$308</definedName>
    <definedName name="input_wld_az1_host_overlay_gateway_ip">'Deploy Workload Domain'!$D$311</definedName>
    <definedName name="input_wld_az1_host_overlay_mtu">'Deploy Workload Domain'!$D$368</definedName>
    <definedName name="input_wld_az1_host_overlay_network_pool_description">'Deploy Workload Domain'!$D$307</definedName>
    <definedName name="input_wld_az1_host_overlay_network_pool_name">'Deploy Workload Domain'!$D$306</definedName>
    <definedName name="input_wld_az1_host_overlay_pool_end_ip">'Deploy Workload Domain'!$D$310</definedName>
    <definedName name="input_wld_az1_host_overlay_pool_start_ip">'Deploy Workload Domain'!$D$309</definedName>
    <definedName name="input_wld_az1_host_overlay_uplink_profile_name">'Deploy Workload Domain'!$D$318</definedName>
    <definedName name="input_wld_az1_host_overlay_vlan">'Deploy Workload Domain'!$D$303</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Domain'!$D$348</definedName>
    <definedName name="input_wld_az1_mgmt_vm_gateway_ip">'Deploy Workload Domain'!$D$347</definedName>
    <definedName name="input_wld_az1_mgmt_vm_mtu">'Deploy Workload Domain'!$D$349</definedName>
    <definedName name="input_wld_az1_mgmt_vm_vlan">'Deploy Workload Domain'!$D$346</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Domain'!$D$314</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MR'!$N$259</definedName>
    <definedName name="input_wld_az1_rack2_mgmt_vm_gateway_ip">'Value Reference Tables - MR'!$P$259</definedName>
    <definedName name="input_wld_az1_rack2_mgmt_vm_mtu">'Value Reference Tables - MR'!$R$259</definedName>
    <definedName name="input_wld_az1_rack2_mgmt_vm_vlan">'Value Reference Tables - MR'!$L$259</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MR'!$N$260</definedName>
    <definedName name="input_wld_az1_rack3_mgmt_vm_gateway_ip">'Value Reference Tables - MR'!$P$260</definedName>
    <definedName name="input_wld_az1_rack3_mgmt_vm_mtu">'Value Reference Tables - MR'!$R$260</definedName>
    <definedName name="input_wld_az1_rack3_mgmt_vm_vlan">'Value Reference Tables - MR'!$L$260</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MR'!$N$261</definedName>
    <definedName name="input_wld_az1_rack4_mgmt_vm_gateway_ip">'Value Reference Tables - MR'!$P$261</definedName>
    <definedName name="input_wld_az1_rack4_mgmt_vm_mtu">'Value Reference Tables - MR'!$R$261</definedName>
    <definedName name="input_wld_az1_rack4_mgmt_vm_vlan">'Value Reference Tables - MR'!$L$261</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MR'!$N$262</definedName>
    <definedName name="input_wld_az1_rack5_mgmt_vm_gateway_ip">'Value Reference Tables - MR'!$P$262</definedName>
    <definedName name="input_wld_az1_rack5_mgmt_vm_mtu">'Value Reference Tables - MR'!$R$262</definedName>
    <definedName name="input_wld_az1_rack5_mgmt_vm_vlan">'Value Reference Tables - MR'!$L$262</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MR'!$N$263</definedName>
    <definedName name="input_wld_az1_rack6_mgmt_vm_gateway_ip">'Value Reference Tables - MR'!$P$263</definedName>
    <definedName name="input_wld_az1_rack6_mgmt_vm_mtu">'Value Reference Tables - MR'!$R$263</definedName>
    <definedName name="input_wld_az1_rack6_mgmt_vm_vlan">'Value Reference Tables - MR'!$L$263</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Arkham!$R$67</definedName>
    <definedName name="input_wld_az1_rack7_edge_overlay_mask">Arkham!$R$70</definedName>
    <definedName name="input_wld_az1_rack7_edge_overlay_mtu">Arkham!$R$73</definedName>
    <definedName name="input_wld_az1_rack7_edge_overlay_network">Arkham!$R$64</definedName>
    <definedName name="input_wld_az1_rack7_edge_overlay_network_pool_name">'Additional Racks'!$D$547</definedName>
    <definedName name="input_wld_az1_rack7_edge_overlay_pool_end_ip">Arkham!$R$75</definedName>
    <definedName name="input_wld_az1_rack7_edge_overlay_pool_start_ip">Arkham!$R$74</definedName>
    <definedName name="input_wld_az1_rack7_edge_overlay_vlan">Arkham!$R$61</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MR'!$N$264</definedName>
    <definedName name="input_wld_az1_rack7_mgmt_vm_gateway_ip">'Value Reference Tables - MR'!$P$264</definedName>
    <definedName name="input_wld_az1_rack7_mgmt_vm_mtu">'Value Reference Tables - MR'!$R$264</definedName>
    <definedName name="input_wld_az1_rack7_mgmt_vm_vlan">'Value Reference Tables - MR'!$L$264</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Arkham!$R$78</definedName>
    <definedName name="input_wld_az1_rack7_tor1_peer_bgp_password">Arkham!$R$79</definedName>
    <definedName name="input_wld_az1_rack7_tor1_peer_ip">Arkham!$R$77</definedName>
    <definedName name="input_wld_az1_rack7_tor2_peer_asn">Arkham!$R$81</definedName>
    <definedName name="input_wld_az1_rack7_tor2_peer_bgp_password">Arkham!$R$82</definedName>
    <definedName name="input_wld_az1_rack7_tor2_peer_ip">Arkham!$R$80</definedName>
    <definedName name="input_wld_az1_rack7_uplink01_gateway_ip">Arkham!$R$65</definedName>
    <definedName name="input_wld_az1_rack7_uplink01_mask">Arkham!$R$68</definedName>
    <definedName name="input_wld_az1_rack7_uplink01_mtu">Arkham!$R$71</definedName>
    <definedName name="input_wld_az1_rack7_uplink01_network">Arkham!$R$62</definedName>
    <definedName name="input_wld_az1_rack7_uplink01_vlan">Arkham!$R$59</definedName>
    <definedName name="input_wld_az1_rack7_uplink02_gateway_ip">Arkham!$R$66</definedName>
    <definedName name="input_wld_az1_rack7_uplink02_mask">Arkham!$R$69</definedName>
    <definedName name="input_wld_az1_rack7_uplink02_mtu">Arkham!$R$72</definedName>
    <definedName name="input_wld_az1_rack7_uplink02_network">Arkham!$R$63</definedName>
    <definedName name="input_wld_az1_rack7_uplink02_vlan">Arkham!$R$60</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MR'!$N$265</definedName>
    <definedName name="input_wld_az1_rack8_mgmt_vm_gateway_ip">'Value Reference Tables - MR'!$P$265</definedName>
    <definedName name="input_wld_az1_rack8_mgmt_vm_mtu">'Value Reference Tables - MR'!$R$265</definedName>
    <definedName name="input_wld_az1_rack8_mgmt_vm_vlan">'Value Reference Tables - MR'!$L$265</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Domain'!$D$466</definedName>
    <definedName name="input_wld_az1_rtep_overlay_cidr">'Configure Workload Domain'!$D$469</definedName>
    <definedName name="input_wld_az1_rtep_overlay_gateway_ip">'Configure Workload Domain'!$D$470</definedName>
    <definedName name="input_wld_az1_rtep_overlay_vlan">'Configure Workload Domain'!$D$499</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Domain'!$D$325</definedName>
    <definedName name="input_wld_az2_host_overlay_gateway_ip">'Configure Workload Domain'!$D$324</definedName>
    <definedName name="input_wld_az2_host_overlay_mtu">'Configure Workload Domain'!$D$326</definedName>
    <definedName name="input_wld_az2_host_overlay_network_pool_name">'Configure Workload Domain'!$D$321</definedName>
    <definedName name="input_wld_az2_host_overlay_network_profile_name">'Configure Workload Domain'!$D$319</definedName>
    <definedName name="input_wld_az2_host_overlay_pool_end_ip">'Configure Workload Domain'!$D$328</definedName>
    <definedName name="input_wld_az2_host_overlay_pool_start_ip">'Configure Workload Domain'!$D$327</definedName>
    <definedName name="input_wld_az2_host_overlay_uplink_profile_name">'Configure Workload Domain'!$D$322</definedName>
    <definedName name="input_wld_az2_host_overlay_vlan">'Configure Workload Domain'!$D$323</definedName>
    <definedName name="input_wld_az2_host1_fqdn">'Configure Workload Domain'!$D$232</definedName>
    <definedName name="input_wld_az2_host1_mgmt_ip">'Configure Workload Domain'!$D$174</definedName>
    <definedName name="input_wld_az2_host1_sddc_id">'Configure Workload Domain'!$D$303</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Domain'!$D$304</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Domain'!$D$305</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Domain'!$D$306</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Domain'!$D$346</definedName>
    <definedName name="input_wld_az2_tor1_peer_bgp_password">'Configure Workload Domain'!$D$349</definedName>
    <definedName name="input_wld_az2_tor1_peer_ip">'Configure Workload Domain'!$D$345</definedName>
    <definedName name="input_wld_az2_tor2_peer_asn">'Configure Workload Domain'!$D$351</definedName>
    <definedName name="input_wld_az2_tor2_peer_bgp_password">'Configure Workload Domain'!$D$354</definedName>
    <definedName name="input_wld_az2_tor2_peer_ip">'Configure Workload Domain'!$D$350</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Domain'!$D$272</definedName>
    <definedName name="input_wld_cl01_az1_mgmt_vm_pg">'Deploy Workload Domain'!$D$277</definedName>
    <definedName name="input_wld_cl01_az1_nsx_uplink_count">'Deploy Workload Domain'!$D$315</definedName>
    <definedName name="input_wld_cl01_az1_principal_storage_pg">'Deploy Workload Domain'!$D$287</definedName>
    <definedName name="input_wld_cl01_az1_uplink01_pg">'Configure Workload Domain'!$D$136</definedName>
    <definedName name="input_wld_cl01_az1_uplink02_pg">'Configure Workload Domain'!$D$140</definedName>
    <definedName name="input_wld_cl01_az1_vmotion_pg">'Deploy Workload Domain'!$D$282</definedName>
    <definedName name="input_wld_cl01_az1_vsan_storage_client_pg">'Deploy Workload Domain'!$D$292</definedName>
    <definedName name="input_wld_cl01_cluster">'Deploy Workload Domain'!$D$163</definedName>
    <definedName name="input_wld_cl01_cluster_sddc_id">'Configure Workload Domain'!$D$332</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Domain'!$D$329</definedName>
    <definedName name="input_wld_cl01_supervisor_dns">'Deploy Workload Domain'!$D$335</definedName>
    <definedName name="input_wld_cl01_supervisor_name">'Deploy Workload Domain'!$D$326</definedName>
    <definedName name="input_wld_cl01_supervisor_nsx_project">'Deploy Workload Domain'!$D$331</definedName>
    <definedName name="input_wld_cl01_supervisor_ntp">'Deploy Workload Domain'!$D$336</definedName>
    <definedName name="input_wld_cl01_supervisor_private_cidr">'Deploy Workload Domain'!$D$334</definedName>
    <definedName name="input_wld_cl01_supervisor_private_transit_gateway_cidr">'Deploy Workload Domain'!$D$333</definedName>
    <definedName name="input_wld_cl01_supervisor_service_cidr">'Deploy Workload Domain'!$D$327</definedName>
    <definedName name="input_wld_cl01_supervisor_vpc_profile">'Deploy Workload Domain'!$D$332</definedName>
    <definedName name="input_wld_cl01_vds01_lag_name">'Deploy Workload Domain'!$D$242</definedName>
    <definedName name="input_wld_cl01_vds01_mtu">'Deploy Workload Domain'!$D$240</definedName>
    <definedName name="input_wld_cl01_vds01_name">'Deploy Workload Domain'!$D$239</definedName>
    <definedName name="input_wld_cl01_vds01_pnics">'Deploy Workload Domain'!$D$247</definedName>
    <definedName name="input_wld_cl01_vds01_uplink_count">'Deploy Workload Domain'!$D$246</definedName>
    <definedName name="input_wld_cl01_vds02_lag_name">'Deploy Workload Domain'!$D$253</definedName>
    <definedName name="input_wld_cl01_vds02_mtu">'Deploy Workload Domain'!$D$251</definedName>
    <definedName name="input_wld_cl01_vds02_name">'Deploy Workload Domain'!$D$250</definedName>
    <definedName name="input_wld_cl01_vds02_pnics">'Deploy Workload Domain'!$D$258</definedName>
    <definedName name="input_wld_cl01_vds02_uplink_count">'Deploy Workload Domain'!$D$257</definedName>
    <definedName name="input_wld_cl01_vds03_lag_name">'Deploy Workload Domain'!$D$264</definedName>
    <definedName name="input_wld_cl01_vds03_mtu">'Deploy Workload Domain'!$D$262</definedName>
    <definedName name="input_wld_cl01_vds03_name">'Deploy Workload Domain'!$D$261</definedName>
    <definedName name="input_wld_cl01_vds03_pnics">'Deploy Workload Domain'!$D$269</definedName>
    <definedName name="input_wld_cl01_vds03_uplink_count">'Deploy Workload Domain'!$D$268</definedName>
    <definedName name="input_wld_cl01_vmfs_datastore_name">'Deploy Workload Domain'!$D$205</definedName>
    <definedName name="input_wld_cl01_vsan_datastore">'Deploy Workload Domain'!$D$201</definedName>
    <definedName name="input_wld_datacenter">'Configure Workload Domain'!$D$286</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Domain'!$D$512</definedName>
    <definedName name="input_wld_existing_cross_instance_t0_name">'Configure Workload Domain'!$D$513</definedName>
    <definedName name="input_wld_host_overlay_transportzone">'Deploy Workload Domain'!$D$302</definedName>
    <definedName name="input_wld_nsx_vlan_transport_zone_name">'Deploy Workload Domain'!$D$312</definedName>
    <definedName name="input_wld_nsxt_en_admin_password">'Configure Workload Domain'!$D$93</definedName>
    <definedName name="input_wld_nsxt_en_root_password">'Configure Workload Domain'!$D$92</definedName>
    <definedName name="input_wld_nsxt_federation_global_manager_name">'Configure Workload Domain'!$D$475</definedName>
    <definedName name="input_wld_nsxt_federation_location_name">'Configure Workload Domain'!$D$493</definedName>
    <definedName name="input_wld_nsxt_global_mgr_anti_affinity_rule_name">'Configure Workload Domain'!$D$434</definedName>
    <definedName name="input_wld_nsxt_global_mgr_certificate_id">'Configure Workload Domain'!$D$452</definedName>
    <definedName name="input_wld_nsxt_global_mgr_cluster_id">'Configure Workload Domain'!$D$416</definedName>
    <definedName name="input_wld_nsxt_global_mgr_vmca_signed_thumbprint">'Configure Workload Domain'!$D$417</definedName>
    <definedName name="input_wld_nsxt_global_mgra_fqdn">'Configure Workload Domain'!$D$370</definedName>
    <definedName name="input_wld_nsxt_global_mgra_hostname">'Configure Workload Domain'!$D$361</definedName>
    <definedName name="input_wld_nsxt_global_mgra_ip">'Configure Workload Domain'!$D$371</definedName>
    <definedName name="input_wld_nsxt_global_mgrb_fqdn">'Configure Workload Domain'!$D$387</definedName>
    <definedName name="input_wld_nsxt_global_mgrb_hostname">'Configure Workload Domain'!$D$378</definedName>
    <definedName name="input_wld_nsxt_global_mgrb_ip">'Configure Workload Domain'!$D$388</definedName>
    <definedName name="input_wld_nsxt_global_mgrc_fqdn">'Configure Workload Domain'!$D$404</definedName>
    <definedName name="input_wld_nsxt_global_mgrc_hostname">'Configure Workload Domain'!$D$395</definedName>
    <definedName name="input_wld_nsxt_global_mgrc_ip">'Configure Workload Domain'!$D$405</definedName>
    <definedName name="input_wld_nsxt_gm_admin_password">'Configure Workload Domain'!$D$368</definedName>
    <definedName name="input_wld_nsxt_gm_audit_password">'Configure Workload Domain'!$D$369</definedName>
    <definedName name="input_wld_nsxt_gm_fingerprint">'Configure Workload Domain'!$D$480</definedName>
    <definedName name="input_wld_nsxt_gm_root_password">'Configure Workload Domain'!$D$367</definedName>
    <definedName name="input_wld_nsxt_gm_vip_fqdn">'Configure Workload Domain'!$D$443</definedName>
    <definedName name="input_wld_nsxt_gm_vip_ip">'Configure Workload Domain'!$D$442</definedName>
    <definedName name="input_wld_nsxt_lm_admin_password">'Deploy Workload Domain'!$D$183</definedName>
    <definedName name="input_wld_nsxt_lm_audit_password">'Deploy Workload Domain'!$D$184</definedName>
    <definedName name="input_wld_nsxt_lm_fingerprint">'Configure Workload Domain'!$D$491</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vip_ip">'Deploy Workload Domain'!$D$182</definedName>
    <definedName name="input_wld_nsxt_xreg_t1_name">'Configure Workload Domain'!$D$505</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Arkham!$R$76</definedName>
    <definedName name="input_wld_rack8_en_asn">Arkham!$U$73</definedName>
    <definedName name="input_wld_rtep_overlay_pool_end_ip">'Configure Workload Domain'!$D$468</definedName>
    <definedName name="input_wld_rtep_overlay_pool_start_ip">'Configure Workload Domain'!$D$467</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Domain'!$D$373</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Domain'!$D$268</definedName>
    <definedName name="input_wld_witness_dns1_ip">'Configure Workload Domain'!$D$279</definedName>
    <definedName name="input_wld_witness_dns2_ip">'Configure Workload Domain'!$D$280</definedName>
    <definedName name="input_wld_witness_fqdn">'Configure Workload Domain'!$D$287</definedName>
    <definedName name="input_wld_witness_hostname">'Configure Workload Domain'!$D$267</definedName>
    <definedName name="input_wld_witness_ip">'Configure Workload Domain'!$D$274</definedName>
    <definedName name="input_wld_witness_mgmt_pg">'Configure Workload Domain'!$D$271</definedName>
    <definedName name="input_wld_witness_ntp1_server">'Configure Workload Domain'!$D$281</definedName>
    <definedName name="input_wld_witness_ntp2_server">'Configure Workload Domain'!$D$282</definedName>
    <definedName name="input_wld_witness_root_password">'Configure Workload Domain'!$D$273</definedName>
    <definedName name="input_wld_witness_vm_folder">'Configure Workload Domain'!$D$269</definedName>
    <definedName name="input_wld_witness_vsan_datastore">'Configure Workload Domain'!$D$270</definedName>
    <definedName name="input_wld_witness_zone_vc_fqdn">'Configure Workload Domain'!$D$265</definedName>
    <definedName name="input_wld_witness_zone_vc_ip">'Configure Workload Domain'!$D$266</definedName>
    <definedName name="input_wld_witnessaz_mgmt_cidr">'Configure Workload Domain'!$D$259</definedName>
    <definedName name="input_wld_witnessaz_mgmt_gateway_ip">'Configure Workload Domain'!$D$258</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_pool_end_ip">Arkham!$Q$38</definedName>
    <definedName name="input_xreg_vra_node_pool_start_ip">Arkham!$Q$37</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nodee_ip">Arkham!$Q$8</definedName>
    <definedName name="input_xreg_vra_nodef_ip">Arkham!$Q$9</definedName>
    <definedName name="input_xreg_vra_prefix">'Deploy Management Domain'!$L$84</definedName>
    <definedName name="input_xreg_vra_virtual_fqdn">'Deploy Management Domain'!$L$78</definedName>
    <definedName name="input_xreg_vra_virtual_ip">'Deploy Management Domain'!$L$315</definedName>
    <definedName name="input_xreg_vrops_admin_password">'Deploy Management Domain'!$L$60</definedName>
    <definedName name="input_xreg_vrops_collector_fqdn">'Deploy Management Domain'!$L$70</definedName>
    <definedName name="input_xreg_vrops_collector_ip">'Deploy Management Domain'!$L$311</definedName>
    <definedName name="input_xreg_vrops_collector_root_password">'Deploy Management Domain'!$L$72</definedName>
    <definedName name="input_xreg_vrops_nodea_fqdn">'Deploy Management Domain'!$L$57</definedName>
    <definedName name="input_xreg_vrops_nodea_ip">'Deploy Management Domain'!$L$308</definedName>
    <definedName name="input_xreg_vrops_nodeb_fqdn">'Deploy Management Domain'!$L$58</definedName>
    <definedName name="input_xreg_vrops_nodeb_ip">'Deploy Management Domain'!$L$309</definedName>
    <definedName name="input_xreg_vrops_nodec_fqdn">'Deploy Management Domain'!$L$59</definedName>
    <definedName name="input_xreg_vrops_nodec_ip">'Deploy Management Domain'!$L$310</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Domain'!$L$313</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Domain'!$L$306</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ag_load_balancing">'Static Reference Tables'!$B$388:$B$407</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MR'!$F$261</definedName>
    <definedName name="mgmt_az1_en1_edge_overlay_interface_ip_2_ip">'Value Reference Tables - MR'!$F$262</definedName>
    <definedName name="mgmt_az1_en1_edge_overlay_network_ip_allocation_chosen">'Configure Management Domain'!$D$116</definedName>
    <definedName name="mgmt_az1_en1_eth0_uplink0">'Value Reference Tables'!$C$244</definedName>
    <definedName name="mgmt_az1_en1_eth0_uplink1">'Value Reference Tables'!$C$245</definedName>
    <definedName name="mgmt_az1_en1_eth1_uplink0">'Value Reference Tables'!$C$246</definedName>
    <definedName name="mgmt_az1_en1_eth1_uplink1">'Value Reference Tables'!$C$247</definedName>
    <definedName name="mgmt_az1_en1_fqdn">'Value Reference Tables'!$C$64</definedName>
    <definedName name="mgmt_az1_en1_hostname">'Value Reference Tables - MR'!$F$255</definedName>
    <definedName name="mgmt_az1_en1_ip_allocation_chosen">'Configure Management Domain'!$D$105</definedName>
    <definedName name="mgmt_az1_en1_mgmt_cidr">'Value Reference Tables - MR'!$F$258</definedName>
    <definedName name="mgmt_az1_en1_mgmt_ip">Arkham!$R$17</definedName>
    <definedName name="mgmt_az1_en1_uplink01_interface_cidr">'Value Reference Tables - MR'!$F$259</definedName>
    <definedName name="mgmt_az1_en1_uplink02_interface_cidr">'Value Reference Tables - MR'!$F$260</definedName>
    <definedName name="mgmt_az1_en2_edge_overlay_interface_ip_1_ip">'Value Reference Tables - MR'!$F$272</definedName>
    <definedName name="mgmt_az1_en2_edge_overlay_interface_ip_2_ip">'Value Reference Tables - MR'!$F$273</definedName>
    <definedName name="mgmt_az1_en2_eth0_uplink0">'Value Reference Tables'!$C$248</definedName>
    <definedName name="mgmt_az1_en2_eth0_uplink1">'Value Reference Tables'!$C$249</definedName>
    <definedName name="mgmt_az1_en2_eth1_uplink0">'Value Reference Tables'!$C$250</definedName>
    <definedName name="mgmt_az1_en2_eth1_uplink1">'Value Reference Tables'!$C$251</definedName>
    <definedName name="mgmt_az1_en2_fqdn">'Value Reference Tables'!$C$65</definedName>
    <definedName name="mgmt_az1_en2_hostname">'Value Reference Tables - MR'!$F$266</definedName>
    <definedName name="mgmt_az1_en2_mgmt_cidr">'Value Reference Tables - MR'!$F$269</definedName>
    <definedName name="mgmt_az1_en2_mgmt_ip">Arkham!$R$18</definedName>
    <definedName name="mgmt_az1_en2_uplink01_interface_cidr">'Value Reference Tables - MR'!$F$270</definedName>
    <definedName name="mgmt_az1_en2_uplink02_interface_cidr">'Value Reference Tables - MR'!$F$271</definedName>
    <definedName name="mgmt_az1_host_fqdns">'Value Reference Tables - MR'!$F$237:$F$252</definedName>
    <definedName name="mgmt_az1_host_hostnames">'Value Reference Tables - MR'!$F$218:$F$233</definedName>
    <definedName name="mgmt_az1_host_mgmt_ips">'Value Reference Tables - MR'!$F$183:$F$198</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MR'!$F$237</definedName>
    <definedName name="mgmt_az1_host1_hostname">'Value Reference Tables - MR'!$F$218</definedName>
    <definedName name="mgmt_az1_host1_mgmt_ip">'Value Reference Tables - MR'!$F$183</definedName>
    <definedName name="mgmt_az1_host1_vrms_ip">'Value Reference Tables - MR'!$F$199</definedName>
    <definedName name="mgmt_az1_host10_fqdn">'Value Reference Tables - MR'!$F$246</definedName>
    <definedName name="mgmt_az1_host10_hostname">'Value Reference Tables - MR'!$F$227</definedName>
    <definedName name="mgmt_az1_host10_mgmt_ip">'Value Reference Tables - MR'!$F$192</definedName>
    <definedName name="mgmt_az1_host10_vrms_ip">'Value Reference Tables - MR'!$F$208</definedName>
    <definedName name="mgmt_az1_host11_fqdn">'Value Reference Tables - MR'!$F$247</definedName>
    <definedName name="mgmt_az1_host11_hostname">'Value Reference Tables - MR'!$F$228</definedName>
    <definedName name="mgmt_az1_host11_mgmt_ip">'Value Reference Tables - MR'!$F$193</definedName>
    <definedName name="mgmt_az1_host11_vrms_ip">'Value Reference Tables - MR'!$F$209</definedName>
    <definedName name="mgmt_az1_host12_fqdn">'Value Reference Tables - MR'!$F$248</definedName>
    <definedName name="mgmt_az1_host12_hostname">'Value Reference Tables - MR'!$F$229</definedName>
    <definedName name="mgmt_az1_host12_mgmt_ip">'Value Reference Tables - MR'!$F$194</definedName>
    <definedName name="mgmt_az1_host12_vrms_ip">'Value Reference Tables - MR'!$F$210</definedName>
    <definedName name="mgmt_az1_host13_fqdn">'Value Reference Tables - MR'!$F$249</definedName>
    <definedName name="mgmt_az1_host13_hostname">'Value Reference Tables - MR'!$F$230</definedName>
    <definedName name="mgmt_az1_host13_mgmt_ip">'Value Reference Tables - MR'!$F$195</definedName>
    <definedName name="mgmt_az1_host13_vrms_ip">'Value Reference Tables - MR'!$F$211</definedName>
    <definedName name="mgmt_az1_host14_fqdn">'Value Reference Tables - MR'!$F$250</definedName>
    <definedName name="mgmt_az1_host14_hostname">'Value Reference Tables - MR'!$F$231</definedName>
    <definedName name="mgmt_az1_host14_mgmt_ip">'Value Reference Tables - MR'!$F$196</definedName>
    <definedName name="mgmt_az1_host14_vrms_ip">'Value Reference Tables - MR'!$F$212</definedName>
    <definedName name="mgmt_az1_host15_fqdn">'Value Reference Tables - MR'!$F$251</definedName>
    <definedName name="mgmt_az1_host15_hostname">'Value Reference Tables - MR'!$F$232</definedName>
    <definedName name="mgmt_az1_host15_mgmt_ip">'Value Reference Tables - MR'!$F$197</definedName>
    <definedName name="mgmt_az1_host15_vrms_ip">'Value Reference Tables - MR'!$F$213</definedName>
    <definedName name="mgmt_az1_host16_fqdn">'Value Reference Tables - MR'!$F$252</definedName>
    <definedName name="mgmt_az1_host16_hostname">'Value Reference Tables - MR'!$F$233</definedName>
    <definedName name="mgmt_az1_host16_mgmt_ip">'Value Reference Tables - MR'!$F$198</definedName>
    <definedName name="mgmt_az1_host16_vrms_ip">'Value Reference Tables - MR'!$F$214</definedName>
    <definedName name="mgmt_az1_host2_fqdn">'Value Reference Tables - MR'!$F$238</definedName>
    <definedName name="mgmt_az1_host2_hostname">'Value Reference Tables - MR'!$F$219</definedName>
    <definedName name="mgmt_az1_host2_mgmt_ip">'Value Reference Tables - MR'!$F$184</definedName>
    <definedName name="mgmt_az1_host2_vrms_ip">'Value Reference Tables - MR'!$F$200</definedName>
    <definedName name="mgmt_az1_host3_fqdn">'Value Reference Tables - MR'!$F$239</definedName>
    <definedName name="mgmt_az1_host3_hostname">'Value Reference Tables - MR'!$F$220</definedName>
    <definedName name="mgmt_az1_host3_mgmt_ip">'Value Reference Tables - MR'!$F$185</definedName>
    <definedName name="mgmt_az1_host3_vrms_ip">'Value Reference Tables - MR'!$F$201</definedName>
    <definedName name="mgmt_az1_host4_fqdn">'Value Reference Tables - MR'!$F$240</definedName>
    <definedName name="mgmt_az1_host4_hostname">'Value Reference Tables - MR'!$F$221</definedName>
    <definedName name="mgmt_az1_host4_mgmt_ip">'Value Reference Tables - MR'!$F$186</definedName>
    <definedName name="mgmt_az1_host4_vrms_ip">'Value Reference Tables - MR'!$F$202</definedName>
    <definedName name="mgmt_az1_host5_fqdn">'Value Reference Tables - MR'!$F$241</definedName>
    <definedName name="mgmt_az1_host5_hostname">'Value Reference Tables - MR'!$F$222</definedName>
    <definedName name="mgmt_az1_host5_mgmt_ip">'Value Reference Tables - MR'!$F$187</definedName>
    <definedName name="mgmt_az1_host5_vrms_ip">'Value Reference Tables - MR'!$F$203</definedName>
    <definedName name="mgmt_az1_host6_fqdn">'Value Reference Tables - MR'!$F$242</definedName>
    <definedName name="mgmt_az1_host6_hostname">'Value Reference Tables - MR'!$F$223</definedName>
    <definedName name="mgmt_az1_host6_mgmt_ip">'Value Reference Tables - MR'!$F$188</definedName>
    <definedName name="mgmt_az1_host6_vrms_ip">'Value Reference Tables - MR'!$F$204</definedName>
    <definedName name="mgmt_az1_host7_fqdn">'Value Reference Tables - MR'!$F$243</definedName>
    <definedName name="mgmt_az1_host7_hostname">'Value Reference Tables - MR'!$F$224</definedName>
    <definedName name="mgmt_az1_host7_mgmt_ip">'Value Reference Tables - MR'!$F$189</definedName>
    <definedName name="mgmt_az1_host7_vrms_ip">'Value Reference Tables - MR'!$F$205</definedName>
    <definedName name="mgmt_az1_host8_fqdn">'Value Reference Tables - MR'!$F$244</definedName>
    <definedName name="mgmt_az1_host8_hostname">'Value Reference Tables - MR'!$F$225</definedName>
    <definedName name="mgmt_az1_host8_mgmt_ip">'Value Reference Tables - MR'!$F$190</definedName>
    <definedName name="mgmt_az1_host8_vrms_ip">'Value Reference Tables - MR'!$F$206</definedName>
    <definedName name="mgmt_az1_host9_fqdn">'Value Reference Tables - MR'!$F$245</definedName>
    <definedName name="mgmt_az1_host9_hostname">'Value Reference Tables - MR'!$F$226</definedName>
    <definedName name="mgmt_az1_host9_mgmt_ip">'Value Reference Tables - MR'!$F$191</definedName>
    <definedName name="mgmt_az1_host9_vrms_ip">'Value Reference Tables - MR'!$F$207</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MR'!$F$300</definedName>
    <definedName name="mgmt_az2_edge_overlay_gateway_ip">'Value Reference Tables - MR'!$F$342</definedName>
    <definedName name="mgmt_az2_edge_overlay_mask">'Value Reference Tables - MR'!$F$328</definedName>
    <definedName name="mgmt_az2_edge_overlay_mtu">'Value Reference Tables - MR'!$F$356</definedName>
    <definedName name="mgmt_az2_edge_overlay_network">'Value Reference Tables - MR'!$F$314</definedName>
    <definedName name="mgmt_az2_edge_overlay_pg">'Value Reference Tables - MR'!$F$380</definedName>
    <definedName name="mgmt_az2_edge_overlay_vlan">'Value Reference Tables - MR'!$F$286</definedName>
    <definedName name="mgmt_az2_host_fqdns">'Value Reference Tables - MR'!$F$469:$F$484</definedName>
    <definedName name="mgmt_az2_host_hostnames">'Value Reference Tables - MR'!$F$450:$F$465</definedName>
    <definedName name="mgmt_az2_host_mgmt_ips">'Value Reference Tables - MR'!$F$415:$F$430</definedName>
    <definedName name="mgmt_az2_host_overlay_cidr">'Value Reference Tables - MR'!$F$296</definedName>
    <definedName name="mgmt_az2_host_overlay_gateway_ip">'Value Reference Tables - MR'!$F$338</definedName>
    <definedName name="mgmt_az2_host_overlay_mask">'Value Reference Tables - MR'!$F$324</definedName>
    <definedName name="mgmt_az2_host_overlay_mtu">'Value Reference Tables - MR'!$F$352</definedName>
    <definedName name="mgmt_az2_host_overlay_network">'Value Reference Tables - MR'!$F$310</definedName>
    <definedName name="mgmt_az2_host_overlay_network_pool_name">'Value Reference Tables - MR'!$F$400</definedName>
    <definedName name="mgmt_az2_host_overlay_network_profile_name">'Value Reference Tables - MR'!$F$399</definedName>
    <definedName name="mgmt_az2_host_overlay_new_pool_chosen">'Configure Management Domain'!$D$362</definedName>
    <definedName name="mgmt_az2_host_overlay_pg">'Value Reference Tables - MR'!$F$376</definedName>
    <definedName name="mgmt_az2_host_overlay_pool_end_ip">'Value Reference Tables - MR'!$F$390</definedName>
    <definedName name="mgmt_az2_host_overlay_pool_name">'Value Reference Tables'!$C$202</definedName>
    <definedName name="mgmt_az2_host_overlay_pool_start_ip">'Value Reference Tables - MR'!$F$389</definedName>
    <definedName name="mgmt_az2_host_overlay_uplink_profile_name">'Value Reference Tables - MR'!$F$401</definedName>
    <definedName name="mgmt_az2_host_overlay_vlan">'Value Reference Tables - MR'!$F$282</definedName>
    <definedName name="mgmt_az2_host_vrms_ips">'Value Reference Tables - MR'!$F$431:$F$446</definedName>
    <definedName name="mgmt_az2_host1_fqdn">'Value Reference Tables - MR'!$F$469</definedName>
    <definedName name="mgmt_az2_host1_hostname">'Value Reference Tables - MR'!$F$450</definedName>
    <definedName name="mgmt_az2_host1_mgmt_ip">'Value Reference Tables - MR'!$F$415</definedName>
    <definedName name="mgmt_az2_host1_sddc_id">'Value Reference Tables'!$C$197</definedName>
    <definedName name="mgmt_az2_host1_vrms_ip">'Value Reference Tables - MR'!$F$431</definedName>
    <definedName name="mgmt_az2_host10_fqdn">'Value Reference Tables - MR'!$F$478</definedName>
    <definedName name="mgmt_az2_host10_hostname">'Value Reference Tables - MR'!$F$459</definedName>
    <definedName name="mgmt_az2_host10_mgmt_ip">'Value Reference Tables - MR'!$F$424</definedName>
    <definedName name="mgmt_az2_host10_vrms_ip">'Value Reference Tables - MR'!$F$440</definedName>
    <definedName name="mgmt_az2_host11_fqdn">'Value Reference Tables - MR'!$F$479</definedName>
    <definedName name="mgmt_az2_host11_hostname">'Value Reference Tables - MR'!$F$460</definedName>
    <definedName name="mgmt_az2_host11_mgmt_ip">'Value Reference Tables - MR'!$F$425</definedName>
    <definedName name="mgmt_az2_host11_vrms_ip">'Value Reference Tables - MR'!$F$441</definedName>
    <definedName name="mgmt_az2_host12_fqdn">'Value Reference Tables - MR'!$F$480</definedName>
    <definedName name="mgmt_az2_host12_hostname">'Value Reference Tables - MR'!$F$461</definedName>
    <definedName name="mgmt_az2_host12_mgmt_ip">'Value Reference Tables - MR'!$F$426</definedName>
    <definedName name="mgmt_az2_host12_vrms_ip">'Value Reference Tables - MR'!$F$442</definedName>
    <definedName name="mgmt_az2_host13_fqdn">'Value Reference Tables - MR'!$F$481</definedName>
    <definedName name="mgmt_az2_host13_hostname">'Value Reference Tables - MR'!$F$462</definedName>
    <definedName name="mgmt_az2_host13_mgmt_ip">'Value Reference Tables - MR'!$F$427</definedName>
    <definedName name="mgmt_az2_host13_vrms_ip">'Value Reference Tables - MR'!$F$443</definedName>
    <definedName name="mgmt_az2_host14_fqdn">'Value Reference Tables - MR'!$F$482</definedName>
    <definedName name="mgmt_az2_host14_hostname">'Value Reference Tables - MR'!$F$463</definedName>
    <definedName name="mgmt_az2_host14_mgmt_ip">'Value Reference Tables - MR'!$F$428</definedName>
    <definedName name="mgmt_az2_host14_vrms_ip">'Value Reference Tables - MR'!$F$444</definedName>
    <definedName name="mgmt_az2_host15_fqdn">'Value Reference Tables - MR'!$F$483</definedName>
    <definedName name="mgmt_az2_host15_hostname">'Value Reference Tables - MR'!$F$464</definedName>
    <definedName name="mgmt_az2_host15_mgmt_ip">'Value Reference Tables - MR'!$F$429</definedName>
    <definedName name="mgmt_az2_host15_vrms_ip">'Value Reference Tables - MR'!$F$445</definedName>
    <definedName name="mgmt_az2_host16_fqdn">'Value Reference Tables - MR'!$F$484</definedName>
    <definedName name="mgmt_az2_host16_hostname">'Value Reference Tables - MR'!$F$465</definedName>
    <definedName name="mgmt_az2_host16_mgmt_ip">'Value Reference Tables - MR'!$F$430</definedName>
    <definedName name="mgmt_az2_host16_vrms_ip">'Value Reference Tables - MR'!$F$446</definedName>
    <definedName name="mgmt_az2_host2_fqdn">'Value Reference Tables - MR'!$F$470</definedName>
    <definedName name="mgmt_az2_host2_hostname">'Value Reference Tables - MR'!$F$451</definedName>
    <definedName name="mgmt_az2_host2_mgmt_ip">'Value Reference Tables - MR'!$F$416</definedName>
    <definedName name="mgmt_az2_host2_sddc_id">'Value Reference Tables'!$C$198</definedName>
    <definedName name="mgmt_az2_host2_vrms_ip">'Value Reference Tables - MR'!$F$432</definedName>
    <definedName name="mgmt_az2_host3_fqdn">'Value Reference Tables - MR'!$F$471</definedName>
    <definedName name="mgmt_az2_host3_hostname">'Value Reference Tables - MR'!$F$452</definedName>
    <definedName name="mgmt_az2_host3_mgmt_ip">'Value Reference Tables - MR'!$F$417</definedName>
    <definedName name="mgmt_az2_host3_sddc_id">'Value Reference Tables'!$C$199</definedName>
    <definedName name="mgmt_az2_host3_vrms_ip">'Value Reference Tables - MR'!$F$433</definedName>
    <definedName name="mgmt_az2_host4_fqdn">'Value Reference Tables - MR'!$F$472</definedName>
    <definedName name="mgmt_az2_host4_hostname">'Value Reference Tables - MR'!$F$453</definedName>
    <definedName name="mgmt_az2_host4_mgmt_ip">'Value Reference Tables - MR'!$F$418</definedName>
    <definedName name="mgmt_az2_host4_sddc_id">'Value Reference Tables'!$C$200</definedName>
    <definedName name="mgmt_az2_host4_vrms_ip">'Value Reference Tables - MR'!$F$434</definedName>
    <definedName name="mgmt_az2_host5_fqdn">'Value Reference Tables - MR'!$F$473</definedName>
    <definedName name="mgmt_az2_host5_hostname">'Value Reference Tables - MR'!$F$454</definedName>
    <definedName name="mgmt_az2_host5_mgmt_ip">'Value Reference Tables - MR'!$F$419</definedName>
    <definedName name="mgmt_az2_host5_vrms_ip">'Value Reference Tables - MR'!$F$435</definedName>
    <definedName name="mgmt_az2_host6_fqdn">'Value Reference Tables - MR'!$F$474</definedName>
    <definedName name="mgmt_az2_host6_hostname">'Value Reference Tables - MR'!$F$455</definedName>
    <definedName name="mgmt_az2_host6_mgmt_ip">'Value Reference Tables - MR'!$F$420</definedName>
    <definedName name="mgmt_az2_host6_vrms_ip">'Value Reference Tables - MR'!$F$436</definedName>
    <definedName name="mgmt_az2_host7_fqdn">'Value Reference Tables - MR'!$F$475</definedName>
    <definedName name="mgmt_az2_host7_hostname">'Value Reference Tables - MR'!$F$456</definedName>
    <definedName name="mgmt_az2_host7_mgmt_ip">'Value Reference Tables - MR'!$F$421</definedName>
    <definedName name="mgmt_az2_host7_vrms_ip">'Value Reference Tables - MR'!$F$437</definedName>
    <definedName name="mgmt_az2_host8_fqdn">'Value Reference Tables - MR'!$F$476</definedName>
    <definedName name="mgmt_az2_host8_hostname">'Value Reference Tables - MR'!$F$457</definedName>
    <definedName name="mgmt_az2_host8_mgmt_ip">'Value Reference Tables - MR'!$F$422</definedName>
    <definedName name="mgmt_az2_host8_vrms_ip">'Value Reference Tables - MR'!$F$438</definedName>
    <definedName name="mgmt_az2_host9_fqdn">'Value Reference Tables - MR'!$F$477</definedName>
    <definedName name="mgmt_az2_host9_hostname">'Value Reference Tables - MR'!$F$458</definedName>
    <definedName name="mgmt_az2_host9_mgmt_ip">'Value Reference Tables - MR'!$F$423</definedName>
    <definedName name="mgmt_az2_host9_vrms_ip">'Value Reference Tables - MR'!$F$439</definedName>
    <definedName name="mgmt_az2_mgmt_cidr">'Value Reference Tables - MR'!$F$293</definedName>
    <definedName name="mgmt_az2_mgmt_gateway_ip">'Value Reference Tables - MR'!$F$335</definedName>
    <definedName name="mgmt_az2_mgmt_mask">'Value Reference Tables - MR'!$F$321</definedName>
    <definedName name="mgmt_az2_mgmt_mtu">'Value Reference Tables - MR'!$F$349</definedName>
    <definedName name="mgmt_az2_mgmt_network">'Value Reference Tables - MR'!$F$307</definedName>
    <definedName name="mgmt_az2_mgmt_vlan">'Value Reference Tables - MR'!$F$279</definedName>
    <definedName name="mgmt_az2_mgmt_vm_cidr">'Value Reference Tables - MR'!$F$292</definedName>
    <definedName name="mgmt_az2_mgmt_vm_gateway_ip">'Value Reference Tables - MR'!$F$334</definedName>
    <definedName name="mgmt_az2_mgmt_vm_mtu">'Value Reference Tables - MR'!$F$348</definedName>
    <definedName name="mgmt_az2_mgmt_vm_vlan">'Value Reference Tables - MR'!$F$278</definedName>
    <definedName name="mgmt_az2_pool_name">'Value Reference Tables - MR'!$F$398</definedName>
    <definedName name="mgmt_az2_reuse_vcf_networkpool_chosen">'Configure Management Domain'!$D$249</definedName>
    <definedName name="mgmt_az2_rtep_overlay_cidr">'Value Reference Tables - MR'!$F$301</definedName>
    <definedName name="mgmt_az2_rtep_overlay_gateway_ip">'Value Reference Tables - MR'!$F$343</definedName>
    <definedName name="mgmt_az2_rtep_overlay_mask">'Value Reference Tables - MR'!$F$329</definedName>
    <definedName name="mgmt_az2_rtep_overlay_mtu">'Value Reference Tables - MR'!$F$357</definedName>
    <definedName name="mgmt_az2_rtep_overlay_network">'Value Reference Tables - MR'!$F$315</definedName>
    <definedName name="mgmt_az2_rtep_overlay_pg">'Value Reference Tables - MR'!$F$381</definedName>
    <definedName name="mgmt_az2_rtep_overlay_vlan">'Value Reference Tables - MR'!$F$287</definedName>
    <definedName name="mgmt_az2_secondary_storage_cidr">'Value Reference Tables - MR'!$F$297</definedName>
    <definedName name="mgmt_az2_secondary_storage_gateway_ip">'Value Reference Tables - MR'!$F$339</definedName>
    <definedName name="mgmt_az2_secondary_storage_mask">'Value Reference Tables - MR'!$F$325</definedName>
    <definedName name="mgmt_az2_secondary_storage_mtu">'Value Reference Tables - MR'!$F$353</definedName>
    <definedName name="mgmt_az2_secondary_storage_network">'Value Reference Tables - MR'!$F$311</definedName>
    <definedName name="mgmt_az2_secondary_storage_pool_end_ip">'Value Reference Tables - MR'!$F$392</definedName>
    <definedName name="mgmt_az2_secondary_storage_pool_start_ip">'Value Reference Tables - MR'!$F$391</definedName>
    <definedName name="mgmt_az2_secondary_storage_vlan">'Value Reference Tables - MR'!$F$283</definedName>
    <definedName name="mgmt_az2_tor1_peer_asn">'Value Reference Tables - MR'!$F$364</definedName>
    <definedName name="mgmt_az2_tor1_peer_bgp_password">'Value Reference Tables - MR'!$F$365</definedName>
    <definedName name="mgmt_az2_tor1_peer_ip">'Value Reference Tables - MR'!$F$363</definedName>
    <definedName name="mgmt_az2_tor2_peer_asn">'Value Reference Tables - MR'!$F$367</definedName>
    <definedName name="mgmt_az2_tor2_peer_bgp_password">'Value Reference Tables - MR'!$F$368</definedName>
    <definedName name="mgmt_az2_tor2_peer_ip">'Value Reference Tables - MR'!$F$366</definedName>
    <definedName name="mgmt_az2_uplink01_cidr">'Value Reference Tables - MR'!$F$298</definedName>
    <definedName name="mgmt_az2_uplink01_gateway_ip">'Value Reference Tables - MR'!$F$340</definedName>
    <definedName name="mgmt_az2_uplink01_mask">'Value Reference Tables - MR'!$F$326</definedName>
    <definedName name="mgmt_az2_uplink01_mtu">'Value Reference Tables - MR'!$F$354</definedName>
    <definedName name="mgmt_az2_uplink01_network">'Value Reference Tables - MR'!$F$312</definedName>
    <definedName name="mgmt_az2_uplink01_vlan">'Value Reference Tables - MR'!$F$284</definedName>
    <definedName name="mgmt_az2_uplink02_cidr">'Value Reference Tables - MR'!$F$299</definedName>
    <definedName name="mgmt_az2_uplink02_gateway_ip">'Value Reference Tables - MR'!$F$341</definedName>
    <definedName name="mgmt_az2_uplink02_mask">'Value Reference Tables - MR'!$F$327</definedName>
    <definedName name="mgmt_az2_uplink02_mtu">'Value Reference Tables - MR'!$F$355</definedName>
    <definedName name="mgmt_az2_uplink02_network">'Value Reference Tables - MR'!$F$313</definedName>
    <definedName name="mgmt_az2_uplink02_vlan">'Value Reference Tables - MR'!$F$285</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MR'!$F$294</definedName>
    <definedName name="mgmt_az2_vmotion_gateway_ip">'Value Reference Tables - MR'!$F$336</definedName>
    <definedName name="mgmt_az2_vmotion_mask">'Value Reference Tables - MR'!$F$322</definedName>
    <definedName name="mgmt_az2_vmotion_mtu">'Value Reference Tables - MR'!$F$350</definedName>
    <definedName name="mgmt_az2_vmotion_network">'Value Reference Tables - MR'!$F$308</definedName>
    <definedName name="mgmt_az2_vmotion_pool_end_ip">'Value Reference Tables - MR'!$F$386</definedName>
    <definedName name="mgmt_az2_vmotion_pool_start_ip">'Value Reference Tables - MR'!$F$385</definedName>
    <definedName name="mgmt_az2_vmotion_vlan">'Value Reference Tables - MR'!$F$280</definedName>
    <definedName name="mgmt_az2_vrms_cidr">'Value Reference Tables - MR'!$F$302</definedName>
    <definedName name="mgmt_az2_vrms_gateway_ip">'Value Reference Tables - MR'!$F$344</definedName>
    <definedName name="mgmt_az2_vrms_mask">'Value Reference Tables - MR'!$F$330</definedName>
    <definedName name="mgmt_az2_vrms_mtu">'Value Reference Tables - MR'!$F$358</definedName>
    <definedName name="mgmt_az2_vrms_network">'Value Reference Tables - MR'!$F$316</definedName>
    <definedName name="mgmt_az2_vrms_vlan">'Value Reference Tables - MR'!$F$288</definedName>
    <definedName name="mgmt_az2_vsan_cidr">'Value Reference Tables - MR'!$F$295</definedName>
    <definedName name="mgmt_az2_vsan_gateway_ip">'Value Reference Tables - MR'!$F$337</definedName>
    <definedName name="mgmt_az2_vsan_mask">'Value Reference Tables - MR'!$F$323</definedName>
    <definedName name="mgmt_az2_vsan_mtu">'Value Reference Tables - MR'!$F$351</definedName>
    <definedName name="mgmt_az2_vsan_network">'Value Reference Tables - MR'!$F$309</definedName>
    <definedName name="mgmt_az2_vsan_pool_end_ip">'Value Reference Tables - MR'!$F$388</definedName>
    <definedName name="mgmt_az2_vsan_pool_start_ip">'Value Reference Tables - MR'!$F$387</definedName>
    <definedName name="mgmt_az2_vsan_vlan">'Value Reference Tables - MR'!$F$281</definedName>
    <definedName name="mgmt_ceip_status_chosen">'Deploy Management Domain'!$L$50</definedName>
    <definedName name="mgmt_cl01_az1_mgmt_lbt_chosen">'Deploy Management Domain'!$L$222</definedName>
    <definedName name="mgmt_cl01_az1_mgmt_pg">'Value Reference Tables - MR'!$F$111</definedName>
    <definedName name="mgmt_cl01_az1_mgmt_uplink1_chosen">'Deploy Management Domain'!$L$223</definedName>
    <definedName name="mgmt_cl01_az1_mgmt_uplink2_chosen">'Deploy Management Domain'!$L$224</definedName>
    <definedName name="mgmt_cl01_az1_mgmt_vm_lbt_chosen">'Deploy Management Domain'!$L$227</definedName>
    <definedName name="mgmt_cl01_az1_mgmt_vm_pg">'Value Reference Tables - MR'!$F$110</definedName>
    <definedName name="mgmt_cl01_az1_mgmt_vm_uplink1_chosen">'Deploy Management Domain'!$L$228</definedName>
    <definedName name="mgmt_cl01_az1_mgmt_vm_uplink2_chosen">'Deploy Management Domain'!$L$229</definedName>
    <definedName name="mgmt_cl01_az1_nfs_lbt_chosen">'Deploy Management Domain'!$L$242</definedName>
    <definedName name="mgmt_cl01_az1_nfs_pg">'Value Reference Tables - MR'!$F$120</definedName>
    <definedName name="mgmt_cl01_az1_nfs_uplink1_chosen">'Deploy Management Domain'!$L$243</definedName>
    <definedName name="mgmt_cl01_az1_nfs_uplink2_chosen">'Deploy Management Domain'!$L$244</definedName>
    <definedName name="mgmt_cl01_az1_nsx_lbt_chosen">'Deploy Management Domain'!$L$248</definedName>
    <definedName name="mgmt_cl01_az1_nsx_uplink1_chosen">'Deploy Management Domain'!$L$249</definedName>
    <definedName name="mgmt_cl01_az1_nsx_uplink2_chosen">'Deploy Management Domain'!$L$250</definedName>
    <definedName name="mgmt_cl01_az1_uplink01_pg">'Value Reference Tables - MR'!$F$116</definedName>
    <definedName name="mgmt_cl01_az1_uplink02_pg">'Value Reference Tables - MR'!$F$117</definedName>
    <definedName name="mgmt_cl01_az1_vcf_mgmt_pg">Arkham!$C$9</definedName>
    <definedName name="mgmt_cl01_az1_vmotion_lbt_chosen">'Deploy Management Domain'!$L$232</definedName>
    <definedName name="mgmt_cl01_az1_vmotion_pg">'Value Reference Tables - MR'!$F$112</definedName>
    <definedName name="mgmt_cl01_az1_vmotion_uplink1_chosen">'Deploy Management Domain'!$L$233</definedName>
    <definedName name="mgmt_cl01_az1_vmotion_uplink2_chosen">'Deploy Management Domain'!$L$234</definedName>
    <definedName name="mgmt_cl01_az1_vsan_lbt_chosen">'Deploy Management Domain'!$L$237</definedName>
    <definedName name="mgmt_cl01_az1_vsan_pg">'Value Reference Tables - MR'!$F$113</definedName>
    <definedName name="mgmt_cl01_az1_vsan_uplink1_chosen">'Deploy Management Domain'!$L$238</definedName>
    <definedName name="mgmt_cl01_az1_vsan_uplink2_chosen">'Deploy Management Domain'!$L$239</definedName>
    <definedName name="mgmt_cl01_az2_mgmt_pg">'Value Reference Tables - MR'!$F$373</definedName>
    <definedName name="mgmt_cl01_az2_mgmt_vm_pg">'Value Reference Tables - MR'!$F$372</definedName>
    <definedName name="mgmt_cl01_az2_uplink01_pg">'Value Reference Tables - MR'!$F$378</definedName>
    <definedName name="mgmt_cl01_az2_uplink02_pg">'Value Reference Tables - MR'!$F$379</definedName>
    <definedName name="mgmt_cl01_az2_vmotion_pg">'Value Reference Tables - MR'!$F$374</definedName>
    <definedName name="mgmt_cl01_az2_vsan_pg">'Value Reference Tables - MR'!$F$375</definedName>
    <definedName name="mgmt_cl01_cluster">'Value Reference Tables'!$C$77</definedName>
    <definedName name="mgmt_cl01_cluster_sddc_id">'Value Reference Tables'!$C$201</definedName>
    <definedName name="mgmt_cl01_evc_mode_chosen">'Deploy Management Domain'!$M$349</definedName>
    <definedName name="mgmt_cl01_nfs_server_bound_to_vmknic_chosen">'Deploy Management Domain'!$L$122</definedName>
    <definedName name="mgmt_cl01_nfs_server_ip">'Value Reference Tables'!$C$123</definedName>
    <definedName name="mgmt_cl01_nfs_share">'Value Reference Tables'!$C$122</definedName>
    <definedName name="mgmt_cl01_vds_profile_chosen">'Deploy Management Domain'!$L$183</definedName>
    <definedName name="mgmt_cl01_vds01_lacp_mode_chosen">'Deploy Management Domain'!$L$192</definedName>
    <definedName name="mgmt_cl01_vds01_lacp_timeout_chosen">'Deploy Management Domain'!$L$194</definedName>
    <definedName name="mgmt_cl01_vds01_lag_lbt_chosen">'Deploy Management Domain'!$L$193</definedName>
    <definedName name="mgmt_cl01_vds01_lag_name">'Value Reference Tables'!$C$97</definedName>
    <definedName name="mgmt_cl01_vds01_link_type_chosen">'Deploy Management Domain'!$L$190</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lacp_mode_chosen">'Deploy Management Domain'!$L$203</definedName>
    <definedName name="mgmt_cl01_vds02_lacp_timeout_chosen">'Deploy Management Domain'!$L$205</definedName>
    <definedName name="mgmt_cl01_vds02_lag_lbt_chosen">'Deploy Management Domain'!$L$204</definedName>
    <definedName name="mgmt_cl01_vds02_lag_name">'Value Reference Tables'!$C$104</definedName>
    <definedName name="mgmt_cl01_vds02_link_type_chosen">'Deploy Management Domain'!$L$201</definedName>
    <definedName name="mgmt_cl01_vds02_mtu">'Value Reference Tables'!$C$103</definedName>
    <definedName name="mgmt_cl01_vds02_name">'Value Reference Tables'!$C$99</definedName>
    <definedName name="mgmt_cl01_vds02_pnics">'Value Reference Tables'!$C$100:$C$101</definedName>
    <definedName name="mgmt_cl01_vds02_uplink_count">'Value Reference Tables'!$C$102</definedName>
    <definedName name="mgmt_cl01_vds02_uplink1">'Value Reference Tables'!$C$100</definedName>
    <definedName name="mgmt_cl01_vds02_uplink2">'Value Reference Tables'!$C$101</definedName>
    <definedName name="mgmt_cl01_vds03_lacp_mode_chosen">'Deploy Management Domain'!$L$214</definedName>
    <definedName name="mgmt_cl01_vds03_lacp_timeout_chosen">'Deploy Management Domain'!$L$216</definedName>
    <definedName name="mgmt_cl01_vds03_lag_lbt_chosen">'Deploy Management Domain'!$L$215</definedName>
    <definedName name="mgmt_cl01_vds03_lag_name">'Value Reference Tables'!$C$111</definedName>
    <definedName name="mgmt_cl01_vds03_link_type_chosen">'Deploy Management Domain'!$L$211</definedName>
    <definedName name="mgmt_cl01_vds03_mtu">'Value Reference Tables'!$C$110</definedName>
    <definedName name="mgmt_cl01_vds03_name">'Value Reference Tables'!$C$106</definedName>
    <definedName name="mgmt_cl01_vds03_pnics">'Value Reference Tables'!$C$107:$C$108</definedName>
    <definedName name="mgmt_cl01_vds03_uplink_count">'Value Reference Tables'!$C$109</definedName>
    <definedName name="mgmt_cl01_vds03_uplink1">'Value Reference Tables'!$C$107</definedName>
    <definedName name="mgmt_cl01_vds03_uplink2">'Value Reference Tables'!$C$108</definedName>
    <definedName name="mgmt_cl01_vsan_datastore">'Value Reference Tables'!$C$119</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Tables'!$C$136</definedName>
    <definedName name="mgmt_ec_api_chosen">'Configure Management Domain'!$D$191</definedName>
    <definedName name="mgmt_ec_gateway_type">'Value Reference Tables'!$C$128</definedName>
    <definedName name="mgmt_ec_mtu">'Value Reference Tables'!$C$130</definedName>
    <definedName name="mgmt_ec_name">'Value Reference Tables'!$O$15</definedName>
    <definedName name="mgmt_ec_rp_name">'Value Reference Tables'!$C$131</definedName>
    <definedName name="mgmt_ec01_en01_host_group_affinity_rule_name">'Value Reference Tables'!$C$133</definedName>
    <definedName name="mgmt_ec01_en02_host_group_affinity_rule_name">'Value Reference Tables'!$C$134</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Domain'!$L$254</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Domain'!$L$246</definedName>
    <definedName name="mgmt_nsx_operation_mode_chosen">'Deploy Management Domain'!$L$247</definedName>
    <definedName name="mgmt_nsx_rp">'Value Reference Tables'!$C$80</definedName>
    <definedName name="mgmt_nsx_vm_folder">'Value Reference Tables'!$O$35</definedName>
    <definedName name="mgmt_nsxt_appliance_size_chosen">'Deploy Management Domain'!$L$103</definedName>
    <definedName name="mgmt_nsxt_en_admin_password">'Value Reference Tables'!$C$232</definedName>
    <definedName name="mgmt_nsxt_en_root_password">'Value Reference Tables'!$C$233</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vip_fqdn">'Value Reference Tables'!$C$60</definedName>
    <definedName name="mgmt_nsxt_gm_vip_ip">'Value Reference Tables'!$C$21</definedName>
    <definedName name="mgmt_nsxt_hostname">'Value Reference Tables'!$C$40</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Domain'!$L$91</definedName>
    <definedName name="mgmt_vcf_installer_location_chosen">'Deploy Management Domain'!$L$265</definedName>
    <definedName name="mgmt_vcf_management_network_chosen">Arkham!$P$5</definedName>
    <definedName name="mgmt_vcfops_appliance_size_chosen">'Deploy Management Domain'!$L$56</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Tables'!$C$208</definedName>
    <definedName name="mgmt_witness_dns1_ip">'Value Reference Tables'!$C$215</definedName>
    <definedName name="mgmt_witness_dns2_ip">'Value Reference Tables'!$C$216</definedName>
    <definedName name="mgmt_witness_fqdn">'Value Reference Tables'!$C$72</definedName>
    <definedName name="mgmt_witness_hostname">'Value Reference Tables'!$C$193</definedName>
    <definedName name="mgmt_witness_ip">'Value Reference Tables'!$L$176</definedName>
    <definedName name="mgmt_witness_mgmt_pg">'Value Reference Tables'!$X$36</definedName>
    <definedName name="mgmt_witness_ntp1_server">'Value Reference Tables'!$C$217</definedName>
    <definedName name="mgmt_witness_ntp2_server">'Value Reference Tables'!$C$218</definedName>
    <definedName name="mgmt_witness_root_password">'Value Reference Tables'!$L$34</definedName>
    <definedName name="mgmt_witness_sddc_domain">'Value Reference Tables'!$C$206</definedName>
    <definedName name="mgmt_witness_vc_fqdn">'Value Reference Tables'!$C$71</definedName>
    <definedName name="mgmt_witness_vcenter_fqdn">'Value Reference Tables'!$L$167</definedName>
    <definedName name="mgmt_witness_vcenter_hostname">'Value Reference Tables'!$C$192</definedName>
    <definedName name="mgmt_witness_vm_folder">'Value Reference Tables'!$C$209</definedName>
    <definedName name="mgmt_witness_vsan_datastore">'Value Reference Tables'!$C$207</definedName>
    <definedName name="mgmt_witness_zone_vc_fqdn">'Value Reference Tables'!$L$168</definedName>
    <definedName name="mgmt_witness_zone_vc_hostname">'Value Reference Tables'!$L$169</definedName>
    <definedName name="mgmt_witness_zone_vc_ip">'Value Reference Tables'!$C$213</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ask">'Value Reference Tables'!$L$175</definedName>
    <definedName name="mgmt_witnessaz_mgmt_mtu">'Value Reference Tables'!$X$48</definedName>
    <definedName name="mgmt_witnessaz_mgmt_network">'Value Reference Tables'!$L$173</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Domain'!$B$395</definedName>
    <definedName name="navigation_nsx_federation_for_wld_domain">'Configure Workload Domain'!$B$356</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Tables'!$E$34:$G$38</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Cluster'!$C$236</definedName>
    <definedName name="sample_cluster_az1_host_overlay_gateway_ip">'Deploy Cluster'!$C$239</definedName>
    <definedName name="sample_cluster_az1_host_overlay_network_pool_description">'Deploy Cluster'!$C$235</definedName>
    <definedName name="sample_cluster_az1_host_overlay_network_pool_name">'Deploy Cluster'!$C$234</definedName>
    <definedName name="sample_cluster_az1_host_overlay_network_profile_name">'Deploy Cluster'!$C$242</definedName>
    <definedName name="sample_cluster_az1_host_overlay_pool_end_ip">'Deploy Cluster'!$C$238</definedName>
    <definedName name="sample_cluster_az1_host_overlay_pool_start_ip">'Deploy Cluster'!$C$237</definedName>
    <definedName name="sample_cluster_az1_host_overlay_uplink_profile_name">'Deploy Cluster'!$C$246</definedName>
    <definedName name="sample_cluster_az1_host_overlay_vlan">'Deploy Cluster'!$C$231</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Cluster'!$C$200</definedName>
    <definedName name="sample_cluster_az1_mgmt_vlan">'Deploy Cluster'!$C$24</definedName>
    <definedName name="sample_cluster_az1_mgmt_vm_pg">'Deploy Cluster'!$C$205</definedName>
    <definedName name="sample_cluster_az1_nsx_uplink_count">'Deploy Cluster'!$C$243</definedName>
    <definedName name="sample_cluster_az1_nsx_uplink1">'Deploy Cluster'!$C$244</definedName>
    <definedName name="sample_cluster_az1_nsx_uplink1_active">'Deploy Cluster'!$C$248</definedName>
    <definedName name="sample_cluster_az1_nsx_uplink2">'Deploy Cluster'!$C$245</definedName>
    <definedName name="sample_cluster_az1_nsx_uplink2_active">'Deploy Cluster'!$C$249</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Cluster'!$C$215</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Cluster'!$C$210</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Cluster'!$C$220</definedName>
    <definedName name="sample_cluster_az2_host_overlay_cidr">'Deploy Cluster'!$C$410</definedName>
    <definedName name="sample_cluster_az2_host_overlay_gateway_ip">'Deploy Cluster'!$C$411</definedName>
    <definedName name="sample_cluster_az2_host_overlay_gateway_mtu">'Deploy Cluster'!$C$412</definedName>
    <definedName name="sample_cluster_az2_host_overlay_network_pool_name">'Deploy Cluster'!$C$407</definedName>
    <definedName name="sample_cluster_az2_host_overlay_network_profile_name">'Deploy Cluster'!$C$405</definedName>
    <definedName name="sample_cluster_az2_host_overlay_pool_end_ip">'Deploy Cluster'!$C$414</definedName>
    <definedName name="sample_cluster_az2_host_overlay_pool_start_ip">'Deploy Cluster'!$C$413</definedName>
    <definedName name="sample_cluster_az2_host_overlay_uplink_profile_name">'Deploy Cluster'!$C$408</definedName>
    <definedName name="sample_cluster_az2_host_overlay_vlan">'Deploy Cluster'!$C$409</definedName>
    <definedName name="sample_cluster_az2_host1_fqdn">'Deploy Cluster'!$C$317</definedName>
    <definedName name="sample_cluster_az2_host1_mgmt_ip">'Deploy Cluster'!$C$261</definedName>
    <definedName name="sample_cluster_az2_host10_fqdn">'Deploy Cluster'!$C$326</definedName>
    <definedName name="sample_cluster_az2_host10_mgmt_ip">'Deploy Cluster'!$C$270</definedName>
    <definedName name="sample_cluster_az2_host11_fqdn">'Deploy Cluster'!$C$327</definedName>
    <definedName name="sample_cluster_az2_host11_mgmt_ip">'Deploy Cluster'!$C$271</definedName>
    <definedName name="sample_cluster_az2_host12_fqdn">'Deploy Cluster'!$C$328</definedName>
    <definedName name="sample_cluster_az2_host12_mgmt_ip">'Deploy Cluster'!$C$272</definedName>
    <definedName name="sample_cluster_az2_host13_fqdn">'Deploy Cluster'!$C$329</definedName>
    <definedName name="sample_cluster_az2_host13_mgmt_ip">'Deploy Cluster'!$C$273</definedName>
    <definedName name="sample_cluster_az2_host14_fqdn">'Deploy Cluster'!$C$330</definedName>
    <definedName name="sample_cluster_az2_host14_mgmt_ip">'Deploy Cluster'!$C$274</definedName>
    <definedName name="sample_cluster_az2_host15_fqdn">'Deploy Cluster'!$C$331</definedName>
    <definedName name="sample_cluster_az2_host15_mgmt_ip">'Deploy Cluster'!$C$275</definedName>
    <definedName name="sample_cluster_az2_host16_fqdn">'Deploy Cluster'!$C$332</definedName>
    <definedName name="sample_cluster_az2_host16_mgmt_ip">'Deploy Cluster'!$C$276</definedName>
    <definedName name="sample_cluster_az2_host2_fqdn">'Deploy Cluster'!$C$318</definedName>
    <definedName name="sample_cluster_az2_host2_mgmt_ip">'Deploy Cluster'!$C$262</definedName>
    <definedName name="sample_cluster_az2_host3_fqdn">'Deploy Cluster'!$C$319</definedName>
    <definedName name="sample_cluster_az2_host3_mgmt_ip">'Deploy Cluster'!$C$263</definedName>
    <definedName name="sample_cluster_az2_host4_fqdn">'Deploy Cluster'!$C$320</definedName>
    <definedName name="sample_cluster_az2_host4_mgmt_ip">'Deploy Cluster'!$C$264</definedName>
    <definedName name="sample_cluster_az2_host5_fqdn">'Deploy Cluster'!$C$321</definedName>
    <definedName name="sample_cluster_az2_host5_mgmt_ip">'Deploy Cluster'!$C$265</definedName>
    <definedName name="sample_cluster_az2_host6_fqdn">'Deploy Cluster'!$C$322</definedName>
    <definedName name="sample_cluster_az2_host6_mgmt_ip">'Deploy Cluster'!$C$266</definedName>
    <definedName name="sample_cluster_az2_host7_fqdn">'Deploy Cluster'!$C$323</definedName>
    <definedName name="sample_cluster_az2_host7_mgmt_ip">'Deploy Cluster'!$C$267</definedName>
    <definedName name="sample_cluster_az2_host8_fqdn">'Deploy Cluster'!$C$324</definedName>
    <definedName name="sample_cluster_az2_host8_mgmt_ip">'Deploy Cluster'!$C$268</definedName>
    <definedName name="sample_cluster_az2_host9_fqdn">'Deploy Cluster'!$C$325</definedName>
    <definedName name="sample_cluster_az2_host9_mgmt_ip">'Deploy Cluster'!$C$269</definedName>
    <definedName name="sample_cluster_az2_mgmt_cidr">'Deploy Cluster'!$C$258</definedName>
    <definedName name="sample_cluster_az2_mgmt_gateway_ip">'Deploy Cluster'!$C$257</definedName>
    <definedName name="sample_cluster_az2_mgmt_mtu">'Deploy Cluster'!$C$259</definedName>
    <definedName name="sample_cluster_az2_mgmt_vlan">'Deploy Cluster'!$C$256</definedName>
    <definedName name="sample_cluster_az2_pool_name">'Deploy Cluster'!$C$281</definedName>
    <definedName name="sample_cluster_az2_principal_storage_gateway_ip">'Deploy Cluster'!$C$295</definedName>
    <definedName name="sample_cluster_az2_principal_storage_mask">'Deploy Cluster'!$C$294</definedName>
    <definedName name="sample_cluster_az2_principal_storage_mtu">'Deploy Cluster'!$C$292</definedName>
    <definedName name="sample_cluster_az2_principal_storage_network">'Deploy Cluster'!$C$293</definedName>
    <definedName name="sample_cluster_az2_principal_storage_pool_end_ip">'Deploy Cluster'!$C$297</definedName>
    <definedName name="sample_cluster_az2_principal_storage_pool_start_ip">'Deploy Cluster'!$C$296</definedName>
    <definedName name="sample_cluster_az2_principal_storage_vlan">'Deploy Cluster'!$C$291</definedName>
    <definedName name="sample_cluster_az2_secondary_storage_gateway_ip">'Deploy Cluster'!$C$303</definedName>
    <definedName name="sample_cluster_az2_secondary_storage_mask">'Deploy Cluster'!$C$302</definedName>
    <definedName name="sample_cluster_az2_secondary_storage_mtu">'Deploy Cluster'!$C$300</definedName>
    <definedName name="sample_cluster_az2_secondary_storage_network">'Deploy Cluster'!$C$301</definedName>
    <definedName name="sample_cluster_az2_secondary_storage_pool_end_ip">'Deploy Cluster'!$C$305</definedName>
    <definedName name="sample_cluster_az2_secondary_storage_pool_start_ip">'Deploy Cluster'!$C$304</definedName>
    <definedName name="sample_cluster_az2_secondary_storage_vlan">'Deploy Cluster'!$C$299</definedName>
    <definedName name="sample_cluster_az2_storage_cluster_gateway_ip">'Deploy Cluster'!$C$311</definedName>
    <definedName name="sample_cluster_az2_storage_cluster_mask">'Deploy Cluster'!$C$310</definedName>
    <definedName name="sample_cluster_az2_storage_cluster_mtu">'Deploy Cluster'!$C$308</definedName>
    <definedName name="sample_cluster_az2_storage_cluster_network">'Deploy Cluster'!$C$309</definedName>
    <definedName name="sample_cluster_az2_storage_cluster_pool_end_ip">'Deploy Cluster'!$C$313</definedName>
    <definedName name="sample_cluster_az2_storage_cluster_pool_start_ip">'Deploy Cluster'!$C$312</definedName>
    <definedName name="sample_cluster_az2_storage_cluster_vlan">'Deploy Cluster'!$C$307</definedName>
    <definedName name="sample_cluster_az2_tor1_peer_asn">'Deploy Cluster'!$C$432</definedName>
    <definedName name="sample_cluster_az2_tor1_peer_ip">'Deploy Cluster'!$C$431</definedName>
    <definedName name="sample_cluster_az2_tor2_peer_asn">'Deploy Cluster'!$C$439</definedName>
    <definedName name="sample_cluster_az2_tor2_peer_ip">'Deploy Cluster'!$C$436</definedName>
    <definedName name="sample_cluster_az2_vmotion_gateway_ip">'Deploy Cluster'!$C$287</definedName>
    <definedName name="sample_cluster_az2_vmotion_mask">'Deploy Cluster'!$C$286</definedName>
    <definedName name="sample_cluster_az2_vmotion_mtu">'Deploy Cluster'!$C$284</definedName>
    <definedName name="sample_cluster_az2_vmotion_network">'Deploy Cluster'!$C$285</definedName>
    <definedName name="sample_cluster_az2_vmotion_pool_end_ip">'Deploy Cluster'!$C$289</definedName>
    <definedName name="sample_cluster_az2_vmotion_pool_start_ip">'Deploy Cluster'!$C$288</definedName>
    <definedName name="sample_cluster_az2_vmotion_vlan">'Deploy Cluster'!$C$283</definedName>
    <definedName name="sample_cluster_cluster_sddc_id">'Deploy Cluster'!$C$418</definedName>
    <definedName name="sample_cluster_datacenter">'Deploy Cluster'!$C$370</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Cluster'!$C$230</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Cluster'!$C$240</definedName>
    <definedName name="sample_cluster_nsxt_vip_fqdn">'Deploy Cluster'!$C$423</definedName>
    <definedName name="sample_cluster_storage_cluster_name">'Deploy Cluster'!$C$128</definedName>
    <definedName name="sample_cluster_vc_fqdn">'Deploy Cluster'!$C$369</definedName>
    <definedName name="sample_cluster_vds01_lag_name">'Deploy Cluster'!$C$170</definedName>
    <definedName name="sample_cluster_vds01_mtu">'Deploy Cluster'!$C$168</definedName>
    <definedName name="sample_cluster_vds01_name">'Deploy Cluster'!$C$167</definedName>
    <definedName name="sample_cluster_vds01_pnics">'Deploy Cluster'!$C$175</definedName>
    <definedName name="sample_cluster_vds01_uplink_count">'Deploy Cluster'!$C$174</definedName>
    <definedName name="sample_cluster_vds02_lag_name">'Deploy Cluster'!$C$181</definedName>
    <definedName name="sample_cluster_vds02_mtu">'Deploy Cluster'!$C$179</definedName>
    <definedName name="sample_cluster_vds02_name">'Deploy Cluster'!$C$178</definedName>
    <definedName name="sample_cluster_vds02_pnics">'Deploy Cluster'!$C$186</definedName>
    <definedName name="sample_cluster_vds02_uplink_count">'Deploy Cluster'!$C$185</definedName>
    <definedName name="sample_cluster_vds03_lag_name">'Deploy Cluster'!$C$192</definedName>
    <definedName name="sample_cluster_vds03_mtu">'Deploy Cluster'!$C$190</definedName>
    <definedName name="sample_cluster_vds03_name">'Deploy Cluster'!$C$189</definedName>
    <definedName name="sample_cluster_vds03_pnics">'Deploy Cluster'!$C$197</definedName>
    <definedName name="sample_cluster_vds03_uplink_count">'Deploy Cluster'!$C$196</definedName>
    <definedName name="sample_cluster_vmfs_datastore_name">'Deploy Cluster'!$C$133</definedName>
    <definedName name="sample_cluster_vsan_datastore">'Deploy Cluster'!$C$129</definedName>
    <definedName name="sample_cluster_witness_cluster">'Deploy Cluster'!$C$352</definedName>
    <definedName name="sample_cluster_witness_dns1_ip">'Deploy Cluster'!$C$363</definedName>
    <definedName name="sample_cluster_witness_dns2_ip">'Deploy Cluster'!$C$364</definedName>
    <definedName name="sample_cluster_witness_fqdn">'Deploy Cluster'!$C$371</definedName>
    <definedName name="sample_cluster_witness_hostname">'Deploy Cluster'!$C$351</definedName>
    <definedName name="sample_cluster_witness_ip">'Deploy Cluster'!$C$358</definedName>
    <definedName name="sample_cluster_witness_mgmt_pg">'Deploy Cluster'!$C$355</definedName>
    <definedName name="sample_cluster_witness_ntp1_server">'Deploy Cluster'!$C$365</definedName>
    <definedName name="sample_cluster_witness_ntp2_server">'Deploy Cluster'!$C$366</definedName>
    <definedName name="sample_cluster_witness_vm_folder">'Deploy Cluster'!$C$353</definedName>
    <definedName name="sample_cluster_witness_vsan_datastore">'Deploy Cluster'!$C$354</definedName>
    <definedName name="sample_cluster_witness_zone_vc_fqdn">'Deploy Cluster'!$C$350</definedName>
    <definedName name="sample_cluster_witnessaz_mask">'Deploy Cluster'!$C$359</definedName>
    <definedName name="sample_cluster_witnessaz_mgmt_cidr">'Deploy Cluster'!$C$344</definedName>
    <definedName name="sample_cluster_witnessaz_mgmt_gateway_ip">'Deploy Cluster'!$C$343</definedName>
    <definedName name="sample_cluster_witnessaz_mgmt_mtu">'Deploy Cluster'!$C$345</definedName>
    <definedName name="sample_cluster_witnessaz_mgmt_vlan">'Deploy Cluster'!$C$342</definedName>
    <definedName name="sample_domain_controller_hostname">Arkham!$B$15</definedName>
    <definedName name="sample_esxi_root_password">'Deploy Management Domain'!$K$127</definedName>
    <definedName name="sample_flt_auto_node_pool_end_ip">Arkham!$P$35</definedName>
    <definedName name="sample_flt_auto_node_pool_start_ip">Arkham!$P$34</definedName>
    <definedName name="sample_flt_auto_sr_fqdn">Arkham!$P$32</definedName>
    <definedName name="sample_flt_auto_sr_ip">Arkham!$P$26</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nodee_ip">Arkham!$P$11</definedName>
    <definedName name="sample_flt_custom_network_auto_nodef_ip">Arkham!$P$12</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fc_fqdn">Arkham!$P$31</definedName>
    <definedName name="sample_flt_fc_ip">Arkham!$P$25</definedName>
    <definedName name="sample_flt_ic_fqdn">Arkham!$P$30</definedName>
    <definedName name="sample_flt_ic_ip">Arkham!$P$24</definedName>
    <definedName name="sample_flt_lc_fqdn">Arkham!$P$28</definedName>
    <definedName name="sample_flt_lc_ip">Arkham!$P$22</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sr_fqdn">Arkham!$P$29</definedName>
    <definedName name="sample_flt_sr_ip">Arkham!$P$23</definedName>
    <definedName name="sample_flt_vcfms_node_pool_end_ip">Arkham!$P$41</definedName>
    <definedName name="sample_flt_vcfms_node_pool_start_ip">Arkham!$P$40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g">'Deploy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fqdn">'Deploy Fleet Management Day-N'!$C$137</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Domain'!$C$539</definedName>
    <definedName name="sample_mgmt_az1_en1_mgmt_cidr">'Configure Management Domain'!$C$107</definedName>
    <definedName name="sample_mgmt_az1_en1_mgmt_ip">Arkham!$P$17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Domain'!$C$545</definedName>
    <definedName name="sample_mgmt_az1_en2_mgmt_cidr">'Configure Management Domain'!$C$133</definedName>
    <definedName name="sample_mgmt_az1_en2_mgmt_ip">Arkham!$P$18</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Domain'!$K$257</definedName>
    <definedName name="sample_mgmt_az1_host_overlay_gateway_ip">'Deploy Management Domain'!$K$260</definedName>
    <definedName name="sample_mgmt_az1_host_overlay_mtu">'Deploy Management Domain'!$K$301</definedName>
    <definedName name="sample_mgmt_az1_host_overlay_network_pool_description">'Deploy Management Domain'!$K$256</definedName>
    <definedName name="sample_mgmt_az1_host_overlay_network_pool_name">'Deploy Management Domain'!$K$255</definedName>
    <definedName name="sample_mgmt_az1_host_overlay_pool_end_ip">'Deploy Management Domain'!$K$259</definedName>
    <definedName name="sample_mgmt_az1_host_overlay_pool_start_ip">'Deploy Management Domain'!$K$258</definedName>
    <definedName name="sample_mgmt_az1_host_overlay_vlan">'Deploy Management Domain'!$K$253</definedName>
    <definedName name="sample_mgmt_az1_host1_fqdn">'Deploy Management Domain'!$K$128</definedName>
    <definedName name="sample_mgmt_az1_host1_mgmt_ip">'Deploy Management Domain'!$K$330</definedName>
    <definedName name="sample_mgmt_az1_host1_vrms_ip">'Site Protection &amp; DR'!$C$176</definedName>
    <definedName name="sample_mgmt_az1_host10_fqdn">'Deploy Management Domain'!$K$137</definedName>
    <definedName name="sample_mgmt_az1_host10_mgmt_ip">'Deploy Management Domain'!$K$339</definedName>
    <definedName name="sample_mgmt_az1_host10_vrms_ip">'Site Protection &amp; DR'!$C$185</definedName>
    <definedName name="sample_mgmt_az1_host11_fqdn">'Deploy Management Domain'!$K$138</definedName>
    <definedName name="sample_mgmt_az1_host11_mgmt_ip">'Deploy Management Domain'!$K$340</definedName>
    <definedName name="sample_mgmt_az1_host11_vrms_ip">'Site Protection &amp; DR'!$C$186</definedName>
    <definedName name="sample_mgmt_az1_host12_fqdn">'Deploy Management Domain'!$K$139</definedName>
    <definedName name="sample_mgmt_az1_host12_mgmt_ip">'Deploy Management Domain'!$K$341</definedName>
    <definedName name="sample_mgmt_az1_host12_vrms_ip">'Site Protection &amp; DR'!$C$187</definedName>
    <definedName name="sample_mgmt_az1_host13_fqdn">'Deploy Management Domain'!$K$140</definedName>
    <definedName name="sample_mgmt_az1_host13_mgmt_ip">'Deploy Management Domain'!$K$342</definedName>
    <definedName name="sample_mgmt_az1_host13_vrms_ip">'Site Protection &amp; DR'!$C$188</definedName>
    <definedName name="sample_mgmt_az1_host14_fqdn">'Deploy Management Domain'!$K$141</definedName>
    <definedName name="sample_mgmt_az1_host14_mgmt_ip">'Deploy Management Domain'!$K$343</definedName>
    <definedName name="sample_mgmt_az1_host14_vrms_ip">'Site Protection &amp; DR'!$C$189</definedName>
    <definedName name="sample_mgmt_az1_host15_fqdn">'Deploy Management Domain'!$K$142</definedName>
    <definedName name="sample_mgmt_az1_host15_mgmt_ip">'Deploy Management Domain'!$K$344</definedName>
    <definedName name="sample_mgmt_az1_host15_vrms_ip">'Site Protection &amp; DR'!$C$190</definedName>
    <definedName name="sample_mgmt_az1_host16_fqdn">'Deploy Management Domain'!$K$143</definedName>
    <definedName name="sample_mgmt_az1_host16_mgmt_ip">'Deploy Management Domain'!$K$345</definedName>
    <definedName name="sample_mgmt_az1_host16_vrms_ip">'Site Protection &amp; DR'!$C$191</definedName>
    <definedName name="sample_mgmt_az1_host2_fqdn">'Deploy Management Domain'!$K$129</definedName>
    <definedName name="sample_mgmt_az1_host2_mgmt_ip">'Deploy Management Domain'!$K$331</definedName>
    <definedName name="sample_mgmt_az1_host2_vrms_ip">'Site Protection &amp; DR'!$C$177</definedName>
    <definedName name="sample_mgmt_az1_host3_fqdn">'Deploy Management Domain'!$K$130</definedName>
    <definedName name="sample_mgmt_az1_host3_mgmt_ip">'Deploy Management Domain'!$K$332</definedName>
    <definedName name="sample_mgmt_az1_host3_vrms_ip">'Site Protection &amp; DR'!$C$178</definedName>
    <definedName name="sample_mgmt_az1_host4_fqdn">'Deploy Management Domain'!$K$131</definedName>
    <definedName name="sample_mgmt_az1_host4_mgmt_ip">'Deploy Management Domain'!$K$333</definedName>
    <definedName name="sample_mgmt_az1_host4_vrms_ip">'Site Protection &amp; DR'!$C$179</definedName>
    <definedName name="sample_mgmt_az1_host5_fqdn">'Deploy Management Domain'!$K$132</definedName>
    <definedName name="sample_mgmt_az1_host5_mgmt_ip">'Deploy Management Domain'!$K$334</definedName>
    <definedName name="sample_mgmt_az1_host5_vrms_ip">'Site Protection &amp; DR'!$C$180</definedName>
    <definedName name="sample_mgmt_az1_host6_fqdn">'Deploy Management Domain'!$K$133</definedName>
    <definedName name="sample_mgmt_az1_host6_mgmt_ip">'Deploy Management Domain'!$K$335</definedName>
    <definedName name="sample_mgmt_az1_host6_vrms_ip">'Site Protection &amp; DR'!$C$181</definedName>
    <definedName name="sample_mgmt_az1_host7_fqdn">'Deploy Management Domain'!$K$134</definedName>
    <definedName name="sample_mgmt_az1_host7_mgmt_ip">'Deploy Management Domain'!$K$336</definedName>
    <definedName name="sample_mgmt_az1_host7_vrms_ip">'Site Protection &amp; DR'!$C$182</definedName>
    <definedName name="sample_mgmt_az1_host8_fqdn">'Deploy Management Domain'!$K$135</definedName>
    <definedName name="sample_mgmt_az1_host8_mgmt_ip">'Deploy Management Domain'!$K$337</definedName>
    <definedName name="sample_mgmt_az1_host8_vrms_ip">'Site Protection &amp; DR'!$C$183</definedName>
    <definedName name="sample_mgmt_az1_host9_fqdn">'Deploy Management Domain'!$K$136</definedName>
    <definedName name="sample_mgmt_az1_host9_mgmt_ip">'Deploy Management Domain'!$K$338</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Domain'!$C$491</definedName>
    <definedName name="sample_mgmt_az1_rtep_overlay_cidr">'Configure Management Domain'!$C$494</definedName>
    <definedName name="sample_mgmt_az1_rtep_overlay_gateway_ip">'Configure Management Domain'!$C$495</definedName>
    <definedName name="sample_mgmt_az1_rtep_overlay_vlan">'Configure Management Domain'!$C$518</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Domain'!$C$385</definedName>
    <definedName name="sample_mgmt_az2_tor1_peer_bgp_password">'Configure Management Domain'!$C$388</definedName>
    <definedName name="sample_mgmt_az2_tor1_peer_ip">'Configure Management Domain'!$C$384</definedName>
    <definedName name="sample_mgmt_az2_tor2_peer_asn">'Configure Management Domain'!$C$392</definedName>
    <definedName name="sample_mgmt_az2_tor2_peer_bgp_password">'Configure Management Domain'!$C$393</definedName>
    <definedName name="sample_mgmt_az2_tor2_peer_ip">'Configure Management Domain'!$C$389</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Domain'!$K$221</definedName>
    <definedName name="sample_mgmt_cl01_az1_mgmt_vm_pg">'Deploy Management Domain'!$K$226</definedName>
    <definedName name="sample_mgmt_cl01_az1_nfs_pg">'Deploy Management Domain'!$K$241</definedName>
    <definedName name="sample_mgmt_cl01_az1_uplink01_pg">'Configure Management Domain'!$C$193</definedName>
    <definedName name="sample_mgmt_cl01_az1_uplink02_pg">'Configure Management Domain'!$C$197</definedName>
    <definedName name="sample_mgmt_cl01_az1_vcf_mgmt_pg">Arkham!$A$9</definedName>
    <definedName name="sample_mgmt_cl01_az1_vmotion_pg">'Deploy Management Domain'!$K$231</definedName>
    <definedName name="sample_mgmt_cl01_az1_vsan_pg">'Deploy Management Domain'!$K$236</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lag_name">'Deploy Management Domain'!$K$191</definedName>
    <definedName name="sample_mgmt_cl01_vds01_mtu">'Deploy Management Domain'!$K$189</definedName>
    <definedName name="sample_mgmt_cl01_vds01_name">'Deploy Management Domain'!$K$188</definedName>
    <definedName name="sample_mgmt_cl01_vds01_uplink_count">'Deploy Management Domain'!$K$195</definedName>
    <definedName name="sample_mgmt_cl01_vds01_uplink1">'Deploy Management Domain'!$K$196</definedName>
    <definedName name="sample_mgmt_cl01_vds01_uplink2">'Deploy Management Domain'!$K$197</definedName>
    <definedName name="sample_mgmt_cl01_vds02_lag_name">'Deploy Management Domain'!$K$202</definedName>
    <definedName name="sample_mgmt_cl01_vds02_mtu">'Deploy Management Domain'!$K$200</definedName>
    <definedName name="sample_mgmt_cl01_vds02_name">'Deploy Management Domain'!$K$199</definedName>
    <definedName name="sample_mgmt_cl01_vds02_uplink_count">'Deploy Management Domain'!$K$206</definedName>
    <definedName name="sample_mgmt_cl01_vds02_uplink1">'Deploy Management Domain'!$K$207</definedName>
    <definedName name="sample_mgmt_cl01_vds02_uplink2">'Deploy Management Domain'!$K$208</definedName>
    <definedName name="sample_mgmt_cl01_vds03_lag_name">'Deploy Management Domain'!$K$213</definedName>
    <definedName name="sample_mgmt_cl01_vds03_mtu">'Deploy Management Domain'!$K$212</definedName>
    <definedName name="sample_mgmt_cl01_vds03_name">'Deploy Management Domain'!$K$210</definedName>
    <definedName name="sample_mgmt_cl01_vds03_uplink_count">'Deploy Management Domain'!$K$217</definedName>
    <definedName name="sample_mgmt_cl01_vds03_uplink1">'Deploy Management Domain'!$K$218</definedName>
    <definedName name="sample_mgmt_cl01_vds03_uplink2">'Deploy Management Domain'!$K$219</definedName>
    <definedName name="sample_mgmt_cl01_vsan_datastore">'Deploy Management Domain'!$K$117</definedName>
    <definedName name="sample_mgmt_cross_instance_linked_t0_name">'Configure Management Domain'!$C$523</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Domain'!$C$531</definedName>
    <definedName name="sample_mgmt_existing_cross_instance_t0_name">'Configure Management Domain'!$C$532</definedName>
    <definedName name="sample_mgmt_host_overlay_transportzone">'Deploy Management Domain'!$K$252</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Domain'!$K$350</definedName>
    <definedName name="sample_mgmt_nsx_rp">'Deploy Management Domain'!$K$351</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Domain'!$C$498</definedName>
    <definedName name="sample_mgmt_nsxt_federation_location_name">'Configure Management Domain'!$C$512</definedName>
    <definedName name="sample_mgmt_nsxt_global_mgr_anti_affinity_rule_name">'Configure Management Domain'!$C$469</definedName>
    <definedName name="sample_mgmt_nsxt_global_mgr_certificate_id">'Configure Management Domain'!$C$481</definedName>
    <definedName name="sample_mgmt_nsxt_global_mgr_cluster_id">'Configure Management Domain'!$C$453</definedName>
    <definedName name="sample_mgmt_nsxt_global_mgr_vmca_signed_thumbprint">'Configure Management Domain'!$C$454</definedName>
    <definedName name="sample_mgmt_nsxt_global_mgra_fqdn">'Configure Management Domain'!$C$409</definedName>
    <definedName name="sample_mgmt_nsxt_global_mgra_hostname">'Configure Management Domain'!$C$400</definedName>
    <definedName name="sample_mgmt_nsxt_global_mgra_ip">'Configure Management Domain'!$C$410</definedName>
    <definedName name="sample_mgmt_nsxt_global_mgrb_fqdn">'Configure Management Domain'!$C$426</definedName>
    <definedName name="sample_mgmt_nsxt_global_mgrb_hostname">'Configure Management Domain'!$C$417</definedName>
    <definedName name="sample_mgmt_nsxt_global_mgrb_ip">'Configure Management Domain'!$C$427</definedName>
    <definedName name="sample_mgmt_nsxt_global_mgrc_fqdn">'Configure Management Domain'!$C$443</definedName>
    <definedName name="sample_mgmt_nsxt_global_mgrc_hostname">'Configure Management Domain'!$C$434</definedName>
    <definedName name="sample_mgmt_nsxt_global_mgrc_ip">'Configure Management Domain'!$C$444</definedName>
    <definedName name="sample_mgmt_nsxt_gm_fingerprint">'Configure Management Domain'!$C$501</definedName>
    <definedName name="sample_mgmt_nsxt_gm_vip_fqdn">'Configure Management Domain'!$C$450</definedName>
    <definedName name="sample_mgmt_nsxt_gm_vip_ip">'Configure Management Domain'!$C$475</definedName>
    <definedName name="sample_mgmt_nsxt_lm_fingerprint">'Configure Management Domain'!$C$510</definedName>
    <definedName name="sample_mgmt_nsxt_mgra_fqdn">'Deploy Management Domain'!$K$105</definedName>
    <definedName name="sample_mgmt_nsxt_mgra_ip">'Deploy Management Domain'!$K$326</definedName>
    <definedName name="sample_mgmt_nsxt_mgrb_fqdn">'Deploy Management Domain'!$K$106</definedName>
    <definedName name="sample_mgmt_nsxt_mgrb_ip">'Deploy Management Domain'!$K$327</definedName>
    <definedName name="sample_mgmt_nsxt_mgrc_fqdn">'Deploy Management Domain'!$K$107</definedName>
    <definedName name="sample_mgmt_nsxt_mgrc_ip">'Deploy Management Domain'!$K$328</definedName>
    <definedName name="sample_mgmt_nsxt_vip_fqdn">'Deploy Management Domain'!$K$104</definedName>
    <definedName name="sample_mgmt_nsxt_vip_ip">'Deploy Management Domain'!$K$325</definedName>
    <definedName name="sample_mgmt_nsxt_xreg_t1_name">'Configure Management Domain'!$C$522</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Domain'!$C$493</definedName>
    <definedName name="sample_mgmt_rtep_overlay_pool_start_ip">'Configure Management Domain'!$C$492</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Domain'!$K$352</definedName>
    <definedName name="sample_mgmt_user_vm_rp">'Deploy Management Domain'!$K$353</definedName>
    <definedName name="sample_mgmt_vc_fqdn">'Deploy Management Domain'!$K$90</definedName>
    <definedName name="sample_mgmt_vc_ip">'Deploy Management Domain'!$K$323</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Domain'!$C$407</definedName>
    <definedName name="sample_nsxt_gm_audit_password">'Configure Management Domain'!$C$408</definedName>
    <definedName name="sample_nsxt_gm_root_password">'Configure Management Domain'!$C$406</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Domain'!$K$269</definedName>
    <definedName name="sample_sddc_mgr_fqdn">'Deploy Management Domain'!$K$266</definedName>
    <definedName name="sample_sddc_mgr_ip">'Deploy Management Domain'!$K$322</definedName>
    <definedName name="sample_sddc_mgr_root_password">'Deploy Management Domain'!$K$267</definedName>
    <definedName name="sample_sddc_mgr_vcf_password">'Deploy Management Domain'!$K$268</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nodee_ip">Arkham!$P$14</definedName>
    <definedName name="sample_vcf_automation_nodef_ip">Arkham!$P$15</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Domain'!$K$321</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Domain'!$C$520</definedName>
    <definedName name="sample_wld_az1_en1_mgmt_cidr">'Configure Workload Domain'!$C$50</definedName>
    <definedName name="sample_wld_az1_en1_mgmt_ip">Arkham!$P$19</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Domain'!$C$532</definedName>
    <definedName name="sample_wld_az1_en2_mgmt_cidr">'Configure Workload Domain'!$C$76</definedName>
    <definedName name="sample_wld_az1_en2_mgmt_ip">Arkham!$P$20</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Domain'!$C$308</definedName>
    <definedName name="sample_wld_az1_host_overlay_gateway_ip">'Deploy Workload Domain'!$C$311</definedName>
    <definedName name="sample_wld_az1_host_overlay_mtu">'Deploy Workload Domain'!$C$368</definedName>
    <definedName name="sample_wld_az1_host_overlay_network_pool_description">'Deploy Workload Domain'!$C$307</definedName>
    <definedName name="sample_wld_az1_host_overlay_network_pool_name">'Deploy Workload Domain'!$C$306</definedName>
    <definedName name="sample_wld_az1_host_overlay_pool_end_ip">'Deploy Workload Domain'!$C$310</definedName>
    <definedName name="sample_wld_az1_host_overlay_pool_start_ip">'Deploy Workload Domain'!$C$309</definedName>
    <definedName name="sample_wld_az1_host_overlay_uplink_profile_name">'Deploy Workload Domain'!$C$318</definedName>
    <definedName name="sample_wld_az1_host_overlay_vlan">'Deploy Workload Domain'!$C$303</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Domain'!$C$348</definedName>
    <definedName name="sample_wld_az1_mgmt_vm_gateway_ip">'Deploy Workload Domain'!$C$347</definedName>
    <definedName name="sample_wld_az1_mgmt_vm_mtu">'Deploy Workload Domain'!$C$349</definedName>
    <definedName name="sample_wld_az1_mgmt_vm_vlan">'Deploy Workload Domain'!$C$346</definedName>
    <definedName name="sample_wld_az1_pool_name">'Deploy Workload Domain'!$C$83</definedName>
    <definedName name="sample_wld_az1_principal_storage_cidr">'Deploy Workload Domain'!$C$360</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Domain'!$C$314</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MR'!$M$254</definedName>
    <definedName name="sample_wld_az1_rack2_mgmt_vm_gateway_ip">'Value Reference Tables - MR'!$O$259</definedName>
    <definedName name="sample_wld_az1_rack2_mgmt_vm_mtu">'Value Reference Tables - MR'!$Q$259</definedName>
    <definedName name="sample_wld_az1_rack2_mgmt_vm_vlan">'Value Reference Tables - MR'!$K$259</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MR'!$M$255</definedName>
    <definedName name="sample_wld_az1_rack3_mgmt_vm_gateway_ip">'Value Reference Tables - MR'!$O$260</definedName>
    <definedName name="sample_wld_az1_rack3_mgmt_vm_mtu">'Value Reference Tables - MR'!$Q$260</definedName>
    <definedName name="sample_wld_az1_rack3_mgmt_vm_vlan">'Value Reference Tables - MR'!$K$260</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MR'!$M$256</definedName>
    <definedName name="sample_wld_az1_rack4_mgmt_vm_gateway_ip">'Value Reference Tables - MR'!$O$261</definedName>
    <definedName name="sample_wld_az1_rack4_mgmt_vm_mtu">'Value Reference Tables - MR'!$Q$261</definedName>
    <definedName name="sample_wld_az1_rack4_mgmt_vm_vlan">'Value Reference Tables - MR'!$K$261</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MR'!$M$257</definedName>
    <definedName name="sample_wld_az1_rack5_mgmt_vm_gateway_ip">'Value Reference Tables - MR'!$O$262</definedName>
    <definedName name="sample_wld_az1_rack5_mgmt_vm_mtu">'Value Reference Tables - MR'!$Q$262</definedName>
    <definedName name="sample_wld_az1_rack5_mgmt_vm_vlan">'Value Reference Tables - MR'!$K$262</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MR'!$M$258</definedName>
    <definedName name="sample_wld_az1_rack6_mgmt_vm_gateway_ip">'Value Reference Tables - MR'!$O$263</definedName>
    <definedName name="sample_wld_az1_rack6_mgmt_vm_mtu">'Value Reference Tables - MR'!$Q$263</definedName>
    <definedName name="sample_wld_az1_rack6_mgmt_vm_vlan">'Value Reference Tables - MR'!$K$263</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Arkham!$Q$67</definedName>
    <definedName name="sample_wld_az1_rack7_edge_overlay_mask">Arkham!$Q$70</definedName>
    <definedName name="sample_wld_az1_rack7_edge_overlay_mtu">Arkham!$Q$73</definedName>
    <definedName name="sample_wld_az1_rack7_edge_overlay_network">Arkham!$Q$64</definedName>
    <definedName name="sample_wld_az1_rack7_edge_overlay_network_pool_name">'Additional Racks'!$C$547</definedName>
    <definedName name="sample_wld_az1_rack7_edge_overlay_pool_end_ip">Arkham!$Q$75</definedName>
    <definedName name="sample_wld_az1_rack7_edge_overlay_pool_start_ip">Arkham!$Q$74</definedName>
    <definedName name="sample_wld_az1_rack7_edge_overlay_vlan">Arkham!$Q$61</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MR'!$M$259</definedName>
    <definedName name="sample_wld_az1_rack7_mgmt_vm_gateway_ip">'Value Reference Tables - MR'!$O$264</definedName>
    <definedName name="sample_wld_az1_rack7_mgmt_vm_mtu">'Value Reference Tables - MR'!$Q$264</definedName>
    <definedName name="sample_wld_az1_rack7_mgmt_vm_vlan">'Value Reference Tables - MR'!$K$264</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Arkham!$Q$78</definedName>
    <definedName name="sample_wld_az1_rack7_tor1_peer_bgp_password">Arkham!$Q$79</definedName>
    <definedName name="sample_wld_az1_rack7_tor1_peer_ip">Arkham!$Q$77</definedName>
    <definedName name="sample_wld_az1_rack7_tor2_peer_asn">Arkham!$Q$81</definedName>
    <definedName name="sample_wld_az1_rack7_tor2_peer_bgp_password">Arkham!$Q$82</definedName>
    <definedName name="sample_wld_az1_rack7_tor2_peer_ip">Arkham!$Q$80</definedName>
    <definedName name="sample_wld_az1_rack7_uplink01_gateway_ip">Arkham!$Q$65</definedName>
    <definedName name="sample_wld_az1_rack7_uplink01_mask">Arkham!$Q$68</definedName>
    <definedName name="sample_wld_az1_rack7_uplink01_mtu">Arkham!$Q$71</definedName>
    <definedName name="sample_wld_az1_rack7_uplink01_network">Arkham!$Q$62</definedName>
    <definedName name="sample_wld_az1_rack7_uplink01_vlan">Arkham!$Q$59</definedName>
    <definedName name="sample_wld_az1_rack7_uplink02_gateway_ip">Arkham!$Q$66</definedName>
    <definedName name="sample_wld_az1_rack7_uplink02_mask">Arkham!$Q$69</definedName>
    <definedName name="sample_wld_az1_rack7_uplink02_mtu">Arkham!$Q$72</definedName>
    <definedName name="sample_wld_az1_rack7_uplink02_network">Arkham!$Q$63</definedName>
    <definedName name="sample_wld_az1_rack7_uplink02_vlan">Arkham!$Q$60</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MR'!$M$260</definedName>
    <definedName name="sample_wld_az1_rack8_mgmt_vm_gateway_ip">'Value Reference Tables - MR'!$O$265</definedName>
    <definedName name="sample_wld_az1_rack8_mgmt_vm_mtu">'Value Reference Tables - MR'!$Q$265</definedName>
    <definedName name="sample_wld_az1_rack8_mgmt_vm_vlan">'Value Reference Tables - MR'!$K$265</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Domain'!$C$466</definedName>
    <definedName name="sample_wld_az1_rtep_overlay_cidr">'Configure Workload Domain'!$C$469</definedName>
    <definedName name="sample_wld_az1_rtep_overlay_gateway_ip">'Configure Workload Domain'!$C$470</definedName>
    <definedName name="sample_wld_az1_rtep_overlay_vlan">'Configure Workload Domain'!$C$499</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Domain'!$C$353</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Domain'!$C$325</definedName>
    <definedName name="sample_wld_az2_host_overlay_gateway_ip">'Configure Workload Domain'!$C$324</definedName>
    <definedName name="sample_wld_az2_host_overlay_mtu">'Configure Workload Domain'!$C$326</definedName>
    <definedName name="sample_wld_az2_host_overlay_network_pool_name">'Configure Workload Domain'!$C$321</definedName>
    <definedName name="sample_wld_az2_host_overlay_network_profile_name">'Configure Workload Domain'!$C$319</definedName>
    <definedName name="sample_wld_az2_host_overlay_pool_end_ip">'Configure Workload Domain'!$C$328</definedName>
    <definedName name="sample_wld_az2_host_overlay_pool_start_ip">'Configure Workload Domain'!$C$327</definedName>
    <definedName name="sample_wld_az2_host_overlay_uplink_profile_name">'Configure Workload Domain'!$C$322</definedName>
    <definedName name="sample_wld_az2_host_overlay_vlan">'Configure Workload Domain'!$C$323</definedName>
    <definedName name="sample_wld_az2_host1_fqdn">'Configure Workload Domain'!$C$232</definedName>
    <definedName name="sample_wld_az2_host1_mgmt_ip">'Configure Workload Domain'!$C$174</definedName>
    <definedName name="sample_wld_az2_host1_sddc_id">'Configure Workload Domain'!$C$303</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Domain'!$C$304</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Domain'!$C$305</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Domain'!$C$306</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Domain'!$C$346</definedName>
    <definedName name="sample_wld_az2_tor1_peer_bgp_password">'Configure Workload Domain'!$C$349</definedName>
    <definedName name="sample_wld_az2_tor1_peer_ip">'Configure Workload Domain'!$C$345</definedName>
    <definedName name="sample_wld_az2_tor2_peer_asn">'Configure Workload Domain'!$C$351</definedName>
    <definedName name="sample_wld_az2_tor2_peer_bgp_password">'Configure Workload Domain'!$C$354</definedName>
    <definedName name="sample_wld_az2_tor2_peer_ip">'Configure Workload Domain'!$C$350</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Domain'!$C$272</definedName>
    <definedName name="sample_wld_cl01_az1_mgmt_vm_pg">'Deploy Workload Domain'!$C$277</definedName>
    <definedName name="sample_wld_cl01_az1_nsx_uplink_count">'Deploy Workload Domain'!$C$315</definedName>
    <definedName name="sample_wld_cl01_az1_principal_storage_pg">'Deploy Workload Domain'!$C$287</definedName>
    <definedName name="sample_wld_cl01_az1_uplink01_pg">'Configure Workload Domain'!$C$136</definedName>
    <definedName name="sample_wld_cl01_az1_uplink02_pg">'Configure Workload Domain'!$C$140</definedName>
    <definedName name="sample_wld_cl01_az1_vmotion_pg">'Deploy Workload Domain'!$C$282</definedName>
    <definedName name="sample_wld_cl01_az1_vsan_storage_client_pg">'Deploy Workload Domain'!$C$292</definedName>
    <definedName name="sample_wld_cl01_cluster">'Deploy Workload Domain'!$C$163</definedName>
    <definedName name="sample_wld_cl01_cluster_sddc_id">'Configure Workload Domain'!$C$332</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Domain'!$C$329</definedName>
    <definedName name="sample_wld_cl01_supervisor_dns">'Deploy Workload Domain'!$C$335</definedName>
    <definedName name="sample_wld_cl01_supervisor_name">'Deploy Workload Domain'!$C$326</definedName>
    <definedName name="sample_wld_cl01_supervisor_nsx_project">'Deploy Workload Domain'!$C$331</definedName>
    <definedName name="sample_wld_cl01_supervisor_ntp">'Deploy Workload Domain'!$C$336</definedName>
    <definedName name="sample_wld_cl01_supervisor_private_cidr">'Deploy Workload Domain'!$C$334</definedName>
    <definedName name="sample_wld_cl01_supervisor_private_transit_gateway_cidr">'Deploy Workload Domain'!$C$333</definedName>
    <definedName name="sample_wld_cl01_supervisor_service_cidr">'Deploy Workload Domain'!$C$327</definedName>
    <definedName name="sample_wld_cl01_supervisor_vpc_profile">'Deploy Workload Domain'!$C$332</definedName>
    <definedName name="sample_wld_cl01_vds01_lag_name">'Deploy Workload Domain'!$C$242</definedName>
    <definedName name="sample_wld_cl01_vds01_mtu">'Deploy Workload Domain'!$C$240</definedName>
    <definedName name="sample_wld_cl01_vds01_name">'Deploy Workload Domain'!$C$239</definedName>
    <definedName name="sample_wld_cl01_vds01_pnics">'Deploy Workload Domain'!$C$247</definedName>
    <definedName name="sample_wld_cl01_vds01_uplink_count">'Deploy Workload Domain'!$C$246</definedName>
    <definedName name="sample_wld_cl01_vds02_lag_name">'Deploy Workload Domain'!$C$253</definedName>
    <definedName name="sample_wld_cl01_vds02_mtu">'Deploy Workload Domain'!$C$251</definedName>
    <definedName name="sample_wld_cl01_vds02_name">'Deploy Workload Domain'!$C$250</definedName>
    <definedName name="sample_wld_cl01_vds02_pnics">'Deploy Workload Domain'!$C$258</definedName>
    <definedName name="sample_wld_cl01_vds02_uplink_count">'Deploy Workload Domain'!$C$257</definedName>
    <definedName name="sample_wld_cl01_vds03_lag_name">'Deploy Workload Domain'!$C$264</definedName>
    <definedName name="sample_wld_cl01_vds03_mtu">'Deploy Workload Domain'!$C$262</definedName>
    <definedName name="sample_wld_cl01_vds03_name">'Deploy Workload Domain'!$C$261</definedName>
    <definedName name="sample_wld_cl01_vds03_pnics">'Deploy Workload Domain'!$C$269</definedName>
    <definedName name="sample_wld_cl01_vds03_uplink_count">'Deploy Workload Domain'!$C$268</definedName>
    <definedName name="sample_wld_cl01_vmfs_datastore_name">'Deploy Workload Domain'!$C$205</definedName>
    <definedName name="sample_wld_cl01_vsan_datastore">'Deploy Workload Domain'!$C$201</definedName>
    <definedName name="sample_wld_datacenter">'Configure Workload Domain'!$C$286</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Domain'!$C$512</definedName>
    <definedName name="sample_wld_existing_cross_instance_t0_name">'Configure Workload Domain'!$C$513</definedName>
    <definedName name="sample_wld_host_overlay_transportzone">'Deploy Workload Domain'!$C$302</definedName>
    <definedName name="sample_wld_nsx_vlan_transport_zone_name">'Deploy Workload Domain'!$C$312</definedName>
    <definedName name="sample_wld_nsxt_en_admin_password">'Configure Workload Domain'!$C$93</definedName>
    <definedName name="sample_wld_nsxt_en_root_password">'Configure Workload Domain'!$C$92</definedName>
    <definedName name="sample_wld_nsxt_federation_global_manager_name">'Configure Workload Domain'!$C$482</definedName>
    <definedName name="sample_wld_nsxt_federation_location_name">'Configure Workload Domain'!$C$493</definedName>
    <definedName name="sample_wld_nsxt_global_mgr_anti_affinity_rule_name">'Configure Workload Domain'!$C$434</definedName>
    <definedName name="sample_wld_nsxt_global_mgr_certificate_id">'Configure Workload Domain'!$C$452</definedName>
    <definedName name="sample_wld_nsxt_global_mgr_cluster_id">'Configure Workload Domain'!$C$416</definedName>
    <definedName name="sample_wld_nsxt_global_mgr_vmca_signed_thumbprint">'Configure Workload Domain'!$C$417</definedName>
    <definedName name="sample_wld_nsxt_global_mgra_fqdn">'Configure Workload Domain'!$C$370</definedName>
    <definedName name="sample_wld_nsxt_global_mgra_hostname">'Configure Workload Domain'!$C$361</definedName>
    <definedName name="sample_wld_nsxt_global_mgra_ip">'Configure Workload Domain'!$C$371</definedName>
    <definedName name="sample_wld_nsxt_global_mgrb_fqdn">'Configure Workload Domain'!$C$387</definedName>
    <definedName name="sample_wld_nsxt_global_mgrb_hostname">'Configure Workload Domain'!$C$378</definedName>
    <definedName name="sample_wld_nsxt_global_mgrb_ip">'Configure Workload Domain'!$C$388</definedName>
    <definedName name="sample_wld_nsxt_global_mgrc_fqdn">'Configure Workload Domain'!$C$404</definedName>
    <definedName name="sample_wld_nsxt_global_mgrc_hostname">'Configure Workload Domain'!$C$395</definedName>
    <definedName name="sample_wld_nsxt_global_mgrc_ip">'Configure Workload Domain'!$C$405</definedName>
    <definedName name="sample_wld_nsxt_gm_admin_password">'Configure Workload Domain'!$C$368</definedName>
    <definedName name="sample_wld_nsxt_gm_audit_password">'Configure Workload Domain'!$C$369</definedName>
    <definedName name="sample_wld_nsxt_gm_fingerprint">'Configure Workload Domain'!$C$480</definedName>
    <definedName name="sample_wld_nsxt_gm_root_password">'Configure Workload Domain'!$C$367</definedName>
    <definedName name="sample_wld_nsxt_gm_vip_fqdn">'Configure Workload Domain'!$C$443</definedName>
    <definedName name="sample_wld_nsxt_gm_vip_ip">'Configure Workload Domain'!$C$442</definedName>
    <definedName name="sample_wld_nsxt_lm_admin_password">'Deploy Workload Domain'!$C$183</definedName>
    <definedName name="sample_wld_nsxt_lm_audit_password">'Deploy Workload Domain'!$C$184</definedName>
    <definedName name="sample_wld_nsxt_lm_fingerprint">'Configure Workload Domain'!$C$491</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vip_ip">'Deploy Workload Domain'!$C$182</definedName>
    <definedName name="sample_wld_nsxt_xreg_t1_name">'Configure Workload Domain'!$C$505</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Arkham!$Q$76</definedName>
    <definedName name="sample_wld_rack8_en_asn">Arkham!$T$73</definedName>
    <definedName name="sample_wld_rtep_overlay_pool_end_ip">'Configure Workload Domain'!$C$468</definedName>
    <definedName name="sample_wld_rtep_overlay_pool_start_ip">'Configure Workload Domain'!$C$467</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Domain'!$C$373</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Domain'!$C$268</definedName>
    <definedName name="sample_wld_witness_dns1_ip">'Configure Workload Domain'!$C$279</definedName>
    <definedName name="sample_wld_witness_dns2_ip">'Configure Workload Domain'!$C$280</definedName>
    <definedName name="sample_wld_witness_fqdn">'Configure Workload Domain'!$C$287</definedName>
    <definedName name="sample_wld_witness_hostname">'Configure Workload Domain'!$C$267</definedName>
    <definedName name="sample_wld_witness_ip">'Configure Workload Domain'!$C$274</definedName>
    <definedName name="sample_wld_witness_mgmt_pg">'Configure Workload Domain'!$C$271</definedName>
    <definedName name="sample_wld_witness_ntp1_server">'Configure Workload Domain'!$C$281</definedName>
    <definedName name="sample_wld_witness_ntp2_server">'Configure Workload Domain'!$C$282</definedName>
    <definedName name="sample_wld_witness_root_password">'Configure Workload Domain'!$C$273</definedName>
    <definedName name="sample_wld_witness_vm_folder">'Configure Workload Domain'!$C$269</definedName>
    <definedName name="sample_wld_witness_vsan_datastore">'Configure Workload Domain'!$C$270</definedName>
    <definedName name="sample_wld_witness_zone_vc_fqdn">'Configure Workload Domain'!$C$265</definedName>
    <definedName name="sample_wld_witness_zone_vc_ip">'Configure Workload Domain'!$C$266</definedName>
    <definedName name="sample_wld_witnessaz_mgmt_cidr">'Configure Workload Domain'!$C$259</definedName>
    <definedName name="sample_wld_witnessaz_mgmt_gateway_ip">'Configure Workload Domain'!$C$258</definedName>
    <definedName name="sample_wld_witnessaz_mgmt_mtu">'Workload Domain As Built'!$C$114</definedName>
    <definedName name="sample_wld_witnessaz_mgmt_vlan">'Configure Workload Domain'!$C$257</definedName>
    <definedName name="sample_xreg_seg01_name">'Configure Management Domain'!$C$528</definedName>
    <definedName name="sample_xreg_vra_admin_password">'Deploy Management Domain'!$K$79</definedName>
    <definedName name="sample_xreg_vra_node_pool_end_ip">Arkham!$P$38</definedName>
    <definedName name="sample_xreg_vra_node_pool_start_ip">Arkham!$P$37</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nodee_ip">Arkham!$P$8</definedName>
    <definedName name="sample_xreg_vra_nodef_ip">Arkham!$P$9</definedName>
    <definedName name="sample_xreg_vra_prefix">'Deploy Management Domain'!$K$84</definedName>
    <definedName name="sample_xreg_vra_virtual_fqdn">'Deploy Management Domain'!$K$78</definedName>
    <definedName name="sample_xreg_vra_virtual_ip">'Deploy Management Domain'!$K$315</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Domain'!$K$311</definedName>
    <definedName name="sample_xreg_vrops_collector_root_password">'Deploy Management Domain'!$K$72</definedName>
    <definedName name="sample_xreg_vrops_nodea_fqdn">'Deploy Management Domain'!$K$57</definedName>
    <definedName name="sample_xreg_vrops_nodea_ip">'Deploy Management Domain'!$K$308</definedName>
    <definedName name="sample_xreg_vrops_nodeb_fqdn">'Deploy Management Domain'!$K$58</definedName>
    <definedName name="sample_xreg_vrops_nodeb_ip">'Deploy Management Domain'!$K$309</definedName>
    <definedName name="sample_xreg_vrops_nodec_fqdn">'Deploy Management Domain'!$K$59</definedName>
    <definedName name="sample_xreg_vrops_nodec_ip">'Deploy Management Domain'!$K$310</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Domain'!$K$313</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Domain'!$K$306</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Domain'!$D$403</definedName>
    <definedName name="sizing_m01_ssp_chosen">'Management Domain Sizing'!$U$32</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Tables'!$C$17:$C$20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storage_type">'Management Domain Sizing'!$R$13</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Domain'!$D$364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nodee_ip">Arkham!$R$14</definedName>
    <definedName name="vcf_automation_nodef_ip">Arkham!$R$15</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Tables'!$C$228</definedName>
    <definedName name="vrslcm_root_password">'Value Reference Tables'!$C$229</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Tables'!$C$230</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MR'!$I$261</definedName>
    <definedName name="wld_az1_en1_edge_overlay_interface_ip_2_ip">'Value Reference Tables - MR'!$I$262</definedName>
    <definedName name="wld_az1_en1_edge_overlay_network_ip_allocation_chosen">'Configure Workload Domain'!$D$59</definedName>
    <definedName name="wld_az1_en1_eth0_uplink0">'Value Reference Tables'!$C$253</definedName>
    <definedName name="wld_az1_en1_eth0_uplink1">'Value Reference Tables'!$C$254</definedName>
    <definedName name="wld_az1_en1_eth1_uplink0">'Value Reference Tables'!$C$255</definedName>
    <definedName name="wld_az1_en1_eth1_uplink1">'Value Reference Tables'!$C$256</definedName>
    <definedName name="wld_az1_en1_fqdn">'Value Reference Tables'!$F$52</definedName>
    <definedName name="wld_az1_en1_hostname">'Value Reference Tables - MR'!$I$255</definedName>
    <definedName name="wld_az1_en1_ip_allocation_chosen">'Configure Workload Domain'!$D$48</definedName>
    <definedName name="wld_az1_en1_mgmt_cidr">'Value Reference Tables - MR'!$I$258</definedName>
    <definedName name="wld_az1_en1_mgmt_ip">Arkham!$R$19</definedName>
    <definedName name="wld_az1_en1_uplink01_interface_cidr">'Value Reference Tables - MR'!$I$259</definedName>
    <definedName name="wld_az1_en1_uplink02_interface_cidr">'Value Reference Tables - MR'!$I$260</definedName>
    <definedName name="wld_az1_en2_edge_overlay_interface_ip_1_ip">'Value Reference Tables - MR'!$I$272</definedName>
    <definedName name="wld_az1_en2_edge_overlay_interface_ip_2_ip">'Value Reference Tables - MR'!$I$273</definedName>
    <definedName name="wld_az1_en2_eth0_uplink0">'Value Reference Tables'!$C$257</definedName>
    <definedName name="wld_az1_en2_eth0_uplink1">'Value Reference Tables'!$C$258</definedName>
    <definedName name="wld_az1_en2_eth1_uplink0">'Value Reference Tables'!$C$259</definedName>
    <definedName name="wld_az1_en2_eth1_uplink1">'Value Reference Tables'!$C$260</definedName>
    <definedName name="wld_az1_en2_fqdn">'Value Reference Tables'!$F$53</definedName>
    <definedName name="wld_az1_en2_hostname">'Value Reference Tables - MR'!$I$266</definedName>
    <definedName name="wld_az1_en2_ip_allocation_chosen">'Configure Workload Domain'!$D$74</definedName>
    <definedName name="wld_az1_en2_mgmt_cidr">'Value Reference Tables - MR'!$I$269</definedName>
    <definedName name="wld_az1_en2_mgmt_ip">Arkham!$R$20</definedName>
    <definedName name="wld_az1_en2_uplink01_interface_cidr">'Value Reference Tables - MR'!$I$270</definedName>
    <definedName name="wld_az1_en2_uplink02_interface_cidr">'Value Reference Tables - MR'!$I$271</definedName>
    <definedName name="wld_az1_host_fqdns">'Value Reference Tables - MR'!$I$237:$I$252</definedName>
    <definedName name="wld_az1_host_hostnames">'Value Reference Tables - MR'!$I$218:$I$233</definedName>
    <definedName name="wld_az1_host_mgmt_ips">'Value Reference Tables - MR'!$I$183:$I$198</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Domain'!$D$305</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MR'!$I$237</definedName>
    <definedName name="wld_az1_host1_hostname">'Value Reference Tables - MR'!$I$218</definedName>
    <definedName name="wld_az1_host1_mgmt_ip">'Value Reference Tables - MR'!$I$183</definedName>
    <definedName name="wld_az1_host1_vrms_ip">'Value Reference Tables - MR'!$I$199</definedName>
    <definedName name="wld_az1_host10_fqdn">'Value Reference Tables - MR'!$I$246</definedName>
    <definedName name="wld_az1_host10_hostname">'Value Reference Tables - MR'!$I$227</definedName>
    <definedName name="wld_az1_host10_mgmt_ip">'Value Reference Tables - MR'!$I$192</definedName>
    <definedName name="wld_az1_host10_vrms_ip">'Value Reference Tables - MR'!$I$208</definedName>
    <definedName name="wld_az1_host11_fqdn">'Value Reference Tables - MR'!$I$247</definedName>
    <definedName name="wld_az1_host11_hostname">'Value Reference Tables - MR'!$I$228</definedName>
    <definedName name="wld_az1_host11_mgmt_ip">'Value Reference Tables - MR'!$I$193</definedName>
    <definedName name="wld_az1_host11_vrms_ip">'Value Reference Tables - MR'!$I$209</definedName>
    <definedName name="wld_az1_host12_fqdn">'Value Reference Tables - MR'!$I$248</definedName>
    <definedName name="wld_az1_host12_hostname">'Value Reference Tables - MR'!$I$229</definedName>
    <definedName name="wld_az1_host12_mgmt_ip">'Value Reference Tables - MR'!$I$194</definedName>
    <definedName name="wld_az1_host12_vrms_ip">'Value Reference Tables - MR'!$I$210</definedName>
    <definedName name="wld_az1_host13_fqdn">'Value Reference Tables - MR'!$I$249</definedName>
    <definedName name="wld_az1_host13_hostname">'Value Reference Tables - MR'!$I$230</definedName>
    <definedName name="wld_az1_host13_mgmt_ip">'Value Reference Tables - MR'!$I$195</definedName>
    <definedName name="wld_az1_host13_vrms_ip">'Value Reference Tables - MR'!$I$211</definedName>
    <definedName name="wld_az1_host14_fqdn">'Value Reference Tables - MR'!$I$250</definedName>
    <definedName name="wld_az1_host14_hostname">'Value Reference Tables - MR'!$I$231</definedName>
    <definedName name="wld_az1_host14_mgmt_ip">'Value Reference Tables - MR'!$I$196</definedName>
    <definedName name="wld_az1_host14_vrms_ip">'Value Reference Tables - MR'!$I$212</definedName>
    <definedName name="wld_az1_host15_fqdn">'Value Reference Tables - MR'!$I$251</definedName>
    <definedName name="wld_az1_host15_hostname">'Value Reference Tables - MR'!$I$232</definedName>
    <definedName name="wld_az1_host15_mgmt_ip">'Value Reference Tables - MR'!$I$197</definedName>
    <definedName name="wld_az1_host15_vrms_ip">'Value Reference Tables - MR'!$I$213</definedName>
    <definedName name="wld_az1_host16_fqdn">'Value Reference Tables - MR'!$I$252</definedName>
    <definedName name="wld_az1_host16_hostname">'Value Reference Tables - MR'!$I$233</definedName>
    <definedName name="wld_az1_host16_mgmt_ip">'Value Reference Tables - MR'!$I$198</definedName>
    <definedName name="wld_az1_host16_vrms_ip">'Value Reference Tables - MR'!$I$214</definedName>
    <definedName name="wld_az1_host2_fqdn">'Value Reference Tables - MR'!$I$238</definedName>
    <definedName name="wld_az1_host2_hostname">'Value Reference Tables - MR'!$I$219</definedName>
    <definedName name="wld_az1_host2_mgmt_ip">'Value Reference Tables - MR'!$I$184</definedName>
    <definedName name="wld_az1_host2_vrms_ip">'Value Reference Tables - MR'!$I$200</definedName>
    <definedName name="wld_az1_host3_fqdn">'Value Reference Tables - MR'!$I$239</definedName>
    <definedName name="wld_az1_host3_hostname">'Value Reference Tables - MR'!$I$220</definedName>
    <definedName name="wld_az1_host3_mgmt_ip">'Value Reference Tables - MR'!$I$185</definedName>
    <definedName name="wld_az1_host3_vrms_ip">'Value Reference Tables - MR'!$I$201</definedName>
    <definedName name="wld_az1_host4_fqdn">'Value Reference Tables - MR'!$I$240</definedName>
    <definedName name="wld_az1_host4_hostname">'Value Reference Tables - MR'!$I$221</definedName>
    <definedName name="wld_az1_host4_mgmt_ip">'Value Reference Tables - MR'!$I$186</definedName>
    <definedName name="wld_az1_host4_vrms_ip">'Value Reference Tables - MR'!$I$202</definedName>
    <definedName name="wld_az1_host5_fqdn">'Value Reference Tables - MR'!$I$241</definedName>
    <definedName name="wld_az1_host5_hostname">'Value Reference Tables - MR'!$I$222</definedName>
    <definedName name="wld_az1_host5_mgmt_ip">'Value Reference Tables - MR'!$I$187</definedName>
    <definedName name="wld_az1_host5_vrms_ip">'Value Reference Tables - MR'!$I$203</definedName>
    <definedName name="wld_az1_host6_fqdn">'Value Reference Tables - MR'!$I$242</definedName>
    <definedName name="wld_az1_host6_hostname">'Value Reference Tables - MR'!$I$223</definedName>
    <definedName name="wld_az1_host6_mgmt_ip">'Value Reference Tables - MR'!$I$188</definedName>
    <definedName name="wld_az1_host6_vrms_ip">'Value Reference Tables - MR'!$I$204</definedName>
    <definedName name="wld_az1_host7_fqdn">'Value Reference Tables - MR'!$I$243</definedName>
    <definedName name="wld_az1_host7_hostname">'Value Reference Tables - MR'!$I$224</definedName>
    <definedName name="wld_az1_host7_mgmt_ip">'Value Reference Tables - MR'!$I$189</definedName>
    <definedName name="wld_az1_host7_vrms_ip">'Value Reference Tables - MR'!$I$205</definedName>
    <definedName name="wld_az1_host8_fqdn">'Value Reference Tables - MR'!$I$244</definedName>
    <definedName name="wld_az1_host8_hostname">'Value Reference Tables - MR'!$I$225</definedName>
    <definedName name="wld_az1_host8_mgmt_ip">'Value Reference Tables - MR'!$I$190</definedName>
    <definedName name="wld_az1_host8_vrms_ip">'Value Reference Tables - MR'!$I$206</definedName>
    <definedName name="wld_az1_host9_fqdn">'Value Reference Tables - MR'!$I$245</definedName>
    <definedName name="wld_az1_host9_hostname">'Value Reference Tables - MR'!$I$226</definedName>
    <definedName name="wld_az1_host9_mgmt_ip">'Value Reference Tables - MR'!$I$191</definedName>
    <definedName name="wld_az1_host9_vrms_ip">'Value Reference Tables - MR'!$I$207</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Domain'!$D$320</definedName>
    <definedName name="wld_az1_nsx_uplink2_active_chosen">'Deploy Workload Domain'!$D$321</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MR'!$L$244</definedName>
    <definedName name="wld_az1_rack2_en1_edge_overlay_interface_ip_2_ip">'Value Reference Tables - MR'!$L$245</definedName>
    <definedName name="wld_az1_rack2_en1_fqdn">'Value Reference Tables - MR'!$L$240</definedName>
    <definedName name="wld_az1_rack2_en1_hostname">'Value Reference Tables - MR'!$L$239</definedName>
    <definedName name="wld_az1_rack2_en1_mgmt_ip">'Value Reference Tables - MR'!$L$241</definedName>
    <definedName name="wld_az1_rack2_en1_uplink01_interface_ip">'Value Reference Tables - MR'!$L$242</definedName>
    <definedName name="wld_az1_rack2_en1_uplink02_interface_ip">'Value Reference Tables - MR'!$L$243</definedName>
    <definedName name="wld_az1_rack2_en2_fqdn">'Value Reference Tables - MR'!$L$250</definedName>
    <definedName name="wld_az1_rack2_en2_hostname">'Value Reference Tables - MR'!$L$249</definedName>
    <definedName name="wld_az1_rack2_en2_mgmt_ip">'Value Reference Tables - MR'!$L$251</definedName>
    <definedName name="wld_az1_rack2_en2_uplink01_interface_ip">'Value Reference Tables - MR'!$L$252</definedName>
    <definedName name="wld_az1_rack2_en2_uplink02_interface_ip">'Value Reference Tables - MR'!$L$253</definedName>
    <definedName name="wld_az1_rack2_host_fqdns">'Value Reference Tables - MR'!$L$221:$L$236</definedName>
    <definedName name="wld_az1_rack2_host_hostnames">'Value Reference Tables - MR'!$L$202:$L$217</definedName>
    <definedName name="wld_az1_rack2_host_mgmt_ips">'Value Reference Tables - MR'!$L$183:$L$198</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MR'!$L$221</definedName>
    <definedName name="wld_az1_rack2_host1_hostname">'Value Reference Tables - MR'!$L$202</definedName>
    <definedName name="wld_az1_rack2_host1_mgmt_ip">'Value Reference Tables - MR'!$L$183</definedName>
    <definedName name="wld_az1_rack2_host10_fqdn">'Value Reference Tables - MR'!$L$230</definedName>
    <definedName name="wld_az1_rack2_host10_hostname">'Value Reference Tables - MR'!$L$211</definedName>
    <definedName name="wld_az1_rack2_host10_mgmt_ip">'Value Reference Tables - MR'!$L$192</definedName>
    <definedName name="wld_az1_rack2_host11_fqdn">'Value Reference Tables - MR'!$L$231</definedName>
    <definedName name="wld_az1_rack2_host11_hostname">'Value Reference Tables - MR'!$L$212</definedName>
    <definedName name="wld_az1_rack2_host11_mgmt_ip">'Value Reference Tables - MR'!$L$193</definedName>
    <definedName name="wld_az1_rack2_host12_fqdn">'Value Reference Tables - MR'!$L$232</definedName>
    <definedName name="wld_az1_rack2_host12_hostname">'Value Reference Tables - MR'!$L$213</definedName>
    <definedName name="wld_az1_rack2_host12_mgmt_ip">'Value Reference Tables - MR'!$L$194</definedName>
    <definedName name="wld_az1_rack2_host13_fqdn">'Value Reference Tables - MR'!$L$233</definedName>
    <definedName name="wld_az1_rack2_host13_hostname">'Value Reference Tables - MR'!$L$214</definedName>
    <definedName name="wld_az1_rack2_host13_mgmt_ip">'Value Reference Tables - MR'!$L$195</definedName>
    <definedName name="wld_az1_rack2_host14_fqdn">'Value Reference Tables - MR'!$L$234</definedName>
    <definedName name="wld_az1_rack2_host14_hostname">'Value Reference Tables - MR'!$L$215</definedName>
    <definedName name="wld_az1_rack2_host14_mgmt_ip">'Value Reference Tables - MR'!$L$196</definedName>
    <definedName name="wld_az1_rack2_host15_fqdn">'Value Reference Tables - MR'!$L$235</definedName>
    <definedName name="wld_az1_rack2_host15_hostname">'Value Reference Tables - MR'!$L$216</definedName>
    <definedName name="wld_az1_rack2_host15_mgmt_ip">'Value Reference Tables - MR'!$L$197</definedName>
    <definedName name="wld_az1_rack2_host16_fqdn">'Value Reference Tables - MR'!$L$236</definedName>
    <definedName name="wld_az1_rack2_host16_hostname">'Value Reference Tables - MR'!$L$217</definedName>
    <definedName name="wld_az1_rack2_host16_mgmt_ip">'Value Reference Tables - MR'!$L$198</definedName>
    <definedName name="wld_az1_rack2_host2_fqdn">'Value Reference Tables - MR'!$L$222</definedName>
    <definedName name="wld_az1_rack2_host2_hostname">'Value Reference Tables - MR'!$L$203</definedName>
    <definedName name="wld_az1_rack2_host2_mgmt_ip">'Value Reference Tables - MR'!$L$184</definedName>
    <definedName name="wld_az1_rack2_host3_fqdn">'Value Reference Tables - MR'!$L$223</definedName>
    <definedName name="wld_az1_rack2_host3_hostname">'Value Reference Tables - MR'!$L$204</definedName>
    <definedName name="wld_az1_rack2_host3_mgmt_ip">'Value Reference Tables - MR'!$L$185</definedName>
    <definedName name="wld_az1_rack2_host4_fqdn">'Value Reference Tables - MR'!$L$224</definedName>
    <definedName name="wld_az1_rack2_host4_hostname">'Value Reference Tables - MR'!$L$205</definedName>
    <definedName name="wld_az1_rack2_host4_mgmt_ip">'Value Reference Tables - MR'!$L$186</definedName>
    <definedName name="wld_az1_rack2_host5_fqdn">'Value Reference Tables - MR'!$L$225</definedName>
    <definedName name="wld_az1_rack2_host5_hostname">'Value Reference Tables - MR'!$L$206</definedName>
    <definedName name="wld_az1_rack2_host5_mgmt_ip">'Value Reference Tables - MR'!$L$187</definedName>
    <definedName name="wld_az1_rack2_host6_fqdn">'Value Reference Tables - MR'!$L$226</definedName>
    <definedName name="wld_az1_rack2_host6_hostname">'Value Reference Tables - MR'!$L$207</definedName>
    <definedName name="wld_az1_rack2_host6_mgmt_ip">'Value Reference Tables - MR'!$L$188</definedName>
    <definedName name="wld_az1_rack2_host7_fqdn">'Value Reference Tables - MR'!$L$227</definedName>
    <definedName name="wld_az1_rack2_host7_hostname">'Value Reference Tables - MR'!$L$208</definedName>
    <definedName name="wld_az1_rack2_host7_mgmt_ip">'Value Reference Tables - MR'!$L$189</definedName>
    <definedName name="wld_az1_rack2_host8_fqdn">'Value Reference Tables - MR'!$L$228</definedName>
    <definedName name="wld_az1_rack2_host8_hostname">'Value Reference Tables - MR'!$L$209</definedName>
    <definedName name="wld_az1_rack2_host8_mgmt_ip">'Value Reference Tables - MR'!$L$190</definedName>
    <definedName name="wld_az1_rack2_host9_fqdn">'Value Reference Tables - MR'!$L$229</definedName>
    <definedName name="wld_az1_rack2_host9_hostname">'Value Reference Tables - MR'!$L$210</definedName>
    <definedName name="wld_az1_rack2_host9_mgmt_ip">'Value Reference Tables - MR'!$L$191</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MR'!$O$244</definedName>
    <definedName name="wld_az1_rack3_en1_edge_overlay_interface_ip_2_ip">'Value Reference Tables - MR'!$O$245</definedName>
    <definedName name="wld_az1_rack3_en1_fqdn">'Value Reference Tables - MR'!$O$240</definedName>
    <definedName name="wld_az1_rack3_en1_hostname">'Value Reference Tables - MR'!$O$239</definedName>
    <definedName name="wld_az1_rack3_en1_mgmt_ip">'Value Reference Tables - MR'!$O$241</definedName>
    <definedName name="wld_az1_rack3_en1_uplink01_interface_ip">'Value Reference Tables - MR'!$O$242</definedName>
    <definedName name="wld_az1_rack3_en1_uplink02_interface_ip">'Value Reference Tables - MR'!$O$243</definedName>
    <definedName name="wld_az1_rack3_en2_fqdn">'Value Reference Tables - MR'!$O$250</definedName>
    <definedName name="wld_az1_rack3_en2_hostname">'Value Reference Tables - MR'!$O$249</definedName>
    <definedName name="wld_az1_rack3_en2_mgmt_ip">'Value Reference Tables - MR'!$O$251</definedName>
    <definedName name="wld_az1_rack3_en2_uplink01_interface_ip">'Value Reference Tables - MR'!$O$252</definedName>
    <definedName name="wld_az1_rack3_en2_uplink02_interface_ip">'Value Reference Tables - MR'!$O$253</definedName>
    <definedName name="wld_az1_rack3_host_fqdns">'Value Reference Tables - MR'!$O$221:$O$236</definedName>
    <definedName name="wld_az1_rack3_host_hostnames">'Value Reference Tables - MR'!$O$202:$O$217</definedName>
    <definedName name="wld_az1_rack3_host_mgmt_ips">'Value Reference Tables - MR'!$O$183:$O$198</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MR'!$O$221</definedName>
    <definedName name="wld_az1_rack3_host1_hostname">'Value Reference Tables - MR'!$O$202</definedName>
    <definedName name="wld_az1_rack3_host1_mgmt_ip">'Value Reference Tables - MR'!$O$183</definedName>
    <definedName name="wld_az1_rack3_host10_fqdn">'Value Reference Tables - MR'!$O$230</definedName>
    <definedName name="wld_az1_rack3_host10_hostname">'Value Reference Tables - MR'!$O$211</definedName>
    <definedName name="wld_az1_rack3_host10_mgmt_ip">'Value Reference Tables - MR'!$O$192</definedName>
    <definedName name="wld_az1_rack3_host11_fqdn">'Value Reference Tables - MR'!$O$231</definedName>
    <definedName name="wld_az1_rack3_host11_hostname">'Value Reference Tables - MR'!$O$212</definedName>
    <definedName name="wld_az1_rack3_host11_mgmt_ip">'Value Reference Tables - MR'!$O$193</definedName>
    <definedName name="wld_az1_rack3_host12_fqdn">'Value Reference Tables - MR'!$O$232</definedName>
    <definedName name="wld_az1_rack3_host12_hostname">'Value Reference Tables - MR'!$O$213</definedName>
    <definedName name="wld_az1_rack3_host12_mgmt_ip">'Value Reference Tables - MR'!$O$194</definedName>
    <definedName name="wld_az1_rack3_host13_fqdn">'Value Reference Tables - MR'!$O$233</definedName>
    <definedName name="wld_az1_rack3_host13_hostname">'Value Reference Tables - MR'!$O$214</definedName>
    <definedName name="wld_az1_rack3_host13_mgmt_ip">'Value Reference Tables - MR'!$O$195</definedName>
    <definedName name="wld_az1_rack3_host14_fqdn">'Value Reference Tables - MR'!$O$234</definedName>
    <definedName name="wld_az1_rack3_host14_hostname">'Value Reference Tables - MR'!$O$215</definedName>
    <definedName name="wld_az1_rack3_host14_mgmt_ip">'Value Reference Tables - MR'!$O$196</definedName>
    <definedName name="wld_az1_rack3_host15_fqdn">'Value Reference Tables - MR'!$O$235</definedName>
    <definedName name="wld_az1_rack3_host15_hostname">'Value Reference Tables - MR'!$O$216</definedName>
    <definedName name="wld_az1_rack3_host15_mgmt_ip">'Value Reference Tables - MR'!$O$197</definedName>
    <definedName name="wld_az1_rack3_host16_fqdn">'Value Reference Tables - MR'!$O$236</definedName>
    <definedName name="wld_az1_rack3_host16_hostname">'Value Reference Tables - MR'!$O$217</definedName>
    <definedName name="wld_az1_rack3_host16_mgmt_ip">'Value Reference Tables - MR'!$O$198</definedName>
    <definedName name="wld_az1_rack3_host2_fqdn">'Value Reference Tables - MR'!$O$222</definedName>
    <definedName name="wld_az1_rack3_host2_hostname">'Value Reference Tables - MR'!$O$203</definedName>
    <definedName name="wld_az1_rack3_host2_mgmt_ip">'Value Reference Tables - MR'!$O$184</definedName>
    <definedName name="wld_az1_rack3_host3_fqdn">'Value Reference Tables - MR'!$O$223</definedName>
    <definedName name="wld_az1_rack3_host3_hostname">'Value Reference Tables - MR'!$O$204</definedName>
    <definedName name="wld_az1_rack3_host3_mgmt_ip">'Value Reference Tables - MR'!$O$185</definedName>
    <definedName name="wld_az1_rack3_host4_fqdn">'Value Reference Tables - MR'!$O$224</definedName>
    <definedName name="wld_az1_rack3_host4_hostname">'Value Reference Tables - MR'!$O$205</definedName>
    <definedName name="wld_az1_rack3_host4_mgmt_ip">'Value Reference Tables - MR'!$O$186</definedName>
    <definedName name="wld_az1_rack3_host5_fqdn">'Value Reference Tables - MR'!$O$225</definedName>
    <definedName name="wld_az1_rack3_host5_hostname">'Value Reference Tables - MR'!$O$206</definedName>
    <definedName name="wld_az1_rack3_host5_mgmt_ip">'Value Reference Tables - MR'!$O$187</definedName>
    <definedName name="wld_az1_rack3_host6_fqdn">'Value Reference Tables - MR'!$O$226</definedName>
    <definedName name="wld_az1_rack3_host6_hostname">'Value Reference Tables - MR'!$O$207</definedName>
    <definedName name="wld_az1_rack3_host6_mgmt_ip">'Value Reference Tables - MR'!$O$188</definedName>
    <definedName name="wld_az1_rack3_host7_fqdn">'Value Reference Tables - MR'!$O$227</definedName>
    <definedName name="wld_az1_rack3_host7_hostname">'Value Reference Tables - MR'!$O$208</definedName>
    <definedName name="wld_az1_rack3_host7_mgmt_ip">'Value Reference Tables - MR'!$O$189</definedName>
    <definedName name="wld_az1_rack3_host8_fqdn">'Value Reference Tables - MR'!$O$228</definedName>
    <definedName name="wld_az1_rack3_host8_hostname">'Value Reference Tables - MR'!$O$209</definedName>
    <definedName name="wld_az1_rack3_host8_mgmt_ip">'Value Reference Tables - MR'!$O$190</definedName>
    <definedName name="wld_az1_rack3_host9_fqdn">'Value Reference Tables - MR'!$O$229</definedName>
    <definedName name="wld_az1_rack3_host9_hostname">'Value Reference Tables - MR'!$O$210</definedName>
    <definedName name="wld_az1_rack3_host9_mgmt_ip">'Value Reference Tables - MR'!$O$191</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MR'!$R$244</definedName>
    <definedName name="wld_az1_rack4_en1_edge_overlay_interface_ip_2_ip">'Value Reference Tables - MR'!$R$245</definedName>
    <definedName name="wld_az1_rack4_en1_fqdn">'Value Reference Tables - MR'!$R$240</definedName>
    <definedName name="wld_az1_rack4_en1_hostname">'Value Reference Tables - MR'!$R$239</definedName>
    <definedName name="wld_az1_rack4_en1_mgmt_ip">'Value Reference Tables - MR'!$R$241</definedName>
    <definedName name="wld_az1_rack4_en1_uplink01_interface_ip">'Value Reference Tables - MR'!$R$242</definedName>
    <definedName name="wld_az1_rack4_en1_uplink02_interface_ip">'Value Reference Tables - MR'!$R$243</definedName>
    <definedName name="wld_az1_rack4_en2_fqdn">'Value Reference Tables - MR'!$R$250</definedName>
    <definedName name="wld_az1_rack4_en2_hostname">'Value Reference Tables - MR'!$R$249</definedName>
    <definedName name="wld_az1_rack4_en2_mgmt_ip">'Value Reference Tables - MR'!$R$251</definedName>
    <definedName name="wld_az1_rack4_en2_uplink01_interface_ip">'Value Reference Tables - MR'!$R$252</definedName>
    <definedName name="wld_az1_rack4_en2_uplink02_interface_ip">'Value Reference Tables - MR'!$R$253</definedName>
    <definedName name="wld_az1_rack4_host_fqdns">'Value Reference Tables - MR'!$R$221:$R$236</definedName>
    <definedName name="wld_az1_rack4_host_hostnames">'Value Reference Tables - MR'!$R$202:$R$217</definedName>
    <definedName name="wld_az1_rack4_host_mgmt_ips">'Value Reference Tables - MR'!$R$183:$R$198</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MR'!$R$221</definedName>
    <definedName name="wld_az1_rack4_host1_hostname">'Value Reference Tables - MR'!$R$202</definedName>
    <definedName name="wld_az1_rack4_host1_mgmt_ip">'Value Reference Tables - MR'!$R$183</definedName>
    <definedName name="wld_az1_rack4_host10_fqdn">'Value Reference Tables - MR'!$R$230</definedName>
    <definedName name="wld_az1_rack4_host10_hostname">'Value Reference Tables - MR'!$R$211</definedName>
    <definedName name="wld_az1_rack4_host10_mgmt_ip">'Value Reference Tables - MR'!$R$192</definedName>
    <definedName name="wld_az1_rack4_host11_fqdn">'Value Reference Tables - MR'!$R$231</definedName>
    <definedName name="wld_az1_rack4_host11_hostname">'Value Reference Tables - MR'!$R$212</definedName>
    <definedName name="wld_az1_rack4_host11_mgmt_ip">'Value Reference Tables - MR'!$R$193</definedName>
    <definedName name="wld_az1_rack4_host12_fqdn">'Value Reference Tables - MR'!$R$232</definedName>
    <definedName name="wld_az1_rack4_host12_hostname">'Value Reference Tables - MR'!$R$213</definedName>
    <definedName name="wld_az1_rack4_host12_mgmt_ip">'Value Reference Tables - MR'!$R$194</definedName>
    <definedName name="wld_az1_rack4_host13_fqdn">'Value Reference Tables - MR'!$R$233</definedName>
    <definedName name="wld_az1_rack4_host13_hostname">'Value Reference Tables - MR'!$R$214</definedName>
    <definedName name="wld_az1_rack4_host13_mgmt_ip">'Value Reference Tables - MR'!$R$195</definedName>
    <definedName name="wld_az1_rack4_host14_fqdn">'Value Reference Tables - MR'!$R$234</definedName>
    <definedName name="wld_az1_rack4_host14_hostname">'Value Reference Tables - MR'!$R$215</definedName>
    <definedName name="wld_az1_rack4_host14_mgmt_ip">'Value Reference Tables - MR'!$R$196</definedName>
    <definedName name="wld_az1_rack4_host15_fqdn">'Value Reference Tables - MR'!$R$235</definedName>
    <definedName name="wld_az1_rack4_host15_hostname">'Value Reference Tables - MR'!$R$216</definedName>
    <definedName name="wld_az1_rack4_host15_mgmt_ip">'Value Reference Tables - MR'!$R$197</definedName>
    <definedName name="wld_az1_rack4_host16_fqdn">'Value Reference Tables - MR'!$R$236</definedName>
    <definedName name="wld_az1_rack4_host16_hostname">'Value Reference Tables - MR'!$R$217</definedName>
    <definedName name="wld_az1_rack4_host16_mgmt_ip">'Value Reference Tables - MR'!$R$198</definedName>
    <definedName name="wld_az1_rack4_host2_fqdn">'Value Reference Tables - MR'!$R$222</definedName>
    <definedName name="wld_az1_rack4_host2_hostname">'Value Reference Tables - MR'!$R$203</definedName>
    <definedName name="wld_az1_rack4_host2_mgmt_ip">'Value Reference Tables - MR'!$R$184</definedName>
    <definedName name="wld_az1_rack4_host3_fqdn">'Value Reference Tables - MR'!$R$223</definedName>
    <definedName name="wld_az1_rack4_host3_hostname">'Value Reference Tables - MR'!$R$204</definedName>
    <definedName name="wld_az1_rack4_host3_mgmt_ip">'Value Reference Tables - MR'!$R$185</definedName>
    <definedName name="wld_az1_rack4_host4_fqdn">'Value Reference Tables - MR'!$R$224</definedName>
    <definedName name="wld_az1_rack4_host4_hostname">'Value Reference Tables - MR'!$R$205</definedName>
    <definedName name="wld_az1_rack4_host4_mgmt_ip">'Value Reference Tables - MR'!$R$186</definedName>
    <definedName name="wld_az1_rack4_host5_fqdn">'Value Reference Tables - MR'!$R$225</definedName>
    <definedName name="wld_az1_rack4_host5_hostname">'Value Reference Tables - MR'!$R$206</definedName>
    <definedName name="wld_az1_rack4_host5_mgmt_ip">'Value Reference Tables - MR'!$R$187</definedName>
    <definedName name="wld_az1_rack4_host6_fqdn">'Value Reference Tables - MR'!$R$226</definedName>
    <definedName name="wld_az1_rack4_host6_hostname">'Value Reference Tables - MR'!$R$207</definedName>
    <definedName name="wld_az1_rack4_host6_mgmt_ip">'Value Reference Tables - MR'!$R$188</definedName>
    <definedName name="wld_az1_rack4_host7_fqdn">'Value Reference Tables - MR'!$R$227</definedName>
    <definedName name="wld_az1_rack4_host7_hostname">'Value Reference Tables - MR'!$R$208</definedName>
    <definedName name="wld_az1_rack4_host7_mgmt_ip">'Value Reference Tables - MR'!$R$189</definedName>
    <definedName name="wld_az1_rack4_host8_fqdn">'Value Reference Tables - MR'!$R$228</definedName>
    <definedName name="wld_az1_rack4_host8_hostname">'Value Reference Tables - MR'!$R$209</definedName>
    <definedName name="wld_az1_rack4_host8_mgmt_ip">'Value Reference Tables - MR'!$R$190</definedName>
    <definedName name="wld_az1_rack4_host9_fqdn">'Value Reference Tables - MR'!$R$229</definedName>
    <definedName name="wld_az1_rack4_host9_hostname">'Value Reference Tables - MR'!$R$210</definedName>
    <definedName name="wld_az1_rack4_host9_mgmt_ip">'Value Reference Tables - MR'!$R$191</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MR'!$U$244</definedName>
    <definedName name="wld_az1_rack5_en1_edge_overlay_interface_ip_2_ip">'Value Reference Tables - MR'!$U$245</definedName>
    <definedName name="wld_az1_rack5_en1_fqdn">'Value Reference Tables - MR'!$U$240</definedName>
    <definedName name="wld_az1_rack5_en1_hostname">'Value Reference Tables - MR'!$U$239</definedName>
    <definedName name="wld_az1_rack5_en1_mgmt_ip">'Value Reference Tables - MR'!$U$241</definedName>
    <definedName name="wld_az1_rack5_en1_uplink01_interface_ip">'Value Reference Tables - MR'!$U$242</definedName>
    <definedName name="wld_az1_rack5_en1_uplink02_interface_ip">'Value Reference Tables - MR'!$U$243</definedName>
    <definedName name="wld_az1_rack5_en2_fqdn">'Value Reference Tables - MR'!$U$250</definedName>
    <definedName name="wld_az1_rack5_en2_hostname">'Value Reference Tables - MR'!$U$249</definedName>
    <definedName name="wld_az1_rack5_en2_mgmt_ip">'Value Reference Tables - MR'!$U$251</definedName>
    <definedName name="wld_az1_rack5_en2_uplink01_interface_ip">'Value Reference Tables - MR'!$U$252</definedName>
    <definedName name="wld_az1_rack5_en2_uplink02_interface_ip">'Value Reference Tables - MR'!$U$253</definedName>
    <definedName name="wld_az1_rack5_host_fqdns">'Value Reference Tables - MR'!$U$221:$U$236</definedName>
    <definedName name="wld_az1_rack5_host_hostnames">'Value Reference Tables - MR'!$U$202:$U$217</definedName>
    <definedName name="wld_az1_rack5_host_mgmt_ips">'Value Reference Tables - MR'!$U$183:$U$198</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MR'!$U$221</definedName>
    <definedName name="wld_az1_rack5_host1_hostname">'Value Reference Tables - MR'!$U$202</definedName>
    <definedName name="wld_az1_rack5_host1_mgmt_ip">'Value Reference Tables - MR'!$U$183</definedName>
    <definedName name="wld_az1_rack5_host10_fqdn">'Value Reference Tables - MR'!$U$230</definedName>
    <definedName name="wld_az1_rack5_host10_hostname">'Value Reference Tables - MR'!$U$211</definedName>
    <definedName name="wld_az1_rack5_host10_mgmt_ip">'Value Reference Tables - MR'!$U$192</definedName>
    <definedName name="wld_az1_rack5_host11_fqdn">'Value Reference Tables - MR'!$U$231</definedName>
    <definedName name="wld_az1_rack5_host11_hostname">'Value Reference Tables - MR'!$U$212</definedName>
    <definedName name="wld_az1_rack5_host11_mgmt_ip">'Value Reference Tables - MR'!$U$193</definedName>
    <definedName name="wld_az1_rack5_host12_fqdn">'Value Reference Tables - MR'!$U$232</definedName>
    <definedName name="wld_az1_rack5_host12_hostname">'Value Reference Tables - MR'!$U$213</definedName>
    <definedName name="wld_az1_rack5_host12_mgmt_ip">'Value Reference Tables - MR'!$U$194</definedName>
    <definedName name="wld_az1_rack5_host13_fqdn">'Value Reference Tables - MR'!$U$233</definedName>
    <definedName name="wld_az1_rack5_host13_hostname">'Value Reference Tables - MR'!$U$214</definedName>
    <definedName name="wld_az1_rack5_host13_mgmt_ip">'Value Reference Tables - MR'!$U$195</definedName>
    <definedName name="wld_az1_rack5_host14_fqdn">'Value Reference Tables - MR'!$U$234</definedName>
    <definedName name="wld_az1_rack5_host14_hostname">'Value Reference Tables - MR'!$U$215</definedName>
    <definedName name="wld_az1_rack5_host14_mgmt_ip">'Value Reference Tables - MR'!$U$196</definedName>
    <definedName name="wld_az1_rack5_host15_fqdn">'Value Reference Tables - MR'!$U$235</definedName>
    <definedName name="wld_az1_rack5_host15_hostname">'Value Reference Tables - MR'!$U$216</definedName>
    <definedName name="wld_az1_rack5_host15_mgmt_ip">'Value Reference Tables - MR'!$U$197</definedName>
    <definedName name="wld_az1_rack5_host16_fqdn">'Value Reference Tables - MR'!$U$236</definedName>
    <definedName name="wld_az1_rack5_host16_hostname">'Value Reference Tables - MR'!$U$217</definedName>
    <definedName name="wld_az1_rack5_host16_mgmt_ip">'Value Reference Tables - MR'!$U$198</definedName>
    <definedName name="wld_az1_rack5_host2_fqdn">'Value Reference Tables - MR'!$U$222</definedName>
    <definedName name="wld_az1_rack5_host2_hostname">'Value Reference Tables - MR'!$U$203</definedName>
    <definedName name="wld_az1_rack5_host2_mgmt_ip">'Value Reference Tables - MR'!$U$184</definedName>
    <definedName name="wld_az1_rack5_host3_fqdn">'Value Reference Tables - MR'!$U$223</definedName>
    <definedName name="wld_az1_rack5_host3_hostname">'Value Reference Tables - MR'!$U$204</definedName>
    <definedName name="wld_az1_rack5_host3_mgmt_ip">'Value Reference Tables - MR'!$U$185</definedName>
    <definedName name="wld_az1_rack5_host4_fqdn">'Value Reference Tables - MR'!$U$224</definedName>
    <definedName name="wld_az1_rack5_host4_hostname">'Value Reference Tables - MR'!$U$205</definedName>
    <definedName name="wld_az1_rack5_host4_mgmt_ip">'Value Reference Tables - MR'!$U$186</definedName>
    <definedName name="wld_az1_rack5_host5_fqdn">'Value Reference Tables - MR'!$U$225</definedName>
    <definedName name="wld_az1_rack5_host5_hostname">'Value Reference Tables - MR'!$U$206</definedName>
    <definedName name="wld_az1_rack5_host5_mgmt_ip">'Value Reference Tables - MR'!$U$187</definedName>
    <definedName name="wld_az1_rack5_host6_fqdn">'Value Reference Tables - MR'!$U$226</definedName>
    <definedName name="wld_az1_rack5_host6_hostname">'Value Reference Tables - MR'!$U$207</definedName>
    <definedName name="wld_az1_rack5_host6_mgmt_ip">'Value Reference Tables - MR'!$U$188</definedName>
    <definedName name="wld_az1_rack5_host7_fqdn">'Value Reference Tables - MR'!$U$227</definedName>
    <definedName name="wld_az1_rack5_host7_hostname">'Value Reference Tables - MR'!$U$208</definedName>
    <definedName name="wld_az1_rack5_host7_mgmt_ip">'Value Reference Tables - MR'!$U$189</definedName>
    <definedName name="wld_az1_rack5_host8_fqdn">'Value Reference Tables - MR'!$U$228</definedName>
    <definedName name="wld_az1_rack5_host8_hostname">'Value Reference Tables - MR'!$U$209</definedName>
    <definedName name="wld_az1_rack5_host8_mgmt_ip">'Value Reference Tables - MR'!$U$190</definedName>
    <definedName name="wld_az1_rack5_host9_fqdn">'Value Reference Tables - MR'!$U$229</definedName>
    <definedName name="wld_az1_rack5_host9_hostname">'Value Reference Tables - MR'!$U$210</definedName>
    <definedName name="wld_az1_rack5_host9_mgmt_ip">'Value Reference Tables - MR'!$U$191</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MR'!$X$244</definedName>
    <definedName name="wld_az1_rack6_en1_edge_overlay_interface_ip_2_ip">'Value Reference Tables - MR'!$X$245</definedName>
    <definedName name="wld_az1_rack6_en1_fqdn">'Value Reference Tables - MR'!$X$240</definedName>
    <definedName name="wld_az1_rack6_en1_hostname">'Value Reference Tables - MR'!$X$239</definedName>
    <definedName name="wld_az1_rack6_en1_mgmt_ip">'Value Reference Tables - MR'!$X$241</definedName>
    <definedName name="wld_az1_rack6_en1_uplink01_interface_ip">'Value Reference Tables - MR'!$X$242</definedName>
    <definedName name="wld_az1_rack6_en1_uplink02_interface_ip">'Value Reference Tables - MR'!$X$243</definedName>
    <definedName name="wld_az1_rack6_en2_fqdn">'Value Reference Tables - MR'!$X$250</definedName>
    <definedName name="wld_az1_rack6_en2_hostname">'Value Reference Tables - MR'!$X$249</definedName>
    <definedName name="wld_az1_rack6_en2_mgmt_ip">'Value Reference Tables - MR'!$X$251</definedName>
    <definedName name="wld_az1_rack6_en2_uplink01_interface_ip">'Value Reference Tables - MR'!$X$252</definedName>
    <definedName name="wld_az1_rack6_en2_uplink02_interface_ip">'Value Reference Tables - MR'!$X$253</definedName>
    <definedName name="wld_az1_rack6_host_fqdns">'Value Reference Tables - MR'!$X$221:$X$236</definedName>
    <definedName name="wld_az1_rack6_host_hostnames">'Value Reference Tables - MR'!$X$202:$X$217</definedName>
    <definedName name="wld_az1_rack6_host_mgmt_ips">'Value Reference Tables - MR'!$X$183:$X$198</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MR'!$X$221</definedName>
    <definedName name="wld_az1_rack6_host1_hostname">'Value Reference Tables - MR'!$X$202</definedName>
    <definedName name="wld_az1_rack6_host1_mgmt_ip">'Value Reference Tables - MR'!$X$183</definedName>
    <definedName name="wld_az1_rack6_host10_fqdn">'Value Reference Tables - MR'!$X$230</definedName>
    <definedName name="wld_az1_rack6_host10_hostname">'Value Reference Tables - MR'!$X$211</definedName>
    <definedName name="wld_az1_rack6_host10_mgmt_ip">'Value Reference Tables - MR'!$X$192</definedName>
    <definedName name="wld_az1_rack6_host11_fqdn">'Value Reference Tables - MR'!$X$231</definedName>
    <definedName name="wld_az1_rack6_host11_hostname">'Value Reference Tables - MR'!$X$212</definedName>
    <definedName name="wld_az1_rack6_host11_mgmt_ip">'Value Reference Tables - MR'!$X$193</definedName>
    <definedName name="wld_az1_rack6_host12_fqdn">'Value Reference Tables - MR'!$X$232</definedName>
    <definedName name="wld_az1_rack6_host12_hostname">'Value Reference Tables - MR'!$X$213</definedName>
    <definedName name="wld_az1_rack6_host12_mgmt_ip">'Value Reference Tables - MR'!$X$194</definedName>
    <definedName name="wld_az1_rack6_host13_fqdn">'Value Reference Tables - MR'!$X$233</definedName>
    <definedName name="wld_az1_rack6_host13_hostname">'Value Reference Tables - MR'!$X$214</definedName>
    <definedName name="wld_az1_rack6_host13_mgmt_ip">'Value Reference Tables - MR'!$X$195</definedName>
    <definedName name="wld_az1_rack6_host14_fqdn">'Value Reference Tables - MR'!$X$234</definedName>
    <definedName name="wld_az1_rack6_host14_hostname">'Value Reference Tables - MR'!$X$215</definedName>
    <definedName name="wld_az1_rack6_host14_mgmt_ip">'Value Reference Tables - MR'!$X$196</definedName>
    <definedName name="wld_az1_rack6_host15_fqdn">'Value Reference Tables - MR'!$X$235</definedName>
    <definedName name="wld_az1_rack6_host15_hostname">'Value Reference Tables - MR'!$X$216</definedName>
    <definedName name="wld_az1_rack6_host15_mgmt_ip">'Value Reference Tables - MR'!$X$197</definedName>
    <definedName name="wld_az1_rack6_host16_fqdn">'Value Reference Tables - MR'!$X$236</definedName>
    <definedName name="wld_az1_rack6_host16_hostname">'Value Reference Tables - MR'!$X$217</definedName>
    <definedName name="wld_az1_rack6_host16_mgmt_ip">'Value Reference Tables - MR'!$X$198</definedName>
    <definedName name="wld_az1_rack6_host2_fqdn">'Value Reference Tables - MR'!$X$222</definedName>
    <definedName name="wld_az1_rack6_host2_hostname">'Value Reference Tables - MR'!$X$203</definedName>
    <definedName name="wld_az1_rack6_host2_mgmt_ip">'Value Reference Tables - MR'!$X$184</definedName>
    <definedName name="wld_az1_rack6_host3_fqdn">'Value Reference Tables - MR'!$X$223</definedName>
    <definedName name="wld_az1_rack6_host3_hostname">'Value Reference Tables - MR'!$X$204</definedName>
    <definedName name="wld_az1_rack6_host3_mgmt_ip">'Value Reference Tables - MR'!$X$185</definedName>
    <definedName name="wld_az1_rack6_host4_fqdn">'Value Reference Tables - MR'!$X$224</definedName>
    <definedName name="wld_az1_rack6_host4_hostname">'Value Reference Tables - MR'!$X$205</definedName>
    <definedName name="wld_az1_rack6_host4_mgmt_ip">'Value Reference Tables - MR'!$X$186</definedName>
    <definedName name="wld_az1_rack6_host5_fqdn">'Value Reference Tables - MR'!$X$225</definedName>
    <definedName name="wld_az1_rack6_host5_hostname">'Value Reference Tables - MR'!$X$206</definedName>
    <definedName name="wld_az1_rack6_host5_mgmt_ip">'Value Reference Tables - MR'!$X$187</definedName>
    <definedName name="wld_az1_rack6_host6_fqdn">'Value Reference Tables - MR'!$X$226</definedName>
    <definedName name="wld_az1_rack6_host6_hostname">'Value Reference Tables - MR'!$X$207</definedName>
    <definedName name="wld_az1_rack6_host6_mgmt_ip">'Value Reference Tables - MR'!$X$188</definedName>
    <definedName name="wld_az1_rack6_host7_fqdn">'Value Reference Tables - MR'!$X$227</definedName>
    <definedName name="wld_az1_rack6_host7_hostname">'Value Reference Tables - MR'!$X$208</definedName>
    <definedName name="wld_az1_rack6_host7_mgmt_ip">'Value Reference Tables - MR'!$X$189</definedName>
    <definedName name="wld_az1_rack6_host8_fqdn">'Value Reference Tables - MR'!$X$228</definedName>
    <definedName name="wld_az1_rack6_host8_hostname">'Value Reference Tables - MR'!$X$209</definedName>
    <definedName name="wld_az1_rack6_host8_mgmt_ip">'Value Reference Tables - MR'!$X$190</definedName>
    <definedName name="wld_az1_rack6_host9_fqdn">'Value Reference Tables - MR'!$X$229</definedName>
    <definedName name="wld_az1_rack6_host9_hostname">'Value Reference Tables - MR'!$X$210</definedName>
    <definedName name="wld_az1_rack6_host9_mgmt_ip">'Value Reference Tables - MR'!$X$191</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MR'!$AA$244</definedName>
    <definedName name="wld_az1_rack7_en1_edge_overlay_interface_ip_2_ip">'Value Reference Tables - MR'!$AA$245</definedName>
    <definedName name="wld_az1_rack7_en1_fqdn">'Value Reference Tables - MR'!$AA$240</definedName>
    <definedName name="wld_az1_rack7_en1_hostname">'Value Reference Tables - MR'!$AA$239</definedName>
    <definedName name="wld_az1_rack7_en1_mgmt_ip">'Value Reference Tables - MR'!$AA$241</definedName>
    <definedName name="wld_az1_rack7_en1_uplink01_interface_ip">'Value Reference Tables - MR'!$AA$242</definedName>
    <definedName name="wld_az1_rack7_en1_uplink02_interface_ip">'Value Reference Tables - MR'!$AA$243</definedName>
    <definedName name="wld_az1_rack7_en2_fqdn">'Value Reference Tables - MR'!$AA$250</definedName>
    <definedName name="wld_az1_rack7_en2_hostname">'Value Reference Tables - MR'!$AA$249</definedName>
    <definedName name="wld_az1_rack7_en2_mgmt_ip">'Value Reference Tables - MR'!$AA$251</definedName>
    <definedName name="wld_az1_rack7_en2_uplink01_interface_ip">'Value Reference Tables - MR'!$AA$252</definedName>
    <definedName name="wld_az1_rack7_en2_uplink02_interface_ip">'Value Reference Tables - MR'!$AA$253</definedName>
    <definedName name="wld_az1_rack7_host_fqdns">'Value Reference Tables - MR'!$AA$221:$AA$236</definedName>
    <definedName name="wld_az1_rack7_host_hostnames">'Value Reference Tables - MR'!$AA$202:$AA$217</definedName>
    <definedName name="wld_az1_rack7_host_mgmt_ips">'Value Reference Tables - MR'!$AA$183:$AA$198</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MR'!$AA$221</definedName>
    <definedName name="wld_az1_rack7_host1_hostname">'Value Reference Tables - MR'!$AA$202</definedName>
    <definedName name="wld_az1_rack7_host1_mgmt_ip">'Value Reference Tables - MR'!$AA$183</definedName>
    <definedName name="wld_az1_rack7_host10_fqdn">'Value Reference Tables - MR'!$AA$230</definedName>
    <definedName name="wld_az1_rack7_host10_hostname">'Value Reference Tables - MR'!$AA$211</definedName>
    <definedName name="wld_az1_rack7_host10_mgmt_ip">'Value Reference Tables - MR'!$AA$192</definedName>
    <definedName name="wld_az1_rack7_host11_fqdn">'Value Reference Tables - MR'!$AA$231</definedName>
    <definedName name="wld_az1_rack7_host11_hostname">'Value Reference Tables - MR'!$AA$212</definedName>
    <definedName name="wld_az1_rack7_host11_mgmt_ip">'Value Reference Tables - MR'!$AA$193</definedName>
    <definedName name="wld_az1_rack7_host12_fqdn">'Value Reference Tables - MR'!$AA$232</definedName>
    <definedName name="wld_az1_rack7_host12_hostname">'Value Reference Tables - MR'!$AA$213</definedName>
    <definedName name="wld_az1_rack7_host12_mgmt_ip">'Value Reference Tables - MR'!$AA$194</definedName>
    <definedName name="wld_az1_rack7_host13_fqdn">'Value Reference Tables - MR'!$AA$233</definedName>
    <definedName name="wld_az1_rack7_host13_hostname">'Value Reference Tables - MR'!$AA$214</definedName>
    <definedName name="wld_az1_rack7_host13_mgmt_ip">'Value Reference Tables - MR'!$AA$195</definedName>
    <definedName name="wld_az1_rack7_host14_fqdn">'Value Reference Tables - MR'!$AA$234</definedName>
    <definedName name="wld_az1_rack7_host14_hostname">'Value Reference Tables - MR'!$AA$215</definedName>
    <definedName name="wld_az1_rack7_host14_mgmt_ip">'Value Reference Tables - MR'!$AA$196</definedName>
    <definedName name="wld_az1_rack7_host15_fqdn">'Value Reference Tables - MR'!$AA$235</definedName>
    <definedName name="wld_az1_rack7_host15_hostname">'Value Reference Tables - MR'!$AA$216</definedName>
    <definedName name="wld_az1_rack7_host15_mgmt_ip">'Value Reference Tables - MR'!$AA$197</definedName>
    <definedName name="wld_az1_rack7_host16_fqdn">'Value Reference Tables - MR'!$AA$236</definedName>
    <definedName name="wld_az1_rack7_host16_hostname">'Value Reference Tables - MR'!$AA$217</definedName>
    <definedName name="wld_az1_rack7_host16_mgmt_ip">'Value Reference Tables - MR'!$AA$198</definedName>
    <definedName name="wld_az1_rack7_host2_fqdn">'Value Reference Tables - MR'!$AA$222</definedName>
    <definedName name="wld_az1_rack7_host2_hostname">'Value Reference Tables - MR'!$AA$203</definedName>
    <definedName name="wld_az1_rack7_host2_mgmt_ip">'Value Reference Tables - MR'!$AA$184</definedName>
    <definedName name="wld_az1_rack7_host3_fqdn">'Value Reference Tables - MR'!$AA$223</definedName>
    <definedName name="wld_az1_rack7_host3_hostname">'Value Reference Tables - MR'!$AA$204</definedName>
    <definedName name="wld_az1_rack7_host3_mgmt_ip">'Value Reference Tables - MR'!$AA$185</definedName>
    <definedName name="wld_az1_rack7_host4_fqdn">'Value Reference Tables - MR'!$AA$224</definedName>
    <definedName name="wld_az1_rack7_host4_hostname">'Value Reference Tables - MR'!$AA$205</definedName>
    <definedName name="wld_az1_rack7_host4_mgmt_ip">'Value Reference Tables - MR'!$AA$186</definedName>
    <definedName name="wld_az1_rack7_host5_fqdn">'Value Reference Tables - MR'!$AA$225</definedName>
    <definedName name="wld_az1_rack7_host5_hostname">'Value Reference Tables - MR'!$AA$206</definedName>
    <definedName name="wld_az1_rack7_host5_mgmt_ip">'Value Reference Tables - MR'!$AA$187</definedName>
    <definedName name="wld_az1_rack7_host6_fqdn">'Value Reference Tables - MR'!$AA$226</definedName>
    <definedName name="wld_az1_rack7_host6_hostname">'Value Reference Tables - MR'!$AA$207</definedName>
    <definedName name="wld_az1_rack7_host6_mgmt_ip">'Value Reference Tables - MR'!$AA$188</definedName>
    <definedName name="wld_az1_rack7_host7_fqdn">'Value Reference Tables - MR'!$AA$227</definedName>
    <definedName name="wld_az1_rack7_host7_hostname">'Value Reference Tables - MR'!$AA$208</definedName>
    <definedName name="wld_az1_rack7_host7_mgmt_ip">'Value Reference Tables - MR'!$AA$189</definedName>
    <definedName name="wld_az1_rack7_host8_fqdn">'Value Reference Tables - MR'!$AA$228</definedName>
    <definedName name="wld_az1_rack7_host8_hostname">'Value Reference Tables - MR'!$AA$209</definedName>
    <definedName name="wld_az1_rack7_host8_mgmt_ip">'Value Reference Tables - MR'!$AA$190</definedName>
    <definedName name="wld_az1_rack7_host9_fqdn">'Value Reference Tables - MR'!$AA$229</definedName>
    <definedName name="wld_az1_rack7_host9_hostname">'Value Reference Tables - MR'!$AA$210</definedName>
    <definedName name="wld_az1_rack7_host9_mgmt_ip">'Value Reference Tables - MR'!$AA$191</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MR'!$AD$244</definedName>
    <definedName name="wld_az1_rack8_en1_edge_overlay_interface_ip_2_ip">'Value Reference Tables - MR'!$AD$245</definedName>
    <definedName name="wld_az1_rack8_en1_fqdn">'Value Reference Tables - MR'!$AD$240</definedName>
    <definedName name="wld_az1_rack8_en1_hostname">'Value Reference Tables - MR'!$AD$239</definedName>
    <definedName name="wld_az1_rack8_en1_mgmt_ip">'Value Reference Tables - MR'!$AD$241</definedName>
    <definedName name="wld_az1_rack8_en1_uplink01_interface_ip">'Value Reference Tables - MR'!$AD$242</definedName>
    <definedName name="wld_az1_rack8_en1_uplink02_interface_ip">'Value Reference Tables - MR'!$AD$243</definedName>
    <definedName name="wld_az1_rack8_en2_fqdn">'Value Reference Tables - MR'!$AD$250</definedName>
    <definedName name="wld_az1_rack8_en2_hostname">'Value Reference Tables - MR'!$AD$249</definedName>
    <definedName name="wld_az1_rack8_en2_mgmt_ip">'Value Reference Tables - MR'!$AD$251</definedName>
    <definedName name="wld_az1_rack8_en2_uplink01_interface_ip">'Value Reference Tables - MR'!$AD$252</definedName>
    <definedName name="wld_az1_rack8_en2_uplink02_interface_ip">'Value Reference Tables - MR'!$AD$253</definedName>
    <definedName name="wld_az1_rack8_host_fqdns">'Value Reference Tables - MR'!$AD$221:$AD$236</definedName>
    <definedName name="wld_az1_rack8_host_hostnames">'Value Reference Tables - MR'!$AD$202:$AD$217</definedName>
    <definedName name="wld_az1_rack8_host_mgmt_ips">'Value Reference Tables - MR'!$AD$183:$AD$198</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MR'!$AD$221</definedName>
    <definedName name="wld_az1_rack8_host1_hostname">'Value Reference Tables - MR'!$AD$202</definedName>
    <definedName name="wld_az1_rack8_host1_mgmt_ip">'Value Reference Tables - MR'!$AD$183</definedName>
    <definedName name="wld_az1_rack8_host10_fqdn">'Value Reference Tables - MR'!$AD$230</definedName>
    <definedName name="wld_az1_rack8_host10_hostname">'Value Reference Tables - MR'!$AD$211</definedName>
    <definedName name="wld_az1_rack8_host10_mgmt_ip">'Value Reference Tables - MR'!$AD$192</definedName>
    <definedName name="wld_az1_rack8_host11_fqdn">'Value Reference Tables - MR'!$AD$231</definedName>
    <definedName name="wld_az1_rack8_host11_hostname">'Value Reference Tables - MR'!$AD$212</definedName>
    <definedName name="wld_az1_rack8_host11_mgmt_ip">'Value Reference Tables - MR'!$AD$193</definedName>
    <definedName name="wld_az1_rack8_host12_fqdn">'Value Reference Tables - MR'!$AD$232</definedName>
    <definedName name="wld_az1_rack8_host12_hostname">'Value Reference Tables - MR'!$AD$213</definedName>
    <definedName name="wld_az1_rack8_host12_mgmt_ip">'Value Reference Tables - MR'!$AD$194</definedName>
    <definedName name="wld_az1_rack8_host13_fqdn">'Value Reference Tables - MR'!$AD$233</definedName>
    <definedName name="wld_az1_rack8_host13_hostname">'Value Reference Tables - MR'!$AD$214</definedName>
    <definedName name="wld_az1_rack8_host13_mgmt_ip">'Value Reference Tables - MR'!$AD$195</definedName>
    <definedName name="wld_az1_rack8_host14_fqdn">'Value Reference Tables - MR'!$AD$234</definedName>
    <definedName name="wld_az1_rack8_host14_hostname">'Value Reference Tables - MR'!$AD$215</definedName>
    <definedName name="wld_az1_rack8_host14_mgmt_ip">'Value Reference Tables - MR'!$AD$196</definedName>
    <definedName name="wld_az1_rack8_host15_fqdn">'Value Reference Tables - MR'!$AD$235</definedName>
    <definedName name="wld_az1_rack8_host15_hostname">'Value Reference Tables - MR'!$AD$216</definedName>
    <definedName name="wld_az1_rack8_host15_mgmt_ip">'Value Reference Tables - MR'!$AD$197</definedName>
    <definedName name="wld_az1_rack8_host16_fqdn">'Value Reference Tables - MR'!$AD$236</definedName>
    <definedName name="wld_az1_rack8_host16_hostname">'Value Reference Tables - MR'!$AD$217</definedName>
    <definedName name="wld_az1_rack8_host16_mgmt_ip">'Value Reference Tables - MR'!$AD$198</definedName>
    <definedName name="wld_az1_rack8_host2_fqdn">'Value Reference Tables - MR'!$AD$222</definedName>
    <definedName name="wld_az1_rack8_host2_hostname">'Value Reference Tables - MR'!$AD$203</definedName>
    <definedName name="wld_az1_rack8_host2_mgmt_ip">'Value Reference Tables - MR'!$AD$184</definedName>
    <definedName name="wld_az1_rack8_host3_fqdn">'Value Reference Tables - MR'!$AD$223</definedName>
    <definedName name="wld_az1_rack8_host3_hostname">'Value Reference Tables - MR'!$AD$204</definedName>
    <definedName name="wld_az1_rack8_host3_mgmt_ip">'Value Reference Tables - MR'!$AD$185</definedName>
    <definedName name="wld_az1_rack8_host4_fqdn">'Value Reference Tables - MR'!$AD$224</definedName>
    <definedName name="wld_az1_rack8_host4_hostname">'Value Reference Tables - MR'!$AD$205</definedName>
    <definedName name="wld_az1_rack8_host4_mgmt_ip">'Value Reference Tables - MR'!$AD$186</definedName>
    <definedName name="wld_az1_rack8_host5_fqdn">'Value Reference Tables - MR'!$AD$225</definedName>
    <definedName name="wld_az1_rack8_host5_hostname">'Value Reference Tables - MR'!$AD$206</definedName>
    <definedName name="wld_az1_rack8_host5_mgmt_ip">'Value Reference Tables - MR'!$AD$187</definedName>
    <definedName name="wld_az1_rack8_host6_fqdn">'Value Reference Tables - MR'!$AD$226</definedName>
    <definedName name="wld_az1_rack8_host6_hostname">'Value Reference Tables - MR'!$AD$207</definedName>
    <definedName name="wld_az1_rack8_host6_mgmt_ip">'Value Reference Tables - MR'!$AD$188</definedName>
    <definedName name="wld_az1_rack8_host7_fqdn">'Value Reference Tables - MR'!$AD$227</definedName>
    <definedName name="wld_az1_rack8_host7_hostname">'Value Reference Tables - MR'!$AD$208</definedName>
    <definedName name="wld_az1_rack8_host7_mgmt_ip">'Value Reference Tables - MR'!$AD$189</definedName>
    <definedName name="wld_az1_rack8_host8_fqdn">'Value Reference Tables - MR'!$AD$228</definedName>
    <definedName name="wld_az1_rack8_host8_hostname">'Value Reference Tables - MR'!$AD$209</definedName>
    <definedName name="wld_az1_rack8_host8_mgmt_ip">'Value Reference Tables - MR'!$AD$190</definedName>
    <definedName name="wld_az1_rack8_host9_fqdn">'Value Reference Tables - MR'!$AD$229</definedName>
    <definedName name="wld_az1_rack8_host9_hostname">'Value Reference Tables - MR'!$AD$210</definedName>
    <definedName name="wld_az1_rack8_host9_mgmt_ip">'Value Reference Tables - MR'!$AD$191</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MR'!$I$302</definedName>
    <definedName name="wld_az2_edge_overlay_gateway_ip">'Value Reference Tables - MR'!$I$347</definedName>
    <definedName name="wld_az2_edge_overlay_mask">'Value Reference Tables - MR'!$I$332</definedName>
    <definedName name="wld_az2_edge_overlay_mtu">'Value Reference Tables - MR'!$I$362</definedName>
    <definedName name="wld_az2_edge_overlay_network">'Value Reference Tables - MR'!$I$317</definedName>
    <definedName name="wld_az2_edge_overlay_pg">'Value Reference Tables - MR'!$I$386</definedName>
    <definedName name="wld_az2_edge_overlay_vlan">'Value Reference Tables - MR'!$I$287</definedName>
    <definedName name="wld_az2_host_fqdns">'Value Reference Tables - MR'!$I$477:$I$492</definedName>
    <definedName name="wld_az2_host_hostnames">'Value Reference Tables - MR'!$I$458:$I$473</definedName>
    <definedName name="wld_az2_host_mgmt_ips">'Value Reference Tables - MR'!$I$423:$I$438</definedName>
    <definedName name="wld_az2_host_overlay_cidr">'Value Reference Tables - MR'!$I$297</definedName>
    <definedName name="wld_az2_host_overlay_gateway_ip">'Value Reference Tables - MR'!$I$342</definedName>
    <definedName name="wld_az2_host_overlay_mask">'Value Reference Tables - MR'!$I$327</definedName>
    <definedName name="wld_az2_host_overlay_mtu">'Value Reference Tables - MR'!$I$357</definedName>
    <definedName name="wld_az2_host_overlay_network">'Value Reference Tables - MR'!$I$312</definedName>
    <definedName name="wld_az2_host_overlay_network_pool_name">'Value Reference Tables - MR'!$I$408</definedName>
    <definedName name="wld_az2_host_overlay_network_profile_name">'Value Reference Tables - MR'!$I$407</definedName>
    <definedName name="wld_az2_host_overlay_new_pool_chosen">'Configure Workload Domain'!$D$320</definedName>
    <definedName name="wld_az2_host_overlay_pg">'Value Reference Tables - MR'!$I$382</definedName>
    <definedName name="wld_az2_host_overlay_pool_end_ip">'Value Reference Tables - MR'!$I$396</definedName>
    <definedName name="wld_az2_host_overlay_pool_name">'Value Reference Tables'!$F$116</definedName>
    <definedName name="wld_az2_host_overlay_pool_start_ip">'Value Reference Tables - MR'!$I$395</definedName>
    <definedName name="wld_az2_host_overlay_uplink_profile_name">'Value Reference Tables - MR'!$I$409</definedName>
    <definedName name="wld_az2_host_overlay_vlan">'Value Reference Tables - MR'!$I$282</definedName>
    <definedName name="wld_az2_host_vrms_ips">'Value Reference Tables - MR'!$I$439:$I$454</definedName>
    <definedName name="wld_az2_host1_fqdn">'Value Reference Tables - MR'!$I$477</definedName>
    <definedName name="wld_az2_host1_hostname">'Value Reference Tables - MR'!$I$458</definedName>
    <definedName name="wld_az2_host1_mgmt_ip">'Value Reference Tables - MR'!$I$423</definedName>
    <definedName name="wld_az2_host1_sddc_id">'Value Reference Tables'!$F$111</definedName>
    <definedName name="wld_az2_host1_vrms_ip">'Value Reference Tables - MR'!$I$439</definedName>
    <definedName name="wld_az2_host10_fqdn">'Value Reference Tables - MR'!$I$486</definedName>
    <definedName name="wld_az2_host10_hostname">'Value Reference Tables - MR'!$I$467</definedName>
    <definedName name="wld_az2_host10_mgmt_ip">'Value Reference Tables - MR'!$I$432</definedName>
    <definedName name="wld_az2_host10_vrms_ip">'Value Reference Tables - MR'!$I$448</definedName>
    <definedName name="wld_az2_host11_fqdn">'Value Reference Tables - MR'!$I$487</definedName>
    <definedName name="wld_az2_host11_hostname">'Value Reference Tables - MR'!$I$468</definedName>
    <definedName name="wld_az2_host11_mgmt_ip">'Value Reference Tables - MR'!$I$433</definedName>
    <definedName name="wld_az2_host11_vrms_ip">'Value Reference Tables - MR'!$I$449</definedName>
    <definedName name="wld_az2_host12_fqdn">'Value Reference Tables - MR'!$I$488</definedName>
    <definedName name="wld_az2_host12_hostname">'Value Reference Tables - MR'!$I$469</definedName>
    <definedName name="wld_az2_host12_mgmt_ip">'Value Reference Tables - MR'!$I$434</definedName>
    <definedName name="wld_az2_host12_vrms_ip">'Value Reference Tables - MR'!$I$450</definedName>
    <definedName name="wld_az2_host13_fqdn">'Value Reference Tables - MR'!$I$489</definedName>
    <definedName name="wld_az2_host13_hostname">'Value Reference Tables - MR'!$I$470</definedName>
    <definedName name="wld_az2_host13_mgmt_ip">'Value Reference Tables - MR'!$I$435</definedName>
    <definedName name="wld_az2_host13_vrms_ip">'Value Reference Tables - MR'!$I$451</definedName>
    <definedName name="wld_az2_host14_fqdn">'Value Reference Tables - MR'!$I$490</definedName>
    <definedName name="wld_az2_host14_hostname">'Value Reference Tables - MR'!$I$471</definedName>
    <definedName name="wld_az2_host14_mgmt_ip">'Value Reference Tables - MR'!$I$436</definedName>
    <definedName name="wld_az2_host14_vrms_ip">'Value Reference Tables - MR'!$I$452</definedName>
    <definedName name="wld_az2_host15_fqdn">'Value Reference Tables - MR'!$I$491</definedName>
    <definedName name="wld_az2_host15_hostname">'Value Reference Tables - MR'!$I$472</definedName>
    <definedName name="wld_az2_host15_mgmt_ip">'Value Reference Tables - MR'!$I$437</definedName>
    <definedName name="wld_az2_host15_vrms_ip">'Value Reference Tables - MR'!$I$453</definedName>
    <definedName name="wld_az2_host16_fqdn">'Value Reference Tables - MR'!$I$492</definedName>
    <definedName name="wld_az2_host16_hostname">'Value Reference Tables - MR'!$I$473</definedName>
    <definedName name="wld_az2_host16_mgmt_ip">'Value Reference Tables - MR'!$I$438</definedName>
    <definedName name="wld_az2_host16_vrms_ip">'Value Reference Tables - MR'!$I$454</definedName>
    <definedName name="wld_az2_host2_fqdn">'Value Reference Tables - MR'!$I$478</definedName>
    <definedName name="wld_az2_host2_hostname">'Value Reference Tables - MR'!$I$459</definedName>
    <definedName name="wld_az2_host2_mgmt_ip">'Value Reference Tables - MR'!$I$424</definedName>
    <definedName name="wld_az2_host2_sddc_id">'Value Reference Tables'!$F$112</definedName>
    <definedName name="wld_az2_host2_vrms_ip">'Value Reference Tables - MR'!$I$440</definedName>
    <definedName name="wld_az2_host3_fqdn">'Value Reference Tables - MR'!$I$479</definedName>
    <definedName name="wld_az2_host3_hostname">'Value Reference Tables - MR'!$I$460</definedName>
    <definedName name="wld_az2_host3_mgmt_ip">'Value Reference Tables - MR'!$I$425</definedName>
    <definedName name="wld_az2_host3_sddc_id">'Value Reference Tables'!$F$113</definedName>
    <definedName name="wld_az2_host3_vrms_ip">'Value Reference Tables - MR'!$I$441</definedName>
    <definedName name="wld_az2_host4_fqdn">'Value Reference Tables - MR'!$I$480</definedName>
    <definedName name="wld_az2_host4_hostname">'Value Reference Tables - MR'!$I$461</definedName>
    <definedName name="wld_az2_host4_mgmt_ip">'Value Reference Tables - MR'!$I$426</definedName>
    <definedName name="wld_az2_host4_sddc_id">'Value Reference Tables'!$F$114</definedName>
    <definedName name="wld_az2_host4_vrms_ip">'Value Reference Tables - MR'!$I$442</definedName>
    <definedName name="wld_az2_host5_fqdn">'Value Reference Tables - MR'!$I$481</definedName>
    <definedName name="wld_az2_host5_hostname">'Value Reference Tables - MR'!$I$462</definedName>
    <definedName name="wld_az2_host5_mgmt_ip">'Value Reference Tables - MR'!$I$427</definedName>
    <definedName name="wld_az2_host5_vrms_ip">'Value Reference Tables - MR'!$I$443</definedName>
    <definedName name="wld_az2_host6_fqdn">'Value Reference Tables - MR'!$I$482</definedName>
    <definedName name="wld_az2_host6_hostname">'Value Reference Tables - MR'!$I$463</definedName>
    <definedName name="wld_az2_host6_mgmt_ip">'Value Reference Tables - MR'!$I$428</definedName>
    <definedName name="wld_az2_host6_vrms_ip">'Value Reference Tables - MR'!$I$444</definedName>
    <definedName name="wld_az2_host7_fqdn">'Value Reference Tables - MR'!$I$483</definedName>
    <definedName name="wld_az2_host7_hostname">'Value Reference Tables - MR'!$I$464</definedName>
    <definedName name="wld_az2_host7_mgmt_ip">'Value Reference Tables - MR'!$I$429</definedName>
    <definedName name="wld_az2_host7_vrms_ip">'Value Reference Tables - MR'!$I$445</definedName>
    <definedName name="wld_az2_host8_fqdn">'Value Reference Tables - MR'!$I$484</definedName>
    <definedName name="wld_az2_host8_hostname">'Value Reference Tables - MR'!$I$465</definedName>
    <definedName name="wld_az2_host8_mgmt_ip">'Value Reference Tables - MR'!$I$430</definedName>
    <definedName name="wld_az2_host8_vrms_ip">'Value Reference Tables - MR'!$I$446</definedName>
    <definedName name="wld_az2_host9_fqdn">'Value Reference Tables - MR'!$I$485</definedName>
    <definedName name="wld_az2_host9_hostname">'Value Reference Tables - MR'!$I$466</definedName>
    <definedName name="wld_az2_host9_mgmt_ip">'Value Reference Tables - MR'!$I$431</definedName>
    <definedName name="wld_az2_host9_vrms_ip">'Value Reference Tables - MR'!$I$447</definedName>
    <definedName name="wld_az2_mgmt_cidr">'Value Reference Tables - MR'!$I$294</definedName>
    <definedName name="wld_az2_mgmt_gateway_ip">'Value Reference Tables - MR'!$I$339</definedName>
    <definedName name="wld_az2_mgmt_mask">'Value Reference Tables - MR'!$I$324</definedName>
    <definedName name="wld_az2_mgmt_mtu">'Value Reference Tables - MR'!$I$354</definedName>
    <definedName name="wld_az2_mgmt_network">'Value Reference Tables - MR'!$I$309</definedName>
    <definedName name="wld_az2_mgmt_vlan">'Value Reference Tables - MR'!$I$279</definedName>
    <definedName name="wld_az2_pool_name">'Value Reference Tables - MR'!$I$406</definedName>
    <definedName name="wld_az2_principal_storage_cidr">'Value Reference Tables - MR'!$I$296</definedName>
    <definedName name="wld_az2_principal_storage_gateway_ip">'Value Reference Tables - MR'!$I$341</definedName>
    <definedName name="wld_az2_principal_storage_mask">'Value Reference Tables - MR'!$I$326</definedName>
    <definedName name="wld_az2_principal_storage_mtu">'Value Reference Tables - MR'!$I$356</definedName>
    <definedName name="wld_az2_principal_storage_network">'Value Reference Tables - MR'!$I$311</definedName>
    <definedName name="wld_az2_principal_storage_pool_end_ip">'Value Reference Tables - MR'!$I$394</definedName>
    <definedName name="wld_az2_principal_storage_pool_start_ip">'Value Reference Tables - MR'!$I$393</definedName>
    <definedName name="wld_az2_principal_storage_vlan">'Value Reference Tables - MR'!$I$281</definedName>
    <definedName name="wld_az2_reuse_vcf_networkpool_chosen">'Configure Workload Domain'!$D$194</definedName>
    <definedName name="wld_az2_rtep_overlay_cidr">'Value Reference Tables - MR'!$I$303</definedName>
    <definedName name="wld_az2_rtep_overlay_gateway_ip">'Value Reference Tables - MR'!$I$348</definedName>
    <definedName name="wld_az2_rtep_overlay_mask">'Value Reference Tables - MR'!$I$333</definedName>
    <definedName name="wld_az2_rtep_overlay_mtu">'Value Reference Tables - MR'!$I$363</definedName>
    <definedName name="wld_az2_rtep_overlay_network">'Value Reference Tables - MR'!$I$318</definedName>
    <definedName name="wld_az2_rtep_overlay_pg">'Value Reference Tables - MR'!$I$387</definedName>
    <definedName name="wld_az2_rtep_overlay_vlan">'Value Reference Tables - MR'!$I$288</definedName>
    <definedName name="wld_az2_secondary_storage_cidr">'Value Reference Tables - MR'!$I$298</definedName>
    <definedName name="wld_az2_secondary_storage_gateway_ip">'Value Reference Tables'!$AE$43</definedName>
    <definedName name="wld_az2_secondary_storage_mask">'Value Reference Tables - MR'!$I$328</definedName>
    <definedName name="wld_az2_secondary_storage_mtu">'Value Reference Tables - MR'!$I$358</definedName>
    <definedName name="wld_az2_secondary_storage_network">'Value Reference Tables - MR'!$I$313</definedName>
    <definedName name="wld_az2_secondary_storage_pool_end_ip">'Value Reference Tables - MR'!$I$398</definedName>
    <definedName name="wld_az2_secondary_storage_pool_start_ip">'Value Reference Tables - MR'!$I$397</definedName>
    <definedName name="wld_az2_secondary_storage_vlan">'Value Reference Tables - MR'!$I$283</definedName>
    <definedName name="wld_az2_storage_cluster_gateway_ip">'Value Reference Tables - MR'!$I$344</definedName>
    <definedName name="wld_az2_storage_cluster_mask">'Value Reference Tables - MR'!$I$329</definedName>
    <definedName name="wld_az2_storage_cluster_mtu">'Value Reference Tables - MR'!$I$359</definedName>
    <definedName name="wld_az2_storage_cluster_network">'Value Reference Tables - MR'!$I$314</definedName>
    <definedName name="wld_az2_storage_cluster_pool_end_ip">'Value Reference Tables - MR'!$I$400</definedName>
    <definedName name="wld_az2_storage_cluster_pool_start_ip">'Value Reference Tables - MR'!$I$399</definedName>
    <definedName name="wld_az2_storage_cluster_vlan">'Value Reference Tables - MR'!$I$284</definedName>
    <definedName name="wld_az2_tor1_peer_asn">'Value Reference Tables - MR'!$I$370</definedName>
    <definedName name="wld_az2_tor1_peer_bgp_password">'Value Reference Tables - MR'!$I$371</definedName>
    <definedName name="wld_az2_tor1_peer_ip">'Value Reference Tables - MR'!$I$369</definedName>
    <definedName name="wld_az2_tor2_peer_asn">'Value Reference Tables - MR'!$I$373</definedName>
    <definedName name="wld_az2_tor2_peer_bgp_password">'Value Reference Tables - MR'!$I$374</definedName>
    <definedName name="wld_az2_tor2_peer_ip">'Value Reference Tables - MR'!$I$372</definedName>
    <definedName name="wld_az2_uplink01_cidr">'Value Reference Tables - MR'!$I$300</definedName>
    <definedName name="wld_az2_uplink01_gateway_ip">'Value Reference Tables - MR'!$I$345</definedName>
    <definedName name="wld_az2_uplink01_mask">'Value Reference Tables - MR'!$I$330</definedName>
    <definedName name="wld_az2_uplink01_mtu">'Value Reference Tables - MR'!$I$360</definedName>
    <definedName name="wld_az2_uplink01_network">'Value Reference Tables - MR'!$I$315</definedName>
    <definedName name="wld_az2_uplink01_vlan">'Value Reference Tables - MR'!$I$285</definedName>
    <definedName name="wld_az2_uplink02_cidr">'Value Reference Tables - MR'!$I$301</definedName>
    <definedName name="wld_az2_uplink02_gateway_ip">'Value Reference Tables - MR'!$I$346</definedName>
    <definedName name="wld_az2_uplink02_mask">'Value Reference Tables - MR'!$I$331</definedName>
    <definedName name="wld_az2_uplink02_mtu">'Value Reference Tables - MR'!$I$361</definedName>
    <definedName name="wld_az2_uplink02_network">'Value Reference Tables - MR'!$I$316</definedName>
    <definedName name="wld_az2_uplink02_vlan">'Value Reference Tables - MR'!$I$286</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MR'!$I$295</definedName>
    <definedName name="wld_az2_vmotion_gateway_ip">'Value Reference Tables - MR'!$I$340</definedName>
    <definedName name="wld_az2_vmotion_mask">'Value Reference Tables - MR'!$I$325</definedName>
    <definedName name="wld_az2_vmotion_mtu">'Value Reference Tables - MR'!$I$355</definedName>
    <definedName name="wld_az2_vmotion_network">'Value Reference Tables - MR'!$I$310</definedName>
    <definedName name="wld_az2_vmotion_pool_end_ip">'Value Reference Tables - MR'!$I$392</definedName>
    <definedName name="wld_az2_vmotion_pool_start_ip">'Value Reference Tables - MR'!$I$391</definedName>
    <definedName name="wld_az2_vmotion_vlan">'Value Reference Tables - MR'!$I$280</definedName>
    <definedName name="wld_az2_vrms_cidr">'Value Reference Tables - MR'!$I$304</definedName>
    <definedName name="wld_az2_vrms_gateway_ip">'Value Reference Tables - MR'!$I$349</definedName>
    <definedName name="wld_az2_vrms_mask">'Value Reference Tables - MR'!$I$334</definedName>
    <definedName name="wld_az2_vrms_mtu">'Value Reference Tables - MR'!$I$364</definedName>
    <definedName name="wld_az2_vrms_network">'Value Reference Tables - MR'!$I$319</definedName>
    <definedName name="wld_az2_vrms_vlan">'Value Reference Tables - MR'!$I$289</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Tables'!$I$194</definedName>
    <definedName name="wld_bf_nsxt_audit_password">'Value Reference Tables'!$I$196</definedName>
    <definedName name="wld_bf_nsxt_configure_overlay_on_mgmt_pg_chosen">'Deploy Workload Domain'!$D$46</definedName>
    <definedName name="wld_bf_nsxt_enable_edge_sync_chosen">'Deploy Workload Domain'!$D$45</definedName>
    <definedName name="wld_bf_nsxt_mgra_fqdn">'Value Reference Tables'!$I$187</definedName>
    <definedName name="wld_bf_nsxt_mgrb_fqdn">'Value Reference Tables'!$I$188</definedName>
    <definedName name="wld_bf_nsxt_mgrc_fqdn">'Value Reference Tables'!$I$189</definedName>
    <definedName name="wld_bf_nsxt_root_password">'Value Reference Tables'!$I$195</definedName>
    <definedName name="wld_bf_nsxt_vip_fqdn">'Value Reference Tables'!$I$190</definedName>
    <definedName name="wld_bf_sddc_domain">'Value Reference Tables'!$I$197</definedName>
    <definedName name="wld_bf_vc_fqdn">'Value Reference Tables'!$I$179</definedName>
    <definedName name="wld_bf_vc_root_password">'Value Reference Tables'!$I$180</definedName>
    <definedName name="wld_bf_vc_sso_password">'Value Reference Tables'!$I$182</definedName>
    <definedName name="wld_bf_vc_sso_username">'Value Reference Tables'!$I$181</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Domain'!$D$273</definedName>
    <definedName name="wld_cl01_az1_mgmt_pg">'Value Reference Tables - MR'!$I$111</definedName>
    <definedName name="wld_cl01_az1_mgmt_uplink1_chosen">'Deploy Workload Domain'!$D$274</definedName>
    <definedName name="wld_cl01_az1_mgmt_uplink2_chosen">'Deploy Workload Domain'!$D$275</definedName>
    <definedName name="wld_cl01_az1_mgmt_vm_lbt_chosen">'Deploy Workload Domain'!$D$278</definedName>
    <definedName name="wld_cl01_az1_mgmt_vm_pg">'Value Reference Tables - MR'!$I$110</definedName>
    <definedName name="wld_cl01_az1_mgmt_vm_uplink1_chosen">'Deploy Workload Domain'!$D$279</definedName>
    <definedName name="wld_cl01_az1_mgmt_vm_uplink2_chosen">'Deploy Workload Domain'!$D$280</definedName>
    <definedName name="wld_cl01_az1_nsx_lbt_chosen">'Deploy Workload Domain'!$D$319</definedName>
    <definedName name="wld_cl01_az1_nsx_uplink_count">'Value Reference Tables'!$F$172</definedName>
    <definedName name="wld_cl01_az1_nsx_uplink1_chosen">'Deploy Workload Domain'!$D$316</definedName>
    <definedName name="wld_cl01_az1_nsx_uplink2_chosen">'Deploy Workload Domain'!$D$317</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Domain'!$D$283</definedName>
    <definedName name="wld_cl01_az1_vmotion_pg">'Value Reference Tables - MR'!$I$112</definedName>
    <definedName name="wld_cl01_az1_vmotion_uplink1_chosen">'Deploy Workload Domain'!$D$284</definedName>
    <definedName name="wld_cl01_az1_vmotion_uplink2_chosen">'Deploy Workload Domain'!$D$285</definedName>
    <definedName name="wld_cl01_az1_vsan_lbt_chosen">'Deploy Workload Domain'!$D$288</definedName>
    <definedName name="wld_cl01_az1_vsan_storage_client_lbt_chosen">'Deploy Workload Domain'!$D$293</definedName>
    <definedName name="wld_cl01_az1_vsan_storage_client_pg">'Value Reference Tables - MR'!$I$120</definedName>
    <definedName name="wld_cl01_az1_vsan_storage_client_uplink1_chosen">'Deploy Workload Domain'!$D$294</definedName>
    <definedName name="wld_cl01_az1_vsan_storage_client_uplink2_chosen">'Deploy Workload Domain'!$D$295</definedName>
    <definedName name="wld_cl01_az1_vsan_uplink1_chosen">'Deploy Workload Domain'!$D$289</definedName>
    <definedName name="wld_cl01_az1_vsan_uplink2_chosen">'Deploy Workload Domain'!$D$290</definedName>
    <definedName name="wld_cl01_az2_mgmt_pg">'Value Reference Tables - MR'!$I$379</definedName>
    <definedName name="wld_cl01_az2_principal_storage_pg">'Value Reference Tables - MR'!$I$381</definedName>
    <definedName name="wld_cl01_az2_uplink01_pg">'Value Reference Tables - MR'!$I$384</definedName>
    <definedName name="wld_cl01_az2_uplink02_pg">'Value Reference Tables - MR'!$I$385</definedName>
    <definedName name="wld_cl01_az2_vm_pg">'Value Reference Tables'!$AE$33</definedName>
    <definedName name="wld_cl01_az2_vmotion_pg">'Value Reference Tables - MR'!$I$380</definedName>
    <definedName name="wld_cl01_cluster">'Value Reference Tables'!$F$63</definedName>
    <definedName name="wld_cl01_cluster_sddc_id">'Value Reference Tables'!$O$65</definedName>
    <definedName name="wld_cl01_cluster_zn_name">'Value Reference Tables'!$F$179</definedName>
    <definedName name="wld_cl01_evc_mode">'Value Reference Tables'!$F$64</definedName>
    <definedName name="wld_cl01_image_name">'Value Reference Tables'!$F$147</definedName>
    <definedName name="wld_cl01_nfs_datastore_name">'Value Reference Tables'!$F$100</definedName>
    <definedName name="wld_cl01_nfs_server_address">'Value Reference Tables'!$F$102</definedName>
    <definedName name="wld_cl01_nfs_share_path">'Value Reference Tables'!$F$101</definedName>
    <definedName name="wld_cl01_supervisor_control_plane_ip_range">'Value Reference Tables'!$F$180</definedName>
    <definedName name="wld_cl01_supervisor_dns">'Value Reference Tables'!$F$181</definedName>
    <definedName name="wld_cl01_supervisor_name">'Value Reference Tables'!$F$182</definedName>
    <definedName name="wld_cl01_supervisor_nsx_project">'Value Reference Tables'!$F$183</definedName>
    <definedName name="wld_cl01_supervisor_ntp">'Value Reference Tables'!$F$184</definedName>
    <definedName name="wld_cl01_supervisor_private_cidr">'Value Reference Tables'!$F$185</definedName>
    <definedName name="wld_cl01_supervisor_private_transit_gateway_cidr">'Value Reference Tables'!$F$186</definedName>
    <definedName name="wld_cl01_supervisor_service_cidr">'Value Reference Tables'!$F$187</definedName>
    <definedName name="wld_cl01_supervisor_use_mgmt_vmk_chosen">'Deploy Workload Domain'!$D$328</definedName>
    <definedName name="wld_cl01_supervisor_vpc_profile">'Value Reference Tables'!$F$189</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lacp_mode_chosen">'Deploy Workload Domain'!$D$243</definedName>
    <definedName name="wld_cl01_vds01_lacp_timeout_chosen">'Deploy Workload Domain'!$D$245</definedName>
    <definedName name="wld_cl01_vds01_lag_lbt_chosen">'Deploy Workload Domain'!$D$244</definedName>
    <definedName name="wld_cl01_vds01_lag_name">'Value Reference Tables'!$F$76</definedName>
    <definedName name="wld_cl01_vds01_link_type_chosen">'Deploy Workload Domain'!$D$241</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lacp_mode_chosen">'Deploy Workload Domain'!$D$254</definedName>
    <definedName name="wld_cl01_vds02_lacp_timeout_chosen">'Deploy Workload Domain'!$D$256</definedName>
    <definedName name="wld_cl01_vds02_lag_lbt_chosen">'Deploy Workload Domain'!$D$255</definedName>
    <definedName name="wld_cl01_vds02_lag_name">'Value Reference Tables'!$F$84</definedName>
    <definedName name="wld_cl01_vds02_link_type_chosen">'Deploy Workload Domain'!$D$252</definedName>
    <definedName name="wld_cl01_vds02_mtu">'Value Reference Tables'!$F$81</definedName>
    <definedName name="wld_cl01_vds02_name">'Value Reference Tables'!$F$78</definedName>
    <definedName name="wld_cl01_vds02_pnics">'Value Reference Tables'!$F$79</definedName>
    <definedName name="wld_cl01_vds02_traffic_type">'Value Reference Tables'!$F$83</definedName>
    <definedName name="wld_cl01_vds02_uplink_count">'Value Reference Tables'!$F$80</definedName>
    <definedName name="wld_cl01_vds03_lacp_mode_chosen">'Deploy Workload Domain'!$D$265</definedName>
    <definedName name="wld_cl01_vds03_lacp_timeout_chosen">'Deploy Workload Domain'!$D$267</definedName>
    <definedName name="wld_cl01_vds03_lag_lbt_chosen">'Deploy Workload Domain'!$D$266</definedName>
    <definedName name="wld_cl01_vds03_lag_name">'Value Reference Tables'!$F$92</definedName>
    <definedName name="wld_cl01_vds03_link_type_chosen">'Deploy Workload Domain'!$D$263</definedName>
    <definedName name="wld_cl01_vds03_mtu">'Value Reference Tables'!$F$87</definedName>
    <definedName name="wld_cl01_vds03_name">'Value Reference Tables'!$F$86</definedName>
    <definedName name="wld_cl01_vds03_pnics">'Value Reference Tables'!$F$88</definedName>
    <definedName name="wld_cl01_vds03_traffic_type">'Value Reference Tables'!$F$91</definedName>
    <definedName name="wld_cl01_vds03_uplink_count">'Value Reference Tables'!$F$89</definedName>
    <definedName name="wld_cl01_vmfs_datastore_name">'Value Reference Tables'!$F$99</definedName>
    <definedName name="wld_cl01_vsan_client_network">'Deploy Workload Domain'!$D$202</definedName>
    <definedName name="wld_cl01_vsan_datastore">'Value Reference Tables'!$F$96</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Tables'!$F$152</definedName>
    <definedName name="wld_ec_mtu">'Value Reference Tables'!$F$190</definedName>
    <definedName name="wld_ec_name">'Value Reference Tables'!$O$67</definedName>
    <definedName name="wld_ec_rp_name">'Value Reference Tables'!$F$153</definedName>
    <definedName name="wld_ec01_en01_host_group_affinity_rule_name">'Value Reference Tables'!$F$155</definedName>
    <definedName name="wld_ec01_en02_host_group_affinity_rule_name">'Value Reference Tables'!$F$156</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Tables'!$C$223</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Domain'!$D$304</definedName>
    <definedName name="wld_iaas_chosen">'Deploy Workload Domain'!$B$18</definedName>
    <definedName name="wld_iaas_result">'Deploy Workload Domain'!$D$18</definedName>
    <definedName name="wld_iaas_service_chosen">'Value Reference Tables'!$F$167</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Domain'!$D$297</definedName>
    <definedName name="wld_nsx_ha_mode_chosen">'Deploy Workload Domain'!$D$173</definedName>
    <definedName name="wld_nsx_operation_mode_chosen">'Deploy Workload Domain'!$D$298</definedName>
    <definedName name="wld_nsx_overlay_transport_zone_chosen">'Deploy Workload Domain'!$D$299</definedName>
    <definedName name="wld_nsx_vlan_transport_zone_chosen">'Deploy Workload Domain'!$D$300</definedName>
    <definedName name="wld_nsx_vlan_transport_zone_name">'Value Reference Tables'!$F$173</definedName>
    <definedName name="wld_nsxt_appliance_size_chosen">'Deploy Workload Domain'!$D$174</definedName>
    <definedName name="wld_nsxt_en_admin_password">'Value Reference Tables'!$F$191</definedName>
    <definedName name="wld_nsxt_en_root_password">'Value Reference Tables'!$F$192</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root_password">'Value Reference Tables'!$L$24</definedName>
    <definedName name="wld_nsxt_gm_vip_fqdn">'Value Reference Tables'!$F$48</definedName>
    <definedName name="wld_nsxt_gm_vip_ip">'Value Reference Tables'!$F$19</definedName>
    <definedName name="wld_nsxt_hostname">'Value Reference Tables'!$F$31</definedName>
    <definedName name="wld_nsxt_lm_admin_password">'Value Reference Tables'!$F$150</definedName>
    <definedName name="wld_nsxt_lm_audit_password">'Value Reference Tables'!$F$149</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vip_ip">'Value Reference Tables'!$F$15</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Tables'!$F$146</definedName>
    <definedName name="wld_sso_domain_administrator_password">'Value Reference Tables'!$F$145</definedName>
    <definedName name="wld_sso_domain_name">'Value Reference Tables'!$F$144</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Tables'!$C$224</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Tables'!$F$170</definedName>
    <definedName name="wld_vsan_type_chosen">'Configure Workload Domain'!$D$249</definedName>
    <definedName name="wld_witness_az_mgmt_mask">'Value Reference Tables'!$AA$43</definedName>
    <definedName name="wld_witness_cluster">'Value Reference Tables'!$F$121</definedName>
    <definedName name="wld_witness_dns1_ip">'Value Reference Tables'!$F$123</definedName>
    <definedName name="wld_witness_dns2_ip">'Value Reference Tables'!$F$124</definedName>
    <definedName name="wld_witness_fqdn">'Value Reference Tables'!$F$59</definedName>
    <definedName name="wld_witness_hostname">'Value Reference Tables'!$F$107</definedName>
    <definedName name="wld_witness_ip">'Value Reference Tables'!$F$132</definedName>
    <definedName name="wld_witness_mgmt_pg">'Value Reference Tables'!$X$56</definedName>
    <definedName name="wld_witness_ntp1_server">'Value Reference Tables'!$F$125</definedName>
    <definedName name="wld_witness_ntp2_server">'Value Reference Tables'!$F$126</definedName>
    <definedName name="wld_witness_root_password">'Value Reference Tables'!$L$35</definedName>
    <definedName name="wld_witness_vc_fqdn">'Value Reference Tables'!$F$58</definedName>
    <definedName name="wld_witness_vm_folder">'Value Reference Tables'!$F$122</definedName>
    <definedName name="wld_witness_vsan_datastore">'Value Reference Tables'!$F$120</definedName>
    <definedName name="wld_witness_zone_vc_fqdn">'Value Reference Tables'!$F$133</definedName>
    <definedName name="wld_witness_zone_vc_hostname">'Value Reference Tables'!$F$106</definedName>
    <definedName name="wld_witness_zone_vc_ip">'Value Reference Tables'!$F$130</definedName>
    <definedName name="wld_witnessaz_gateway_ip">'Value Reference Tables'!$X$64</definedName>
    <definedName name="wld_witnessaz_mgmt_cidr">'Value Reference Tables'!$F$134</definedName>
    <definedName name="wld_witnessaz_mgmt_gateway_ip">'Value Reference Tables'!$F$135</definedName>
    <definedName name="wld_witnessaz_mgmt_mask">'Value Reference Tables'!$F$136</definedName>
    <definedName name="wld_witnessaz_mgmt_mtu">'Value Reference Tables'!$X$68</definedName>
    <definedName name="wld_witnessaz_mgmt_network">'Value Reference Tables'!$F$137</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Tables'!$C$225</definedName>
    <definedName name="xreg_vra_k8s_cluster_cidr_chosen">'Deploy Management Domain'!$L$85</definedName>
    <definedName name="xreg_vra_node_pool_end_ip">Arkham!$R$38</definedName>
    <definedName name="xreg_vra_node_pool_start_ip">Arkham!$R$37</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nodee_ip">Arkham!$R$8</definedName>
    <definedName name="xreg_vra_nodef_ip">Arkham!$R$9</definedName>
    <definedName name="xreg_vra_prefix">'Value Reference Tables'!$F$138</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Tables'!$C$226</definedName>
    <definedName name="xreg_vrops_collector_fqdn">'Value Reference Tables'!$R$97</definedName>
    <definedName name="xreg_vrops_collector_hostname">'Value Reference Tables'!$R$89</definedName>
    <definedName name="xreg_vrops_collector_ip">'Value Reference Tables'!$F$139</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Tables'!$C$227</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 i="109" l="1"/>
  <c r="E191" i="108" l="1"/>
  <c r="D317" i="108"/>
  <c r="D15" i="108"/>
  <c r="E15" i="108"/>
  <c r="E191" i="115"/>
  <c r="E192" i="115"/>
  <c r="E195" i="115"/>
  <c r="E194" i="115"/>
  <c r="E193" i="115"/>
  <c r="C192" i="115"/>
  <c r="C181" i="115"/>
  <c r="C170" i="115"/>
  <c r="M212" i="62"/>
  <c r="A9" i="123"/>
  <c r="D229" i="85" l="1"/>
  <c r="D228" i="85"/>
  <c r="D227" i="85"/>
  <c r="C223" i="85"/>
  <c r="C222" i="85"/>
  <c r="C221" i="85"/>
  <c r="C220" i="85"/>
  <c r="C219" i="85"/>
  <c r="C218" i="85"/>
  <c r="C209" i="85"/>
  <c r="D199" i="85"/>
  <c r="C179"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5" i="86"/>
  <c r="D156" i="86"/>
  <c r="C155" i="86"/>
  <c r="C154" i="86"/>
  <c r="D153" i="86"/>
  <c r="D148" i="86"/>
  <c r="C144" i="86"/>
  <c r="C143" i="86"/>
  <c r="D140" i="86"/>
  <c r="C120" i="86"/>
  <c r="C119" i="86"/>
  <c r="C118" i="86"/>
  <c r="C117" i="86"/>
  <c r="D116" i="86"/>
  <c r="C116" i="86"/>
  <c r="D113" i="86"/>
  <c r="C108" i="86" a="1"/>
  <c r="C108" i="86" s="1"/>
  <c r="C107" i="86" a="1"/>
  <c r="C107" i="86"/>
  <c r="D102" i="86"/>
  <c r="D100" i="86"/>
  <c r="C93" i="86" a="1"/>
  <c r="C93" i="86" s="1"/>
  <c r="C86" i="86" a="1"/>
  <c r="C86" i="86" s="1"/>
  <c r="C85" i="86"/>
  <c r="C80" i="86" a="1"/>
  <c r="C80" i="86" s="1"/>
  <c r="C79" i="86"/>
  <c r="C74" i="86"/>
  <c r="C69" i="86" a="1"/>
  <c r="C69" i="86"/>
  <c r="D68" i="86"/>
  <c r="D67" i="86"/>
  <c r="D66" i="86"/>
  <c r="C65" i="86" a="1"/>
  <c r="C65" i="86" s="1"/>
  <c r="C64" i="86" a="1"/>
  <c r="C64" i="86" s="1"/>
  <c r="C59" i="86" a="1"/>
  <c r="C59" i="86" s="1"/>
  <c r="C58" i="86" a="1"/>
  <c r="C58" i="86"/>
  <c r="C57" i="86" a="1"/>
  <c r="C57" i="86" s="1"/>
  <c r="C56" i="86" a="1"/>
  <c r="C56" i="86"/>
  <c r="C55" i="86" a="1"/>
  <c r="C55" i="86" s="1"/>
  <c r="C54" i="86" a="1"/>
  <c r="C54" i="86"/>
  <c r="C53" i="86" a="1"/>
  <c r="C53" i="86" s="1"/>
  <c r="D52" i="86"/>
  <c r="C112" i="95"/>
  <c r="C108" i="95"/>
  <c r="C104" i="95"/>
  <c r="C100" i="95"/>
  <c r="C86" i="95"/>
  <c r="C70" i="95"/>
  <c r="C69" i="95"/>
  <c r="D65" i="95"/>
  <c r="D61" i="95"/>
  <c r="D60" i="95"/>
  <c r="C54" i="95"/>
  <c r="C53" i="95"/>
  <c r="C169" i="112"/>
  <c r="H144" i="112"/>
  <c r="C144" i="112"/>
  <c r="H143" i="112"/>
  <c r="C143" i="112"/>
  <c r="C139" i="112"/>
  <c r="C45" i="112"/>
  <c r="H41" i="112"/>
  <c r="G41" i="112"/>
  <c r="F41" i="112" a="1"/>
  <c r="F41" i="112" s="1"/>
  <c r="E41" i="112"/>
  <c r="C20" i="112"/>
  <c r="C19" i="112"/>
  <c r="G16" i="112"/>
  <c r="F16" i="112" a="1"/>
  <c r="F16" i="112" s="1"/>
  <c r="E16" i="112"/>
  <c r="C15" i="112" a="1"/>
  <c r="C15" i="112" s="1"/>
  <c r="C106" i="116"/>
  <c r="C103" i="116"/>
  <c r="D97" i="116"/>
  <c r="C93" i="116"/>
  <c r="C85" i="116"/>
  <c r="C78" i="116"/>
  <c r="C72" i="116"/>
  <c r="C67" i="116"/>
  <c r="C54" i="116"/>
  <c r="C35" i="116"/>
  <c r="C32" i="116"/>
  <c r="C23" i="116"/>
  <c r="C18" i="116"/>
  <c r="B147" i="113"/>
  <c r="B142" i="113"/>
  <c r="C132" i="113"/>
  <c r="C124" i="113"/>
  <c r="C121" i="113"/>
  <c r="D98" i="113"/>
  <c r="C86" i="113"/>
  <c r="C79" i="113"/>
  <c r="C73" i="113"/>
  <c r="C68" i="113"/>
  <c r="C55" i="113"/>
  <c r="C36" i="113"/>
  <c r="C33" i="113"/>
  <c r="C28" i="113"/>
  <c r="C23" i="113"/>
  <c r="C18" i="113"/>
  <c r="C13" i="113"/>
  <c r="D242" i="119"/>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348" i="75" s="1"/>
  <c r="C218" i="75"/>
  <c r="C153" i="75"/>
  <c r="C149" i="75"/>
  <c r="C142" i="75"/>
  <c r="C141" i="75"/>
  <c r="C134" i="75"/>
  <c r="C124" i="75"/>
  <c r="C123" i="75"/>
  <c r="C122" i="75"/>
  <c r="C121" i="75"/>
  <c r="C120" i="75"/>
  <c r="C107" i="75"/>
  <c r="C106" i="75"/>
  <c r="D76" i="75"/>
  <c r="D68" i="75"/>
  <c r="C67" i="75"/>
  <c r="C61" i="75"/>
  <c r="C51" i="75"/>
  <c r="C40" i="75"/>
  <c r="C62" i="75" s="1"/>
  <c r="C39" i="75"/>
  <c r="C38" i="75"/>
  <c r="C59" i="75" s="1"/>
  <c r="C37" i="75"/>
  <c r="C54" i="75" s="1"/>
  <c r="C36" i="75"/>
  <c r="C53" i="75" s="1"/>
  <c r="C35" i="75"/>
  <c r="C34" i="75"/>
  <c r="C33" i="75"/>
  <c r="C32" i="75"/>
  <c r="D30" i="75"/>
  <c r="C21" i="75"/>
  <c r="C13" i="75"/>
  <c r="E637" i="117"/>
  <c r="D633"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4" i="120"/>
  <c r="D393" i="120"/>
  <c r="C387" i="120"/>
  <c r="C376" i="120"/>
  <c r="C373" i="120"/>
  <c r="C372"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397" i="120" s="1"/>
  <c r="C73" i="120"/>
  <c r="C259" i="120" s="1"/>
  <c r="C41"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I312" i="63"/>
  <c r="I311" i="63"/>
  <c r="L310" i="63"/>
  <c r="I310" i="63"/>
  <c r="L309" i="63"/>
  <c r="I309" i="63"/>
  <c r="L308" i="63"/>
  <c r="I308" i="63"/>
  <c r="L307" i="63"/>
  <c r="I307" i="63"/>
  <c r="L306" i="63"/>
  <c r="I306" i="63"/>
  <c r="I305" i="63"/>
  <c r="L304" i="63"/>
  <c r="I304" i="63"/>
  <c r="L303" i="63"/>
  <c r="I303" i="63"/>
  <c r="L302" i="63"/>
  <c r="I302" i="63"/>
  <c r="L301" i="63"/>
  <c r="I301" i="63"/>
  <c r="L300" i="63"/>
  <c r="I300" i="63"/>
  <c r="L299" i="63"/>
  <c r="I299" i="63"/>
  <c r="L298" i="63"/>
  <c r="I298" i="63"/>
  <c r="L297" i="63"/>
  <c r="I297" i="63"/>
  <c r="I296" i="63"/>
  <c r="L295" i="63"/>
  <c r="I295" i="63"/>
  <c r="L294" i="63"/>
  <c r="I294" i="63"/>
  <c r="B387" i="115" s="1" a="1"/>
  <c r="L293" i="63"/>
  <c r="I293" i="63"/>
  <c r="L292" i="63"/>
  <c r="I292" i="63"/>
  <c r="I291" i="63"/>
  <c r="D430" i="115" s="1" a="1"/>
  <c r="D430" i="115" s="1"/>
  <c r="L290" i="63"/>
  <c r="I290" i="63"/>
  <c r="L289" i="63"/>
  <c r="I289" i="63"/>
  <c r="L288" i="63"/>
  <c r="I288" i="63"/>
  <c r="I287" i="63"/>
  <c r="I286" i="63"/>
  <c r="I285" i="63"/>
  <c r="L284" i="63"/>
  <c r="I284" i="63"/>
  <c r="L283" i="63"/>
  <c r="I283" i="63"/>
  <c r="L282" i="63"/>
  <c r="I282" i="63"/>
  <c r="L281" i="63"/>
  <c r="I281" i="63"/>
  <c r="L280" i="63"/>
  <c r="I280" i="63"/>
  <c r="L279" i="63"/>
  <c r="I279" i="63"/>
  <c r="L278" i="63"/>
  <c r="I278" i="63"/>
  <c r="L277" i="63"/>
  <c r="I277" i="63"/>
  <c r="L276" i="63"/>
  <c r="I276" i="63" a="1"/>
  <c r="I276" i="63" s="1"/>
  <c r="L275" i="63"/>
  <c r="I275" i="63"/>
  <c r="L274" i="63" a="1"/>
  <c r="L274" i="63" s="1"/>
  <c r="I273" i="63"/>
  <c r="D417" i="115" s="1"/>
  <c r="L272" i="63"/>
  <c r="L271" i="63"/>
  <c r="L270" i="63"/>
  <c r="L269" i="63"/>
  <c r="I269" i="63"/>
  <c r="I268" i="63"/>
  <c r="I267" i="63"/>
  <c r="I266" i="63"/>
  <c r="I265" i="63" a="1"/>
  <c r="I265" i="63" s="1"/>
  <c r="D376" i="115" s="1" a="1"/>
  <c r="D376" i="115" s="1"/>
  <c r="I264" i="63"/>
  <c r="I263" i="63"/>
  <c r="L262" i="63"/>
  <c r="I262" i="63"/>
  <c r="I272" i="63" s="1"/>
  <c r="L261" i="63"/>
  <c r="I261" i="63"/>
  <c r="L260" i="63"/>
  <c r="I260" i="63"/>
  <c r="C260" i="63"/>
  <c r="L259" i="63"/>
  <c r="C259" i="63"/>
  <c r="L258" i="63"/>
  <c r="C258" i="63"/>
  <c r="L257" i="63"/>
  <c r="C257" i="63"/>
  <c r="L256" i="63"/>
  <c r="I256" i="63"/>
  <c r="C256" i="63"/>
  <c r="L255" i="63"/>
  <c r="I255" i="63"/>
  <c r="C255" i="63"/>
  <c r="L254" i="63"/>
  <c r="I254" i="63"/>
  <c r="C254" i="63"/>
  <c r="C253" i="63"/>
  <c r="L252" i="63"/>
  <c r="I252" i="63"/>
  <c r="I251" i="63"/>
  <c r="I253" i="63" s="1"/>
  <c r="C251" i="63"/>
  <c r="I250" i="63"/>
  <c r="C250" i="63"/>
  <c r="I249" i="63"/>
  <c r="C249" i="63"/>
  <c r="L248" i="63"/>
  <c r="C248" i="63"/>
  <c r="L247" i="63"/>
  <c r="I247" i="63"/>
  <c r="C247" i="63"/>
  <c r="L246" i="63"/>
  <c r="I246" i="63"/>
  <c r="C246" i="63"/>
  <c r="L245" i="63"/>
  <c r="I245" i="63"/>
  <c r="C245" i="63"/>
  <c r="L244" i="63"/>
  <c r="I244" i="63"/>
  <c r="C244" i="63"/>
  <c r="L243" i="63"/>
  <c r="L251" i="63" s="1"/>
  <c r="I243" i="63"/>
  <c r="L242" i="63"/>
  <c r="L250" i="63" s="1"/>
  <c r="I242" i="63"/>
  <c r="C242" i="63"/>
  <c r="L241" i="63"/>
  <c r="L249" i="63" s="1"/>
  <c r="I241" i="63"/>
  <c r="C241" i="63"/>
  <c r="L240" i="63"/>
  <c r="C240" i="63"/>
  <c r="L239" i="63"/>
  <c r="I239" i="63"/>
  <c r="C239" i="63"/>
  <c r="L238" i="63"/>
  <c r="I238" i="63"/>
  <c r="C238" i="63"/>
  <c r="L237" i="63"/>
  <c r="I237" i="63"/>
  <c r="C237" i="63"/>
  <c r="L236" i="63"/>
  <c r="C236" i="63"/>
  <c r="L235" i="63"/>
  <c r="I235" i="63"/>
  <c r="C235" i="63"/>
  <c r="L234" i="63"/>
  <c r="I234" i="63"/>
  <c r="C234" i="63"/>
  <c r="I233" i="63"/>
  <c r="C233" i="63"/>
  <c r="I232" i="63"/>
  <c r="C232" i="63"/>
  <c r="I230" i="63"/>
  <c r="C230" i="63"/>
  <c r="L229" i="63"/>
  <c r="I229" i="63"/>
  <c r="C229" i="63"/>
  <c r="I228" i="63"/>
  <c r="C228" i="63"/>
  <c r="C227" i="63"/>
  <c r="I226" i="63"/>
  <c r="C226" i="63"/>
  <c r="I225" i="63"/>
  <c r="C225" i="63"/>
  <c r="L224" i="63"/>
  <c r="I224" i="63"/>
  <c r="C224" i="63"/>
  <c r="L223" i="63"/>
  <c r="I223" i="63"/>
  <c r="C223" i="63"/>
  <c r="D261" i="117" s="1"/>
  <c r="L222" i="63"/>
  <c r="C222" i="63"/>
  <c r="L221" i="63"/>
  <c r="I221" i="63"/>
  <c r="D336" i="115" s="1"/>
  <c r="L220" i="63"/>
  <c r="I220" i="63"/>
  <c r="L219" i="63"/>
  <c r="I219" i="63"/>
  <c r="L218" i="63"/>
  <c r="I218" i="63"/>
  <c r="L217" i="63"/>
  <c r="I217" i="63"/>
  <c r="L216" i="63"/>
  <c r="I216" i="63"/>
  <c r="C216" i="63"/>
  <c r="L215" i="63"/>
  <c r="I215" i="63"/>
  <c r="C215" i="63"/>
  <c r="L214" i="63"/>
  <c r="I214" i="63"/>
  <c r="C214" i="63"/>
  <c r="L213" i="63"/>
  <c r="I213" i="63"/>
  <c r="C213" i="63"/>
  <c r="D99" i="113" s="1"/>
  <c r="L212" i="63"/>
  <c r="I212" i="63"/>
  <c r="U211" i="63"/>
  <c r="L211" i="63"/>
  <c r="I211" i="63"/>
  <c r="U210" i="63"/>
  <c r="D231" i="119" s="1"/>
  <c r="L210" i="63"/>
  <c r="I210" i="63"/>
  <c r="U209" i="63"/>
  <c r="L209" i="63"/>
  <c r="I209" i="63"/>
  <c r="C209" i="63"/>
  <c r="U208" i="63"/>
  <c r="L208" i="63"/>
  <c r="I208" i="63"/>
  <c r="C208" i="63"/>
  <c r="U207" i="63"/>
  <c r="D112" i="119" s="1"/>
  <c r="L207" i="63"/>
  <c r="I207" i="63"/>
  <c r="C207" i="63"/>
  <c r="U206" i="63"/>
  <c r="L206" i="63"/>
  <c r="I206" i="63"/>
  <c r="C206" i="63"/>
  <c r="L205" i="63"/>
  <c r="I205" i="63"/>
  <c r="U204" i="63"/>
  <c r="L204" i="63"/>
  <c r="I204" i="63"/>
  <c r="U203" i="63"/>
  <c r="L203" i="63"/>
  <c r="I203" i="63"/>
  <c r="U202" i="63"/>
  <c r="D156" i="119" s="1" a="1"/>
  <c r="D156" i="119" s="1"/>
  <c r="L202" i="63"/>
  <c r="I202" i="63"/>
  <c r="C202" i="63"/>
  <c r="U201" i="63"/>
  <c r="D79" i="119" s="1"/>
  <c r="L201" i="63"/>
  <c r="I201" i="63"/>
  <c r="C201" i="63"/>
  <c r="U200" i="63"/>
  <c r="L200" i="63"/>
  <c r="C200" i="63"/>
  <c r="U199" i="63"/>
  <c r="D21" i="119" s="1"/>
  <c r="L199" i="63"/>
  <c r="C199" i="63"/>
  <c r="U198" i="63"/>
  <c r="L198" i="63"/>
  <c r="C198" i="63"/>
  <c r="U197" i="63"/>
  <c r="L197" i="63"/>
  <c r="I197" i="63"/>
  <c r="C197" i="63"/>
  <c r="U196" i="63"/>
  <c r="L196" i="63"/>
  <c r="I196" i="63"/>
  <c r="U195" i="63" a="1"/>
  <c r="U195" i="63"/>
  <c r="D97" i="119" s="1" a="1"/>
  <c r="D97" i="119" s="1"/>
  <c r="L195" i="63"/>
  <c r="I195" i="63"/>
  <c r="U194" i="63"/>
  <c r="L194" i="63"/>
  <c r="I194" i="63"/>
  <c r="U193" i="63"/>
  <c r="L193" i="63"/>
  <c r="I193" i="63"/>
  <c r="C193" i="63"/>
  <c r="B97" i="116" s="1"/>
  <c r="U192" i="63"/>
  <c r="L192" i="63"/>
  <c r="I192" i="63"/>
  <c r="F192" i="63"/>
  <c r="C192" i="63"/>
  <c r="U191" i="63"/>
  <c r="L191" i="63"/>
  <c r="I191" i="63"/>
  <c r="F191" i="63"/>
  <c r="L190" i="63"/>
  <c r="I190" i="63"/>
  <c r="F190" i="63"/>
  <c r="L189" i="63"/>
  <c r="I189" i="63"/>
  <c r="F189" i="63"/>
  <c r="U188" i="63"/>
  <c r="D200" i="85" s="1"/>
  <c r="L188" i="63"/>
  <c r="I188" i="63"/>
  <c r="F188" i="63"/>
  <c r="C188" i="63"/>
  <c r="U187" i="63"/>
  <c r="L187" i="63"/>
  <c r="I187" i="63"/>
  <c r="F187" i="63"/>
  <c r="C187" i="63"/>
  <c r="U186" i="63" a="1"/>
  <c r="U186" i="63" s="1"/>
  <c r="D176" i="85" s="1"/>
  <c r="L186" i="63"/>
  <c r="I186" i="63"/>
  <c r="F186" i="63"/>
  <c r="C186" i="63"/>
  <c r="U185" i="63" a="1"/>
  <c r="U185" i="63" s="1"/>
  <c r="D166" i="85" s="1"/>
  <c r="L185" i="63"/>
  <c r="I185" i="63"/>
  <c r="F185" i="63"/>
  <c r="C185" i="63"/>
  <c r="U184" i="63"/>
  <c r="D157" i="85" s="1"/>
  <c r="L184" i="63"/>
  <c r="I184" i="63"/>
  <c r="F184" i="63"/>
  <c r="C184" i="63"/>
  <c r="U183" i="63"/>
  <c r="D156" i="85" s="1"/>
  <c r="L183" i="63"/>
  <c r="I183" i="63"/>
  <c r="F183" i="63"/>
  <c r="C183" i="63"/>
  <c r="U182" i="63"/>
  <c r="D155" i="85" s="1"/>
  <c r="I182" i="63"/>
  <c r="F182" i="63"/>
  <c r="C182" i="63"/>
  <c r="U181" i="63"/>
  <c r="I181" i="63"/>
  <c r="F181" i="63"/>
  <c r="C181" i="63"/>
  <c r="U180" i="63"/>
  <c r="D111" i="85" s="1"/>
  <c r="I180" i="63"/>
  <c r="F180" i="63"/>
  <c r="C180" i="63"/>
  <c r="U179" i="63"/>
  <c r="L179" i="63"/>
  <c r="I179" i="63"/>
  <c r="F179" i="63"/>
  <c r="C179" i="63"/>
  <c r="U178" i="63"/>
  <c r="L178" i="63"/>
  <c r="D66" i="113" s="1"/>
  <c r="I178" i="63"/>
  <c r="F178" i="63"/>
  <c r="C178" i="63"/>
  <c r="U177" i="63"/>
  <c r="D121" i="85" s="1"/>
  <c r="L177" i="63"/>
  <c r="D67" i="113" s="1"/>
  <c r="F177" i="63"/>
  <c r="C177" i="63"/>
  <c r="U176" i="63"/>
  <c r="D120" i="85" s="1"/>
  <c r="L176" i="63"/>
  <c r="F176" i="63"/>
  <c r="C176" i="63"/>
  <c r="U175" i="63"/>
  <c r="F175" i="63"/>
  <c r="C175" i="63"/>
  <c r="U174" i="63"/>
  <c r="I174" i="63"/>
  <c r="F174" i="63"/>
  <c r="C174" i="63"/>
  <c r="U173" i="63"/>
  <c r="D145" i="85" s="1"/>
  <c r="I173" i="63"/>
  <c r="F173" i="63"/>
  <c r="C173" i="63"/>
  <c r="U172" i="63"/>
  <c r="D87" i="85" s="1"/>
  <c r="I172" i="63"/>
  <c r="F172" i="63"/>
  <c r="C172" i="63"/>
  <c r="U171" i="63"/>
  <c r="D82" i="85" s="1"/>
  <c r="L171" i="63"/>
  <c r="I171" i="63"/>
  <c r="F171" i="63"/>
  <c r="C171" i="63"/>
  <c r="U170" i="63"/>
  <c r="D81" i="85" s="1"/>
  <c r="L170" i="63"/>
  <c r="I170" i="63"/>
  <c r="C170" i="63"/>
  <c r="U169" i="63"/>
  <c r="D80" i="85" s="1"/>
  <c r="L169" i="63"/>
  <c r="I169" i="63"/>
  <c r="F169" i="63"/>
  <c r="C169" i="63"/>
  <c r="U168" i="63"/>
  <c r="D79" i="85" s="1"/>
  <c r="L168" i="63"/>
  <c r="I168" i="63"/>
  <c r="F168" i="63"/>
  <c r="C168" i="63"/>
  <c r="U167" i="63"/>
  <c r="D78" i="85" s="1"/>
  <c r="L167" i="63"/>
  <c r="B99" i="113" s="1" a="1"/>
  <c r="B99" i="113" s="1"/>
  <c r="I167" i="63"/>
  <c r="C167" i="63"/>
  <c r="U166" i="63"/>
  <c r="D77" i="85" s="1"/>
  <c r="I166" i="63"/>
  <c r="F166" i="63"/>
  <c r="C166" i="63"/>
  <c r="U165" i="63"/>
  <c r="I165" i="63"/>
  <c r="U164" i="63" a="1"/>
  <c r="U164" i="63" s="1"/>
  <c r="D128" i="85" s="1"/>
  <c r="I164" i="63"/>
  <c r="F164" i="63"/>
  <c r="C164" i="63"/>
  <c r="U163" i="63"/>
  <c r="I163" i="63"/>
  <c r="F163" i="63"/>
  <c r="C163" i="63"/>
  <c r="U162" i="63"/>
  <c r="D186" i="85" s="1"/>
  <c r="I162" i="63"/>
  <c r="F162" i="63"/>
  <c r="C162" i="63"/>
  <c r="U161" i="63"/>
  <c r="D188" i="85" s="1"/>
  <c r="I161" i="63"/>
  <c r="F161" i="63"/>
  <c r="C161" i="63"/>
  <c r="U160" i="63"/>
  <c r="L160" i="63"/>
  <c r="I160" i="63"/>
  <c r="F160" i="63"/>
  <c r="C160" i="63"/>
  <c r="U159" i="63"/>
  <c r="D125" i="85" s="1"/>
  <c r="L159" i="63"/>
  <c r="I159" i="63"/>
  <c r="C159" i="63"/>
  <c r="U158" i="63"/>
  <c r="L158" i="63"/>
  <c r="I158" i="63"/>
  <c r="F158" i="63"/>
  <c r="C158" i="63"/>
  <c r="U157" i="63"/>
  <c r="L157" i="63"/>
  <c r="I157" i="63"/>
  <c r="F157" i="63"/>
  <c r="C157" i="63"/>
  <c r="L156" i="63"/>
  <c r="F156" i="63"/>
  <c r="C156" i="63"/>
  <c r="L155" i="63"/>
  <c r="F155" i="63"/>
  <c r="C155" i="63"/>
  <c r="L154" i="63"/>
  <c r="F154" i="63"/>
  <c r="C154" i="63"/>
  <c r="U153" i="63"/>
  <c r="L153" i="63"/>
  <c r="I153" i="63"/>
  <c r="F153" i="63"/>
  <c r="C153" i="63"/>
  <c r="U152" i="63"/>
  <c r="L152" i="63"/>
  <c r="I152" i="63"/>
  <c r="C152" i="63"/>
  <c r="U151" i="63"/>
  <c r="D155" i="86" s="1"/>
  <c r="L151" i="63"/>
  <c r="F151" i="63"/>
  <c r="C151" i="63"/>
  <c r="U150" i="63"/>
  <c r="D154" i="86" s="1"/>
  <c r="L150" i="63"/>
  <c r="I150" i="63"/>
  <c r="F150" i="63"/>
  <c r="C150" i="63"/>
  <c r="U149" i="63"/>
  <c r="D127" i="86" s="1"/>
  <c r="L149" i="63"/>
  <c r="I149" i="63"/>
  <c r="F149" i="63"/>
  <c r="C149" i="63"/>
  <c r="U148" i="63"/>
  <c r="D109" i="86" s="1" a="1"/>
  <c r="D109" i="86" s="1"/>
  <c r="L148" i="63"/>
  <c r="I148" i="63"/>
  <c r="F148" i="63"/>
  <c r="C148" i="63"/>
  <c r="U147" i="63"/>
  <c r="D108" i="86" s="1" a="1"/>
  <c r="D108" i="86" s="1"/>
  <c r="L147" i="63"/>
  <c r="I147" i="63"/>
  <c r="F147" i="63"/>
  <c r="C147" i="63"/>
  <c r="U146" i="63"/>
  <c r="D107" i="86" s="1" a="1"/>
  <c r="D107" i="86" s="1"/>
  <c r="L146" i="63"/>
  <c r="F146" i="63"/>
  <c r="U145" i="63"/>
  <c r="D93" i="86" s="1" a="1"/>
  <c r="D93" i="86" s="1"/>
  <c r="L145" i="63"/>
  <c r="I145" i="63"/>
  <c r="F145" i="63"/>
  <c r="U144" i="63"/>
  <c r="L144" i="63"/>
  <c r="I144" i="63"/>
  <c r="F144" i="63"/>
  <c r="D51" i="119" s="1"/>
  <c r="U143" i="63"/>
  <c r="L143" i="63"/>
  <c r="I143" i="63"/>
  <c r="C143" i="63"/>
  <c r="U142" i="63"/>
  <c r="L142" i="63"/>
  <c r="I142" i="63"/>
  <c r="C142" i="63"/>
  <c r="U141" i="63" a="1"/>
  <c r="U141" i="63"/>
  <c r="L141" i="63"/>
  <c r="C141" i="63"/>
  <c r="U140" i="63"/>
  <c r="D86" i="86" s="1" a="1"/>
  <c r="D86" i="86" s="1"/>
  <c r="L140" i="63"/>
  <c r="I140" i="63"/>
  <c r="F140" i="63"/>
  <c r="C140" i="63"/>
  <c r="U139" i="63"/>
  <c r="L139" i="63"/>
  <c r="I139" i="63"/>
  <c r="F139" i="63"/>
  <c r="C139" i="63"/>
  <c r="U138" i="63"/>
  <c r="D64" i="86" s="1" a="1"/>
  <c r="D64" i="86" s="1"/>
  <c r="L138" i="63"/>
  <c r="I138" i="63"/>
  <c r="F138" i="63"/>
  <c r="C138" i="63"/>
  <c r="U137" i="63"/>
  <c r="D59" i="86" s="1"/>
  <c r="L137" i="63"/>
  <c r="I137" i="63"/>
  <c r="C137" i="63"/>
  <c r="U136" i="63"/>
  <c r="D58" i="86" s="1" a="1"/>
  <c r="D58" i="86" s="1"/>
  <c r="L136" i="63"/>
  <c r="C136" i="63"/>
  <c r="K311" i="62" s="1"/>
  <c r="U135" i="63"/>
  <c r="D57" i="86" s="1"/>
  <c r="L135" i="63"/>
  <c r="I135" i="63"/>
  <c r="F135" i="63"/>
  <c r="D65" i="116" s="1"/>
  <c r="C135" i="63"/>
  <c r="U134" i="63"/>
  <c r="D56" i="86" s="1"/>
  <c r="L134" i="63"/>
  <c r="I134" i="63"/>
  <c r="F134" i="63"/>
  <c r="D66" i="116" s="1"/>
  <c r="C134" i="63" a="1"/>
  <c r="C134" i="63"/>
  <c r="U133" i="63"/>
  <c r="D55" i="86" s="1"/>
  <c r="L133" i="63"/>
  <c r="I133" i="63"/>
  <c r="F133" i="63"/>
  <c r="C133" i="63" a="1"/>
  <c r="C133" i="63"/>
  <c r="U132" i="63"/>
  <c r="L132" i="63"/>
  <c r="D54" i="95" s="1"/>
  <c r="K132" i="63"/>
  <c r="I132" i="63"/>
  <c r="F132" i="63"/>
  <c r="C132" i="63"/>
  <c r="U131" i="63"/>
  <c r="D53" i="86" s="1"/>
  <c r="L131" i="63"/>
  <c r="D53" i="95" s="1"/>
  <c r="K131" i="63"/>
  <c r="F131" i="63"/>
  <c r="C131" i="63"/>
  <c r="U130" i="63"/>
  <c r="O130" i="63"/>
  <c r="D150" i="75" s="1"/>
  <c r="I130" i="63"/>
  <c r="F130" i="63"/>
  <c r="D98" i="116" s="1"/>
  <c r="C130" i="63"/>
  <c r="U129" i="63"/>
  <c r="O129" i="63"/>
  <c r="I129" i="63"/>
  <c r="C129" i="63"/>
  <c r="U128" i="63"/>
  <c r="I128" i="63"/>
  <c r="U127" i="63"/>
  <c r="D120" i="86" s="1"/>
  <c r="O127" i="63"/>
  <c r="L127" i="63"/>
  <c r="I127" i="63"/>
  <c r="O126" i="63"/>
  <c r="L126" i="63"/>
  <c r="R125" i="63"/>
  <c r="O125" i="63"/>
  <c r="I125" i="63" a="1"/>
  <c r="I125" i="63" s="1"/>
  <c r="O124" i="63"/>
  <c r="D290" i="75" s="1" a="1"/>
  <c r="D290" i="75" s="1"/>
  <c r="I124" i="63"/>
  <c r="D198" i="115" s="1"/>
  <c r="F124" i="63"/>
  <c r="C124" i="63"/>
  <c r="O123" i="63"/>
  <c r="I123" i="63"/>
  <c r="F123" i="63"/>
  <c r="C123" i="63"/>
  <c r="U122" i="63"/>
  <c r="D414" i="120" s="1"/>
  <c r="O122" i="63"/>
  <c r="L122" i="63"/>
  <c r="I122" i="63"/>
  <c r="F122" i="63"/>
  <c r="C122" i="63"/>
  <c r="U121" i="63"/>
  <c r="O121" i="63"/>
  <c r="L121" i="63"/>
  <c r="I121" i="63"/>
  <c r="F121" i="63"/>
  <c r="C121" i="63"/>
  <c r="U120" i="63"/>
  <c r="D417" i="120" s="1"/>
  <c r="R120" i="63"/>
  <c r="D367" i="120" s="1"/>
  <c r="L120" i="63"/>
  <c r="I120" i="63"/>
  <c r="F120" i="63"/>
  <c r="C120" i="63"/>
  <c r="U119" i="63"/>
  <c r="D416" i="120" s="1"/>
  <c r="R119" i="63"/>
  <c r="D230" i="120" s="1"/>
  <c r="L119" i="63"/>
  <c r="I119" i="63" a="1"/>
  <c r="I119" i="63" s="1"/>
  <c r="C119" i="63"/>
  <c r="U118" i="63"/>
  <c r="O118" i="63"/>
  <c r="L118" i="63"/>
  <c r="I118" i="63"/>
  <c r="C118" i="63"/>
  <c r="U117" i="63"/>
  <c r="O117" i="63"/>
  <c r="I117" i="63"/>
  <c r="U116" i="63"/>
  <c r="D387" i="120" s="1"/>
  <c r="O116" i="63"/>
  <c r="L116" i="63"/>
  <c r="I116" i="63"/>
  <c r="F116" i="63"/>
  <c r="U115" i="63"/>
  <c r="D397" i="120" s="1"/>
  <c r="R115" i="63"/>
  <c r="L115" i="63"/>
  <c r="I115" i="63"/>
  <c r="F115" i="63"/>
  <c r="U114" i="63"/>
  <c r="D396" i="120" s="1"/>
  <c r="R114" i="63"/>
  <c r="L114" i="63"/>
  <c r="I114" i="63"/>
  <c r="F114" i="63"/>
  <c r="C114" i="63"/>
  <c r="U113" i="63"/>
  <c r="D376" i="120" s="1"/>
  <c r="O113" i="63"/>
  <c r="L113" i="63"/>
  <c r="I113" i="63"/>
  <c r="F113" i="63"/>
  <c r="U112" i="63"/>
  <c r="D373" i="120" s="1"/>
  <c r="O112" i="63"/>
  <c r="L112" i="63"/>
  <c r="I112" i="63"/>
  <c r="D176" i="115" s="1"/>
  <c r="F112" i="63"/>
  <c r="U111" i="63"/>
  <c r="D372" i="120" s="1"/>
  <c r="O111" i="63"/>
  <c r="L111" i="63"/>
  <c r="I111" i="63"/>
  <c r="F111" i="63"/>
  <c r="C111" i="63" a="1"/>
  <c r="C111" i="63" s="1"/>
  <c r="U110" i="63"/>
  <c r="R110" i="63"/>
  <c r="D381" i="120" s="1"/>
  <c r="O110" i="63"/>
  <c r="I110" i="63"/>
  <c r="C110" i="63"/>
  <c r="U109" i="63"/>
  <c r="D249" i="120" s="1"/>
  <c r="R109" i="63"/>
  <c r="D280" i="120" s="1"/>
  <c r="O109" i="63"/>
  <c r="D102" i="75" s="1"/>
  <c r="I109" i="63"/>
  <c r="C109" i="63"/>
  <c r="U108" i="63"/>
  <c r="D278" i="120" s="1"/>
  <c r="R108" i="63"/>
  <c r="D243" i="120" s="1"/>
  <c r="O108" i="63"/>
  <c r="I108" i="63"/>
  <c r="C108" i="63"/>
  <c r="U107" i="63"/>
  <c r="D259" i="120" s="1"/>
  <c r="O107" i="63"/>
  <c r="D75" i="75" s="1"/>
  <c r="L107" i="63"/>
  <c r="I107" i="63"/>
  <c r="F107" i="63"/>
  <c r="C107" i="63"/>
  <c r="AA106" i="63" a="1"/>
  <c r="AA106" i="63"/>
  <c r="U106" i="63"/>
  <c r="D258" i="120" s="1"/>
  <c r="O106" i="63"/>
  <c r="D62" i="75" s="1"/>
  <c r="L106" i="63"/>
  <c r="F106" i="63"/>
  <c r="B98" i="116" s="1"/>
  <c r="C106" i="63"/>
  <c r="AA105" i="63" a="1"/>
  <c r="AA105" i="63"/>
  <c r="U105" i="63"/>
  <c r="D236" i="120" s="1"/>
  <c r="O105" i="63"/>
  <c r="D61" i="75" s="1"/>
  <c r="L105" i="63"/>
  <c r="I105" i="63"/>
  <c r="U104" i="63"/>
  <c r="D235" i="120" s="1"/>
  <c r="R104" i="63"/>
  <c r="D116" i="120" s="1"/>
  <c r="O104" i="63"/>
  <c r="D59" i="75" s="1"/>
  <c r="L104" i="63"/>
  <c r="I104" i="63"/>
  <c r="C104" i="63"/>
  <c r="U103" i="63"/>
  <c r="R103" i="63"/>
  <c r="O103" i="63"/>
  <c r="D54" i="75" s="1"/>
  <c r="L103" i="63"/>
  <c r="I103" i="63"/>
  <c r="C103" i="63"/>
  <c r="R102" i="63"/>
  <c r="O102" i="63"/>
  <c r="D53" i="75" s="1"/>
  <c r="I102" i="63"/>
  <c r="F102" i="63"/>
  <c r="C102" i="63"/>
  <c r="R101" i="63"/>
  <c r="D126" i="75" s="1"/>
  <c r="O101" i="63"/>
  <c r="D51" i="75" s="1"/>
  <c r="I101" i="63"/>
  <c r="F101" i="63"/>
  <c r="C101" i="63"/>
  <c r="O100" i="63" a="1"/>
  <c r="O100" i="63"/>
  <c r="O115" i="63" s="1"/>
  <c r="L100" i="63"/>
  <c r="I100" i="63"/>
  <c r="F100" i="63"/>
  <c r="C100" i="63"/>
  <c r="U99" i="63"/>
  <c r="O99" i="63" a="1"/>
  <c r="O99" i="63" s="1"/>
  <c r="O114" i="63" s="1"/>
  <c r="I99" i="63"/>
  <c r="F99" i="63"/>
  <c r="C99" i="63"/>
  <c r="U98" i="63"/>
  <c r="O98" i="63"/>
  <c r="F98" i="63"/>
  <c r="U97" i="63"/>
  <c r="R97" i="63"/>
  <c r="R89" i="63" s="1"/>
  <c r="O97" i="63"/>
  <c r="I97" i="63"/>
  <c r="C97" i="63"/>
  <c r="AA96" i="63"/>
  <c r="U96" i="63"/>
  <c r="R96" i="63"/>
  <c r="C96" i="112" s="1"/>
  <c r="O96" i="63"/>
  <c r="I96" i="63"/>
  <c r="F96" i="63"/>
  <c r="C96" i="63"/>
  <c r="U95" i="63"/>
  <c r="D114" i="120" s="1"/>
  <c r="R95" i="63"/>
  <c r="C95" i="112" s="1"/>
  <c r="O95" i="63"/>
  <c r="D85" i="75" s="1" a="1"/>
  <c r="D85" i="75" s="1"/>
  <c r="C95" i="63"/>
  <c r="U94" i="63"/>
  <c r="R94" i="63"/>
  <c r="C94" i="112" s="1"/>
  <c r="O94" i="63"/>
  <c r="I94" i="63"/>
  <c r="C94" i="63"/>
  <c r="U93" i="63"/>
  <c r="R93" i="63"/>
  <c r="O93" i="63"/>
  <c r="I93" i="63"/>
  <c r="C93" i="63"/>
  <c r="U92" i="63"/>
  <c r="I92" i="63"/>
  <c r="D338" i="115" s="1"/>
  <c r="F92" i="63" a="1"/>
  <c r="F92" i="63" s="1"/>
  <c r="C92" i="63"/>
  <c r="D265" i="120" s="1"/>
  <c r="U91" i="63"/>
  <c r="I91" i="63"/>
  <c r="D337" i="115" s="1"/>
  <c r="F91" i="63"/>
  <c r="U90" i="63"/>
  <c r="D103" i="120" s="1"/>
  <c r="F90" i="63"/>
  <c r="C90" i="63"/>
  <c r="U89" i="63"/>
  <c r="O89" i="63"/>
  <c r="F89" i="63" a="1"/>
  <c r="F89" i="63" s="1"/>
  <c r="AA88" i="63"/>
  <c r="U88" i="63"/>
  <c r="O88" i="63"/>
  <c r="L88" i="63"/>
  <c r="F88" i="63"/>
  <c r="U87" i="63"/>
  <c r="D264" i="75" s="1"/>
  <c r="L87" i="63"/>
  <c r="I87" i="63"/>
  <c r="F87" i="63"/>
  <c r="U86" i="63"/>
  <c r="O86" i="63"/>
  <c r="I86" i="63"/>
  <c r="F86" i="63"/>
  <c r="C86" i="63"/>
  <c r="D176" i="118" s="1"/>
  <c r="U85" i="63"/>
  <c r="R85" i="63"/>
  <c r="D97" i="112" s="1"/>
  <c r="O85" i="63"/>
  <c r="I85" i="63"/>
  <c r="C85" i="63"/>
  <c r="AA84" i="63"/>
  <c r="U84" i="63"/>
  <c r="O84" i="63"/>
  <c r="I84" i="63"/>
  <c r="F84" i="63" a="1"/>
  <c r="F84" i="63"/>
  <c r="C84" i="63"/>
  <c r="AA83" i="63"/>
  <c r="C65" i="95" s="1"/>
  <c r="U83" i="63"/>
  <c r="D306" i="75" s="1"/>
  <c r="O83" i="63"/>
  <c r="L83" i="63"/>
  <c r="I83" i="63"/>
  <c r="F83" i="63"/>
  <c r="AA82" i="63"/>
  <c r="U82" i="63"/>
  <c r="O82" i="63"/>
  <c r="L82" i="63"/>
  <c r="I82" i="63"/>
  <c r="F82" i="63"/>
  <c r="C82" i="63"/>
  <c r="AA81" i="63"/>
  <c r="U81" i="63"/>
  <c r="R81" i="63"/>
  <c r="O81" i="63"/>
  <c r="I81" i="63"/>
  <c r="F81" i="63"/>
  <c r="C81" i="63"/>
  <c r="AA80" i="63"/>
  <c r="U80" i="63"/>
  <c r="R80" i="63"/>
  <c r="E96" i="112" s="1"/>
  <c r="O80" i="63"/>
  <c r="I80" i="63"/>
  <c r="F80" i="63" a="1"/>
  <c r="F80" i="63" s="1"/>
  <c r="C80" i="63"/>
  <c r="U79" i="63"/>
  <c r="R79" i="63"/>
  <c r="O79" i="63"/>
  <c r="I79" i="63"/>
  <c r="F79" i="63"/>
  <c r="C79" i="63"/>
  <c r="U78" i="63"/>
  <c r="R78" i="63"/>
  <c r="O78" i="63"/>
  <c r="L78" i="63"/>
  <c r="I78" i="63"/>
  <c r="F78" i="63"/>
  <c r="C78" i="63"/>
  <c r="AA77" i="63"/>
  <c r="C313" i="120" s="1"/>
  <c r="U77" i="63"/>
  <c r="R77" i="63"/>
  <c r="O77" i="63"/>
  <c r="L77" i="63"/>
  <c r="I77" i="63"/>
  <c r="C77" i="63"/>
  <c r="D366" i="120" s="1"/>
  <c r="AA76" i="63"/>
  <c r="U76" i="63"/>
  <c r="O76" i="63"/>
  <c r="I76" i="63"/>
  <c r="F76" i="63"/>
  <c r="C76" i="63"/>
  <c r="D379" i="109" s="1"/>
  <c r="AA75" i="63"/>
  <c r="U75" i="63"/>
  <c r="O75" i="63"/>
  <c r="I75" i="63"/>
  <c r="F75" i="63"/>
  <c r="AA74" i="63"/>
  <c r="C299" i="120" s="1"/>
  <c r="U74" i="63"/>
  <c r="O74" i="63"/>
  <c r="I74" i="63"/>
  <c r="F74" i="63"/>
  <c r="AA73" i="63"/>
  <c r="U73" i="63"/>
  <c r="R73" i="63"/>
  <c r="O73" i="63" a="1"/>
  <c r="O73" i="63"/>
  <c r="L73" i="63"/>
  <c r="I73" i="63"/>
  <c r="F73" i="63" a="1"/>
  <c r="F73" i="63" s="1"/>
  <c r="AA72" i="63"/>
  <c r="R72" i="63"/>
  <c r="O72" i="63"/>
  <c r="L72" i="63"/>
  <c r="I72" i="63"/>
  <c r="D141" i="115" s="1" a="1"/>
  <c r="F72" i="63"/>
  <c r="C72" i="63"/>
  <c r="B98" i="113" s="1"/>
  <c r="AA71" i="63"/>
  <c r="U71" i="63"/>
  <c r="R71" i="63"/>
  <c r="O71" i="63"/>
  <c r="I71" i="63"/>
  <c r="F71" i="63"/>
  <c r="C71" i="63"/>
  <c r="U70" i="63"/>
  <c r="R70" i="63"/>
  <c r="F70" i="63"/>
  <c r="AA69" i="63"/>
  <c r="F7" i="120" s="1"/>
  <c r="U69" i="63"/>
  <c r="O69" i="63"/>
  <c r="I69" i="63"/>
  <c r="AA68" i="63"/>
  <c r="X68" i="63"/>
  <c r="U68" i="63"/>
  <c r="O68" i="63"/>
  <c r="L68" i="63"/>
  <c r="I68" i="63"/>
  <c r="F68" i="63"/>
  <c r="U67" i="63"/>
  <c r="O67" i="63"/>
  <c r="L67" i="63"/>
  <c r="I67" i="63"/>
  <c r="C67" i="63"/>
  <c r="C103" i="112" s="1"/>
  <c r="U66" i="63"/>
  <c r="O66" i="63"/>
  <c r="L66" i="63"/>
  <c r="C34" i="87" s="1"/>
  <c r="I66" i="63"/>
  <c r="C66" i="63"/>
  <c r="U65" i="63"/>
  <c r="O65" i="63"/>
  <c r="I65" i="63"/>
  <c r="C65" i="63"/>
  <c r="X64" i="63"/>
  <c r="U64" i="63"/>
  <c r="I64" i="63"/>
  <c r="F64" i="63"/>
  <c r="C64" i="63"/>
  <c r="AA63" i="63"/>
  <c r="O63" i="63"/>
  <c r="I63" i="63"/>
  <c r="F63" i="63"/>
  <c r="D229" i="120" s="1"/>
  <c r="C63" i="63"/>
  <c r="B141" i="113" s="1"/>
  <c r="AA62" i="63"/>
  <c r="C163" i="75" s="1"/>
  <c r="L62" i="63"/>
  <c r="I62" i="63"/>
  <c r="C62" i="63"/>
  <c r="B140" i="113" s="1"/>
  <c r="L61" i="63"/>
  <c r="I61" i="63"/>
  <c r="C61" i="63"/>
  <c r="C45" i="63" s="1"/>
  <c r="X60" i="63"/>
  <c r="U60" i="63"/>
  <c r="D508" i="75" s="1"/>
  <c r="L60" i="63"/>
  <c r="D218" i="85" s="1"/>
  <c r="I60" i="63"/>
  <c r="C60" i="63"/>
  <c r="C44" i="63" s="1"/>
  <c r="AA59" i="63"/>
  <c r="C452" i="117" s="1"/>
  <c r="U59" i="63"/>
  <c r="O59" i="63" a="1"/>
  <c r="O59" i="63" s="1"/>
  <c r="C10" i="87" s="1"/>
  <c r="L59" i="63"/>
  <c r="I59" i="63"/>
  <c r="F59" i="63"/>
  <c r="C59" i="63"/>
  <c r="C91" i="112" s="1"/>
  <c r="U58" i="63"/>
  <c r="D519" i="75" s="1"/>
  <c r="O58" i="63"/>
  <c r="C9" i="87" s="1"/>
  <c r="L58" i="63"/>
  <c r="I58" i="63"/>
  <c r="F58" i="63"/>
  <c r="C58" i="63"/>
  <c r="C90" i="112" s="1"/>
  <c r="U57" i="63"/>
  <c r="D488" i="75" s="1"/>
  <c r="O57" i="63"/>
  <c r="L57" i="63"/>
  <c r="I57" i="63"/>
  <c r="C57" i="63"/>
  <c r="C89" i="112" s="1"/>
  <c r="X56" i="63"/>
  <c r="O56" i="63"/>
  <c r="L56" i="63"/>
  <c r="I56" i="63"/>
  <c r="C56" i="63"/>
  <c r="C57" i="87" s="1"/>
  <c r="O55" i="63"/>
  <c r="L55" i="63"/>
  <c r="I55" i="63"/>
  <c r="C55" i="63"/>
  <c r="D365" i="120" s="1"/>
  <c r="U54" i="63"/>
  <c r="O54" i="63"/>
  <c r="L54" i="63"/>
  <c r="I54" i="63"/>
  <c r="F54" i="63"/>
  <c r="F39" i="63" s="1"/>
  <c r="C54" i="63"/>
  <c r="U53" i="63"/>
  <c r="L53" i="63"/>
  <c r="I53" i="63"/>
  <c r="F53" i="63"/>
  <c r="C53" i="63"/>
  <c r="C37" i="63" s="1"/>
  <c r="X52" i="63"/>
  <c r="D64" i="116" s="1"/>
  <c r="U52" i="63"/>
  <c r="R52" i="63"/>
  <c r="C98" i="112" s="1"/>
  <c r="L52" i="63"/>
  <c r="D170" i="85" s="1"/>
  <c r="F52" i="63"/>
  <c r="O51" i="63"/>
  <c r="L51" i="63"/>
  <c r="U39" i="63" s="1"/>
  <c r="I51" i="63"/>
  <c r="F51" i="63"/>
  <c r="B123" i="116" s="1"/>
  <c r="AA50" i="63"/>
  <c r="O50" i="63"/>
  <c r="L50" i="63"/>
  <c r="I50" i="63"/>
  <c r="F50" i="63" a="1"/>
  <c r="F50" i="63" s="1"/>
  <c r="O49" i="63"/>
  <c r="D223" i="85" s="1"/>
  <c r="L49" i="63"/>
  <c r="I49" i="63"/>
  <c r="F49" i="63"/>
  <c r="C49" i="63"/>
  <c r="D103" i="112" s="1" a="1"/>
  <c r="D103" i="112" s="1"/>
  <c r="X48" i="63"/>
  <c r="D68" i="113" s="1"/>
  <c r="O48" i="63"/>
  <c r="D221" i="85" s="1"/>
  <c r="L48" i="63"/>
  <c r="F48" i="63"/>
  <c r="C48" i="63"/>
  <c r="AA47" i="63"/>
  <c r="U47" i="63"/>
  <c r="O47" i="63"/>
  <c r="D220" i="85" s="1"/>
  <c r="L47" i="63"/>
  <c r="I47" i="63"/>
  <c r="F47" i="63"/>
  <c r="C208" i="112" s="1"/>
  <c r="C47" i="63"/>
  <c r="AA46" i="63"/>
  <c r="U46" i="63"/>
  <c r="O46" i="63"/>
  <c r="D219" i="85" s="1"/>
  <c r="I46" i="63"/>
  <c r="F46" i="63"/>
  <c r="C207" i="112" s="1"/>
  <c r="U45" i="63"/>
  <c r="O45" i="63"/>
  <c r="L45" i="63"/>
  <c r="I45" i="63"/>
  <c r="F45" i="63"/>
  <c r="X44" i="63"/>
  <c r="U44" i="63"/>
  <c r="O44" i="63"/>
  <c r="L44" i="63"/>
  <c r="I44" i="63"/>
  <c r="F44" i="63"/>
  <c r="AE43" i="63"/>
  <c r="D84" i="116" s="1"/>
  <c r="AA43" i="63"/>
  <c r="R43" i="63"/>
  <c r="O43" i="63"/>
  <c r="F43" i="63"/>
  <c r="AA42" i="63"/>
  <c r="R42" i="63"/>
  <c r="E102" i="112" s="1"/>
  <c r="O42" i="63"/>
  <c r="I42" i="63"/>
  <c r="R41" i="63"/>
  <c r="O41" i="63"/>
  <c r="I41" i="63"/>
  <c r="X40" i="63"/>
  <c r="R40" i="63"/>
  <c r="O40" i="63"/>
  <c r="L40" i="63"/>
  <c r="I40" i="63"/>
  <c r="AA39" i="63"/>
  <c r="R39" i="63"/>
  <c r="E99" i="112" s="1"/>
  <c r="O39" i="63"/>
  <c r="L39" i="63"/>
  <c r="AA38" i="63"/>
  <c r="U38" i="63"/>
  <c r="D70" i="95" s="1"/>
  <c r="R38" i="63"/>
  <c r="O38" i="63"/>
  <c r="L38" i="63"/>
  <c r="I38" i="63"/>
  <c r="F38" i="63"/>
  <c r="AA37" i="63"/>
  <c r="O37" i="63"/>
  <c r="L37" i="63"/>
  <c r="I37" i="63"/>
  <c r="AA36" i="63"/>
  <c r="X36" i="63"/>
  <c r="O36" i="63"/>
  <c r="I36" i="63"/>
  <c r="F36" i="63"/>
  <c r="O35" i="63"/>
  <c r="L35" i="63"/>
  <c r="I35" i="63"/>
  <c r="F35" i="63"/>
  <c r="U34" i="63"/>
  <c r="O34" i="63"/>
  <c r="L34" i="63" a="1"/>
  <c r="L34" i="63"/>
  <c r="F34" i="63"/>
  <c r="D208" i="112" s="1"/>
  <c r="AE33" i="63"/>
  <c r="O33" i="63"/>
  <c r="L33" i="63"/>
  <c r="D222" i="85" s="1"/>
  <c r="I33" i="63"/>
  <c r="F33" i="63"/>
  <c r="D207" i="112" s="1"/>
  <c r="C33" i="63"/>
  <c r="E107" i="112" s="1"/>
  <c r="X32" i="63"/>
  <c r="D65" i="113" s="1"/>
  <c r="O32" i="63"/>
  <c r="L32" i="63"/>
  <c r="I32" i="63"/>
  <c r="C32" i="63"/>
  <c r="E106" i="112" s="1"/>
  <c r="O31" i="63"/>
  <c r="L31" i="63"/>
  <c r="I31" i="63"/>
  <c r="C31" i="63"/>
  <c r="E105" i="112" s="1"/>
  <c r="O30" i="63"/>
  <c r="L30" i="63"/>
  <c r="C30" i="63"/>
  <c r="E104" i="112" s="1"/>
  <c r="L29" i="63"/>
  <c r="I29" i="63"/>
  <c r="C29" i="63"/>
  <c r="E103" i="112" s="1"/>
  <c r="X28" i="63"/>
  <c r="L28" i="63"/>
  <c r="I28" i="63"/>
  <c r="I30" i="63" s="1"/>
  <c r="C28" i="63"/>
  <c r="U27" i="63"/>
  <c r="O27" i="63"/>
  <c r="L27" i="63"/>
  <c r="I27" i="63"/>
  <c r="C27" i="63"/>
  <c r="U26" i="63"/>
  <c r="D69" i="95" s="1"/>
  <c r="O26" i="63"/>
  <c r="L26" i="63"/>
  <c r="I26" i="63"/>
  <c r="F26" i="63"/>
  <c r="D59" i="116" s="1"/>
  <c r="C26" i="63"/>
  <c r="D58" i="113" s="1"/>
  <c r="U25" i="63"/>
  <c r="R25" i="63"/>
  <c r="O25" i="63"/>
  <c r="L25" i="63"/>
  <c r="F25" i="63"/>
  <c r="D58" i="116" s="1"/>
  <c r="C25" i="63"/>
  <c r="D57" i="113" s="1"/>
  <c r="U24" i="63"/>
  <c r="R24" i="63"/>
  <c r="O24" i="63"/>
  <c r="L24" i="63"/>
  <c r="I24" i="63"/>
  <c r="F24" i="63"/>
  <c r="D57" i="116" s="1"/>
  <c r="C24" i="63"/>
  <c r="D141" i="113" s="1"/>
  <c r="O23" i="63"/>
  <c r="L23" i="63"/>
  <c r="I23" i="63"/>
  <c r="F23" i="63"/>
  <c r="D56" i="116" s="1"/>
  <c r="C23" i="63"/>
  <c r="D140" i="113" s="1"/>
  <c r="O22" i="63"/>
  <c r="L22" i="63"/>
  <c r="I22" i="63"/>
  <c r="F22" i="63"/>
  <c r="D123" i="116" s="1"/>
  <c r="C22" i="63"/>
  <c r="D139" i="113" s="1"/>
  <c r="O21" i="63"/>
  <c r="L21" i="63"/>
  <c r="F21" i="63"/>
  <c r="D122" i="116" s="1"/>
  <c r="C21" i="63"/>
  <c r="D138" i="113" s="1"/>
  <c r="U20" i="63"/>
  <c r="O20" i="63"/>
  <c r="L20" i="63"/>
  <c r="I20" i="63"/>
  <c r="F20" i="63"/>
  <c r="D121" i="116" s="1"/>
  <c r="C20" i="63"/>
  <c r="E91" i="112" s="1"/>
  <c r="U19" i="63"/>
  <c r="O19" i="63"/>
  <c r="L19" i="63"/>
  <c r="I19" i="63"/>
  <c r="F19" i="63"/>
  <c r="D120" i="116" s="1"/>
  <c r="C19" i="63"/>
  <c r="E90" i="112" s="1"/>
  <c r="U18" i="63"/>
  <c r="O18" i="63"/>
  <c r="L18" i="63"/>
  <c r="I18" i="63"/>
  <c r="F18" i="63"/>
  <c r="E208" i="112" s="1"/>
  <c r="C18" i="63"/>
  <c r="E89" i="112" s="1"/>
  <c r="O17" i="63"/>
  <c r="L17" i="63"/>
  <c r="I17" i="63"/>
  <c r="F17" i="63"/>
  <c r="E207" i="112" s="1"/>
  <c r="C17" i="63"/>
  <c r="E88" i="112" s="1"/>
  <c r="R16" i="63"/>
  <c r="R12" i="63" s="1"/>
  <c r="O16" i="63"/>
  <c r="L16" i="63"/>
  <c r="F16" i="63"/>
  <c r="E206" i="112" s="1"/>
  <c r="C16" i="63"/>
  <c r="E87" i="112" s="1"/>
  <c r="O15" i="63"/>
  <c r="L15" i="63"/>
  <c r="I15" i="63"/>
  <c r="F15" i="63"/>
  <c r="E205" i="112" s="1"/>
  <c r="C15" i="63"/>
  <c r="E86" i="112" s="1"/>
  <c r="O14" i="63"/>
  <c r="L14" i="63"/>
  <c r="I14" i="63"/>
  <c r="F14" i="63"/>
  <c r="C14" i="63"/>
  <c r="O13" i="63"/>
  <c r="L13" i="63"/>
  <c r="I13" i="63"/>
  <c r="O12" i="63"/>
  <c r="I12" i="63"/>
  <c r="O11" i="63"/>
  <c r="O10" i="63"/>
  <c r="I10" i="63"/>
  <c r="F10" i="63"/>
  <c r="F97" i="63" s="1"/>
  <c r="E10" i="63"/>
  <c r="C10" i="63"/>
  <c r="I9" i="63"/>
  <c r="AE8" i="63"/>
  <c r="R8" i="63"/>
  <c r="O8" i="63"/>
  <c r="L8" i="63"/>
  <c r="F8" i="63"/>
  <c r="F9" i="63" s="1"/>
  <c r="E8" i="115" s="1"/>
  <c r="C7" i="63"/>
  <c r="I492" i="87"/>
  <c r="C230" i="112" s="1"/>
  <c r="I491" i="87"/>
  <c r="C229" i="112" s="1"/>
  <c r="I490" i="87"/>
  <c r="C228" i="112" s="1"/>
  <c r="I489" i="87"/>
  <c r="C227" i="112" s="1"/>
  <c r="I488" i="87"/>
  <c r="C226" i="112" s="1"/>
  <c r="I487" i="87"/>
  <c r="C225" i="112" s="1"/>
  <c r="I486" i="87"/>
  <c r="C224" i="112" s="1"/>
  <c r="I485" i="87"/>
  <c r="I484" i="87"/>
  <c r="C222" i="112" s="1"/>
  <c r="F484" i="87"/>
  <c r="C128" i="112" s="1"/>
  <c r="I483" i="87"/>
  <c r="F483" i="87"/>
  <c r="C127" i="112" s="1"/>
  <c r="I482" i="87"/>
  <c r="C220" i="112" s="1"/>
  <c r="F482" i="87"/>
  <c r="I481" i="87"/>
  <c r="C219" i="112" s="1"/>
  <c r="F481" i="87"/>
  <c r="C125" i="112" s="1"/>
  <c r="I480" i="87"/>
  <c r="C218" i="112" s="1"/>
  <c r="F480" i="87"/>
  <c r="I479" i="87"/>
  <c r="C217" i="112" s="1"/>
  <c r="F479" i="87"/>
  <c r="C123" i="112" s="1"/>
  <c r="I478" i="87"/>
  <c r="F478" i="87"/>
  <c r="C122" i="112" s="1"/>
  <c r="I477" i="87"/>
  <c r="I458" i="87" s="1"/>
  <c r="D215" i="112" s="1"/>
  <c r="F477" i="87"/>
  <c r="F476" i="87"/>
  <c r="C120" i="112" s="1"/>
  <c r="F475" i="87"/>
  <c r="C119" i="112" s="1"/>
  <c r="F474" i="87"/>
  <c r="C118" i="112" s="1"/>
  <c r="I473" i="87"/>
  <c r="D230" i="112" s="1"/>
  <c r="F473" i="87"/>
  <c r="C117" i="112" s="1"/>
  <c r="F472" i="87"/>
  <c r="I471" i="87"/>
  <c r="D228" i="112" s="1"/>
  <c r="F471" i="87"/>
  <c r="C115" i="112" s="1"/>
  <c r="F470" i="87"/>
  <c r="C114" i="112" s="1"/>
  <c r="I469" i="87"/>
  <c r="D226" i="112" s="1"/>
  <c r="F469" i="87"/>
  <c r="I468" i="87"/>
  <c r="D225" i="112" s="1"/>
  <c r="I465" i="87"/>
  <c r="D222" i="112" s="1"/>
  <c r="F465" i="87"/>
  <c r="D128" i="112" s="1"/>
  <c r="F464" i="87"/>
  <c r="D127" i="112" s="1"/>
  <c r="I462" i="87"/>
  <c r="D219" i="112" s="1"/>
  <c r="F462" i="87"/>
  <c r="D125" i="112" s="1"/>
  <c r="I460" i="87"/>
  <c r="D217" i="112" s="1"/>
  <c r="F460" i="87"/>
  <c r="D123" i="112" s="1"/>
  <c r="F459" i="87"/>
  <c r="D122" i="112" s="1"/>
  <c r="F457" i="87"/>
  <c r="D120" i="112" s="1"/>
  <c r="F456" i="87"/>
  <c r="D119" i="112" s="1"/>
  <c r="I454" i="87"/>
  <c r="F454" i="87"/>
  <c r="D117" i="112" s="1"/>
  <c r="I453" i="87"/>
  <c r="I452" i="87"/>
  <c r="I451" i="87"/>
  <c r="F451" i="87"/>
  <c r="D114" i="112" s="1"/>
  <c r="I450" i="87"/>
  <c r="I449" i="87"/>
  <c r="I448" i="87"/>
  <c r="I447" i="87"/>
  <c r="I446" i="87"/>
  <c r="F446" i="87"/>
  <c r="I445" i="87"/>
  <c r="F445" i="87"/>
  <c r="I444" i="87"/>
  <c r="F444" i="87"/>
  <c r="I443" i="87"/>
  <c r="F443" i="87"/>
  <c r="I442" i="87"/>
  <c r="F442" i="87"/>
  <c r="I441" i="87"/>
  <c r="F441" i="87"/>
  <c r="I440" i="87"/>
  <c r="F440" i="87"/>
  <c r="I439" i="87"/>
  <c r="F439" i="87"/>
  <c r="I438" i="87"/>
  <c r="E230" i="112" s="1"/>
  <c r="F438" i="87"/>
  <c r="I437" i="87"/>
  <c r="E229" i="112" s="1"/>
  <c r="F437" i="87"/>
  <c r="I436" i="87"/>
  <c r="E228" i="112" s="1"/>
  <c r="F436" i="87"/>
  <c r="I435" i="87"/>
  <c r="E227" i="112" s="1"/>
  <c r="F435" i="87"/>
  <c r="I434" i="87"/>
  <c r="E226" i="112" s="1"/>
  <c r="F434" i="87"/>
  <c r="I433" i="87"/>
  <c r="E225" i="112" s="1"/>
  <c r="F433" i="87"/>
  <c r="I432" i="87"/>
  <c r="E224" i="112" s="1"/>
  <c r="F432" i="87"/>
  <c r="I431" i="87"/>
  <c r="E223" i="112" s="1"/>
  <c r="F431" i="87"/>
  <c r="I430" i="87"/>
  <c r="E222" i="112" s="1"/>
  <c r="F430" i="87"/>
  <c r="I429" i="87"/>
  <c r="E221" i="112" s="1"/>
  <c r="F429" i="87"/>
  <c r="I428" i="87"/>
  <c r="E220" i="112" s="1"/>
  <c r="F428" i="87"/>
  <c r="I427" i="87"/>
  <c r="E219" i="112" s="1"/>
  <c r="F427" i="87"/>
  <c r="I426" i="87"/>
  <c r="E218" i="112" s="1"/>
  <c r="F426" i="87"/>
  <c r="I425" i="87"/>
  <c r="E217" i="112" s="1"/>
  <c r="F425" i="87"/>
  <c r="I424" i="87"/>
  <c r="E216" i="112" s="1"/>
  <c r="F424" i="87"/>
  <c r="I423" i="87"/>
  <c r="E215" i="112" s="1"/>
  <c r="F423" i="87"/>
  <c r="F422" i="87"/>
  <c r="F421" i="87"/>
  <c r="F420" i="87"/>
  <c r="F419" i="87"/>
  <c r="F418" i="87"/>
  <c r="F417" i="87"/>
  <c r="F416" i="87"/>
  <c r="F415" i="87"/>
  <c r="I409" i="87"/>
  <c r="I408" i="87"/>
  <c r="I407" i="87"/>
  <c r="I406" i="87"/>
  <c r="F401" i="87"/>
  <c r="I400" i="87"/>
  <c r="F400" i="87"/>
  <c r="I399" i="87"/>
  <c r="F399" i="87"/>
  <c r="I398" i="87"/>
  <c r="D88" i="116" s="1"/>
  <c r="F398" i="87"/>
  <c r="I397" i="87"/>
  <c r="D87" i="116" s="1"/>
  <c r="I396" i="87"/>
  <c r="D95" i="116" s="1"/>
  <c r="I395" i="87"/>
  <c r="D94" i="116" s="1"/>
  <c r="I394" i="87"/>
  <c r="D81" i="116" s="1"/>
  <c r="I393" i="87"/>
  <c r="D80" i="116" s="1"/>
  <c r="I392" i="87"/>
  <c r="D73" i="116" s="1"/>
  <c r="F392" i="87"/>
  <c r="D89" i="113" s="1"/>
  <c r="I391" i="87"/>
  <c r="D74" i="116" s="1"/>
  <c r="F391" i="87"/>
  <c r="D88" i="113" s="1"/>
  <c r="F390" i="87"/>
  <c r="D96" i="113" s="1"/>
  <c r="F389" i="87"/>
  <c r="D95" i="113" s="1"/>
  <c r="F388" i="87"/>
  <c r="D82" i="113" s="1"/>
  <c r="I387" i="87"/>
  <c r="F387" i="87"/>
  <c r="D81" i="113" s="1"/>
  <c r="I386" i="87"/>
  <c r="C168" i="112" s="1" a="1"/>
  <c r="C168" i="112" s="1"/>
  <c r="F386" i="87"/>
  <c r="D74" i="113" s="1"/>
  <c r="F385" i="87"/>
  <c r="D75" i="113" s="1"/>
  <c r="I384" i="87"/>
  <c r="C166" i="112" s="1" a="1"/>
  <c r="C166" i="112" s="1"/>
  <c r="F381" i="87"/>
  <c r="F380" i="87"/>
  <c r="C44" i="112" s="1" a="1"/>
  <c r="C44" i="112" s="1"/>
  <c r="F376" i="87"/>
  <c r="I374" i="87"/>
  <c r="I373" i="87"/>
  <c r="I372" i="87"/>
  <c r="I371" i="87"/>
  <c r="I370" i="87"/>
  <c r="I369" i="87"/>
  <c r="F368" i="87"/>
  <c r="F367" i="87"/>
  <c r="F366" i="87"/>
  <c r="F365" i="87"/>
  <c r="F364" i="87"/>
  <c r="I363" i="87"/>
  <c r="H169" i="112" s="1"/>
  <c r="F363" i="87"/>
  <c r="I362" i="87"/>
  <c r="H168" i="112" s="1"/>
  <c r="I361" i="87"/>
  <c r="H167" i="112" s="1"/>
  <c r="I360" i="87"/>
  <c r="H166" i="112" s="1"/>
  <c r="I359" i="87"/>
  <c r="I358" i="87"/>
  <c r="D85" i="116" s="1"/>
  <c r="I357" i="87"/>
  <c r="H164" i="112" s="1"/>
  <c r="I356" i="87"/>
  <c r="I355" i="87"/>
  <c r="F355" i="87"/>
  <c r="I354" i="87"/>
  <c r="F354" i="87"/>
  <c r="F353" i="87"/>
  <c r="D86" i="113" s="1"/>
  <c r="F352" i="87"/>
  <c r="D93" i="113" s="1"/>
  <c r="F351" i="87"/>
  <c r="E351" i="87"/>
  <c r="F350" i="87"/>
  <c r="F349" i="87"/>
  <c r="I344" i="87"/>
  <c r="I343" i="87"/>
  <c r="F343" i="87"/>
  <c r="G45" i="112" s="1"/>
  <c r="I342" i="87"/>
  <c r="F342" i="87"/>
  <c r="I341" i="87"/>
  <c r="F341" i="87"/>
  <c r="I340" i="87"/>
  <c r="I339" i="87"/>
  <c r="F339" i="87"/>
  <c r="D85" i="113" s="1"/>
  <c r="F338" i="87"/>
  <c r="F337" i="87"/>
  <c r="E337" i="87"/>
  <c r="F336" i="87"/>
  <c r="F335" i="87"/>
  <c r="I334" i="87"/>
  <c r="I333" i="87"/>
  <c r="I329" i="87"/>
  <c r="I328" i="87"/>
  <c r="I298" i="87" s="1"/>
  <c r="D86" i="116" s="1"/>
  <c r="I326" i="87"/>
  <c r="I325" i="87"/>
  <c r="F325" i="87"/>
  <c r="F323" i="87"/>
  <c r="E323" i="87"/>
  <c r="F322" i="87"/>
  <c r="I319" i="87"/>
  <c r="F165" i="112" s="1"/>
  <c r="I318" i="87"/>
  <c r="I314" i="87"/>
  <c r="I313" i="87"/>
  <c r="I311" i="87"/>
  <c r="F311" i="87"/>
  <c r="I310" i="87"/>
  <c r="F162" i="112" s="1"/>
  <c r="I309" i="87"/>
  <c r="F161" i="112" s="1" a="1"/>
  <c r="F161" i="112" s="1"/>
  <c r="F309" i="87"/>
  <c r="F39" i="112" s="1"/>
  <c r="E309" i="87"/>
  <c r="F308" i="87"/>
  <c r="F38" i="112" s="1" a="1"/>
  <c r="F38" i="112" s="1"/>
  <c r="F307" i="87"/>
  <c r="F37" i="112" s="1"/>
  <c r="I304" i="87"/>
  <c r="E165" i="112" s="1"/>
  <c r="I303" i="87"/>
  <c r="E169" i="112" s="1"/>
  <c r="I302" i="87"/>
  <c r="E168" i="112" s="1"/>
  <c r="I301" i="87"/>
  <c r="E167" i="112" s="1"/>
  <c r="F301" i="87"/>
  <c r="I300" i="87"/>
  <c r="E166" i="112" s="1"/>
  <c r="F300" i="87"/>
  <c r="I299" i="87"/>
  <c r="F299" i="87"/>
  <c r="F298" i="87"/>
  <c r="I297" i="87"/>
  <c r="I327" i="87" s="1"/>
  <c r="F297" i="87"/>
  <c r="I296" i="87"/>
  <c r="E163" i="112" s="1"/>
  <c r="F296" i="87"/>
  <c r="I295" i="87"/>
  <c r="F295" i="87"/>
  <c r="E295" i="87"/>
  <c r="I294" i="87"/>
  <c r="E161" i="112" s="1"/>
  <c r="F294" i="87"/>
  <c r="F293" i="87"/>
  <c r="I289" i="87"/>
  <c r="D165" i="112" s="1"/>
  <c r="I288" i="87"/>
  <c r="D169" i="112" s="1"/>
  <c r="F288" i="87"/>
  <c r="D41" i="112" s="1"/>
  <c r="I287" i="87"/>
  <c r="D168" i="112" s="1"/>
  <c r="F287" i="87"/>
  <c r="I286" i="87"/>
  <c r="D167" i="112" s="1"/>
  <c r="F286" i="87"/>
  <c r="D44" i="112" s="1"/>
  <c r="I285" i="87"/>
  <c r="D166" i="112" s="1"/>
  <c r="F285" i="87"/>
  <c r="D43" i="112" s="1"/>
  <c r="I284" i="87"/>
  <c r="F284" i="87"/>
  <c r="I283" i="87"/>
  <c r="D83" i="116" s="1"/>
  <c r="F283" i="87"/>
  <c r="D84" i="113" s="1"/>
  <c r="I282" i="87"/>
  <c r="F282" i="87"/>
  <c r="I281" i="87"/>
  <c r="F281" i="87"/>
  <c r="E281" i="87"/>
  <c r="I280" i="87"/>
  <c r="F280" i="87"/>
  <c r="I279" i="87"/>
  <c r="F279" i="87"/>
  <c r="D37" i="112" s="1"/>
  <c r="F274" i="87"/>
  <c r="I273" i="87"/>
  <c r="F273" i="87"/>
  <c r="I272" i="87"/>
  <c r="F272" i="87"/>
  <c r="I271" i="87"/>
  <c r="F271" i="87"/>
  <c r="I270" i="87"/>
  <c r="F270" i="87"/>
  <c r="I269" i="87"/>
  <c r="F269" i="87"/>
  <c r="I268" i="87"/>
  <c r="F268" i="87"/>
  <c r="I267" i="87"/>
  <c r="F267" i="87"/>
  <c r="I266" i="87"/>
  <c r="F266" i="87"/>
  <c r="D93" i="112" s="1"/>
  <c r="F263" i="87"/>
  <c r="I262" i="87"/>
  <c r="F262" i="87"/>
  <c r="I261" i="87"/>
  <c r="F261" i="87"/>
  <c r="I260" i="87"/>
  <c r="F260" i="87"/>
  <c r="I259" i="87"/>
  <c r="F259" i="87"/>
  <c r="I258" i="87"/>
  <c r="I257" i="87" s="1"/>
  <c r="F258" i="87"/>
  <c r="F257" i="87"/>
  <c r="I256" i="87"/>
  <c r="F256" i="87"/>
  <c r="I255" i="87"/>
  <c r="F255" i="87"/>
  <c r="D92" i="112" s="1"/>
  <c r="I252" i="87"/>
  <c r="C200" i="112" s="1"/>
  <c r="F252" i="87"/>
  <c r="C81" i="112" s="1"/>
  <c r="I251" i="87"/>
  <c r="C199" i="112" s="1"/>
  <c r="F251" i="87"/>
  <c r="C80" i="112" s="1"/>
  <c r="I250" i="87"/>
  <c r="C198" i="112" s="1"/>
  <c r="F250" i="87"/>
  <c r="C79" i="112" s="1"/>
  <c r="I249" i="87"/>
  <c r="C197" i="112" s="1"/>
  <c r="F249" i="87"/>
  <c r="C78" i="112" s="1"/>
  <c r="I248" i="87"/>
  <c r="C196" i="112" s="1"/>
  <c r="F248" i="87"/>
  <c r="C77" i="112" s="1"/>
  <c r="I247" i="87"/>
  <c r="C195" i="112" s="1"/>
  <c r="F247" i="87"/>
  <c r="C76" i="112" s="1"/>
  <c r="I246" i="87"/>
  <c r="C194" i="112" s="1"/>
  <c r="F246" i="87"/>
  <c r="C75" i="112" s="1"/>
  <c r="I245" i="87"/>
  <c r="F245" i="87"/>
  <c r="C74" i="112" s="1"/>
  <c r="I244" i="87"/>
  <c r="C192" i="112" s="1"/>
  <c r="F244" i="87"/>
  <c r="I243" i="87"/>
  <c r="C191" i="112" s="1"/>
  <c r="F243" i="87"/>
  <c r="C72" i="112" s="1"/>
  <c r="I242" i="87"/>
  <c r="C190" i="112" s="1"/>
  <c r="F242" i="87"/>
  <c r="C71" i="112" s="1"/>
  <c r="I241" i="87"/>
  <c r="C189" i="112" s="1"/>
  <c r="F241" i="87"/>
  <c r="C70" i="112" s="1"/>
  <c r="I240" i="87"/>
  <c r="F240" i="87"/>
  <c r="C69" i="112" s="1"/>
  <c r="I239" i="87"/>
  <c r="F239" i="87"/>
  <c r="C68" i="112" s="1"/>
  <c r="I238" i="87"/>
  <c r="F238" i="87"/>
  <c r="I237" i="87"/>
  <c r="I218" i="87" s="1"/>
  <c r="D185" i="112" s="1"/>
  <c r="F237" i="87"/>
  <c r="F218" i="87" s="1"/>
  <c r="D66" i="112" s="1"/>
  <c r="AD236" i="87"/>
  <c r="AA236" i="87"/>
  <c r="X236" i="87"/>
  <c r="U236" i="87"/>
  <c r="R236" i="87"/>
  <c r="R217" i="87" s="1"/>
  <c r="O236" i="87"/>
  <c r="L236" i="87"/>
  <c r="AD235" i="87"/>
  <c r="AD216" i="87" s="1"/>
  <c r="AA235" i="87"/>
  <c r="X235" i="87"/>
  <c r="U235" i="87"/>
  <c r="R235" i="87"/>
  <c r="O235" i="87"/>
  <c r="L235" i="87"/>
  <c r="AD234" i="87"/>
  <c r="AA234" i="87"/>
  <c r="X234" i="87"/>
  <c r="U234" i="87"/>
  <c r="U215" i="87" s="1"/>
  <c r="R234" i="87"/>
  <c r="R215" i="87" s="1"/>
  <c r="O234" i="87"/>
  <c r="L234" i="87"/>
  <c r="AD233" i="87"/>
  <c r="AA233" i="87"/>
  <c r="X233" i="87"/>
  <c r="X214" i="87" s="1"/>
  <c r="U233" i="87"/>
  <c r="U214" i="87" s="1"/>
  <c r="R233" i="87"/>
  <c r="O233" i="87"/>
  <c r="O214" i="87" s="1"/>
  <c r="L233" i="87"/>
  <c r="L214" i="87" s="1"/>
  <c r="I233" i="87"/>
  <c r="D200" i="112" s="1"/>
  <c r="F233" i="87"/>
  <c r="D81" i="112" s="1"/>
  <c r="AD232" i="87"/>
  <c r="AA232" i="87"/>
  <c r="X232" i="87"/>
  <c r="U232" i="87"/>
  <c r="R232" i="87"/>
  <c r="R213" i="87" s="1"/>
  <c r="O232" i="87"/>
  <c r="L232" i="87"/>
  <c r="I232" i="87"/>
  <c r="D199" i="112" s="1"/>
  <c r="F232" i="87"/>
  <c r="D80" i="112" s="1"/>
  <c r="AD231" i="87"/>
  <c r="AA231" i="87"/>
  <c r="X231" i="87"/>
  <c r="U231" i="87"/>
  <c r="R231" i="87"/>
  <c r="O231" i="87"/>
  <c r="O212" i="87" s="1"/>
  <c r="L231" i="87"/>
  <c r="I231" i="87"/>
  <c r="D198" i="112" s="1"/>
  <c r="F231" i="87"/>
  <c r="D79" i="112" s="1"/>
  <c r="AD230" i="87"/>
  <c r="AD211" i="87" s="1"/>
  <c r="AA230" i="87"/>
  <c r="X230" i="87"/>
  <c r="U230" i="87"/>
  <c r="R230" i="87"/>
  <c r="O230" i="87"/>
  <c r="L230" i="87"/>
  <c r="L211" i="87" s="1"/>
  <c r="F230" i="87"/>
  <c r="D78" i="112" s="1"/>
  <c r="AD229" i="87"/>
  <c r="AD210" i="87" s="1"/>
  <c r="AA229" i="87"/>
  <c r="AA210" i="87" s="1"/>
  <c r="X229" i="87"/>
  <c r="X210" i="87" s="1"/>
  <c r="U229" i="87"/>
  <c r="R229" i="87"/>
  <c r="O229" i="87"/>
  <c r="L229" i="87"/>
  <c r="I229" i="87"/>
  <c r="D196" i="112" s="1"/>
  <c r="F229" i="87"/>
  <c r="D77" i="112" s="1"/>
  <c r="AD228" i="87"/>
  <c r="AD209" i="87" s="1"/>
  <c r="AA228" i="87"/>
  <c r="AA209" i="87" s="1"/>
  <c r="X228" i="87"/>
  <c r="X209" i="87" s="1"/>
  <c r="U228" i="87"/>
  <c r="U209" i="87" s="1"/>
  <c r="R228" i="87"/>
  <c r="O228" i="87"/>
  <c r="L228" i="87"/>
  <c r="F228" i="87"/>
  <c r="D76" i="112" s="1"/>
  <c r="AD227" i="87"/>
  <c r="AA227" i="87"/>
  <c r="AA208" i="87" s="1"/>
  <c r="X227" i="87"/>
  <c r="X208" i="87" s="1"/>
  <c r="U227" i="87"/>
  <c r="U208" i="87" s="1"/>
  <c r="R227" i="87"/>
  <c r="O227" i="87"/>
  <c r="L227" i="87"/>
  <c r="F227" i="87"/>
  <c r="D75" i="112" s="1"/>
  <c r="AD226" i="87"/>
  <c r="AD207" i="87" s="1"/>
  <c r="AA226" i="87"/>
  <c r="X226" i="87"/>
  <c r="U226" i="87"/>
  <c r="U207" i="87" s="1"/>
  <c r="R226" i="87"/>
  <c r="R207" i="87" s="1"/>
  <c r="O226" i="87"/>
  <c r="O207" i="87" s="1"/>
  <c r="L226" i="87"/>
  <c r="F226" i="87"/>
  <c r="D74" i="112" s="1"/>
  <c r="AD225" i="87"/>
  <c r="AA225" i="87"/>
  <c r="X225" i="87"/>
  <c r="X206" i="87" s="1"/>
  <c r="U225" i="87"/>
  <c r="R225" i="87"/>
  <c r="R206" i="87" s="1"/>
  <c r="O225" i="87"/>
  <c r="L225" i="87"/>
  <c r="L206" i="87" s="1"/>
  <c r="AD224" i="87"/>
  <c r="AA224" i="87"/>
  <c r="X224" i="87"/>
  <c r="U224" i="87"/>
  <c r="R224" i="87"/>
  <c r="R205" i="87" s="1"/>
  <c r="O224" i="87"/>
  <c r="O205" i="87" s="1"/>
  <c r="L224" i="87"/>
  <c r="L205" i="87" s="1"/>
  <c r="I224" i="87"/>
  <c r="D191" i="112" s="1"/>
  <c r="F224" i="87"/>
  <c r="D72" i="112" s="1"/>
  <c r="AD223" i="87"/>
  <c r="AA223" i="87"/>
  <c r="X223" i="87"/>
  <c r="X204" i="87" s="1"/>
  <c r="U223" i="87"/>
  <c r="R223" i="87"/>
  <c r="O223" i="87"/>
  <c r="L223" i="87"/>
  <c r="L204" i="87" s="1"/>
  <c r="F223" i="87"/>
  <c r="D71" i="112" s="1"/>
  <c r="AD222" i="87"/>
  <c r="AD203" i="87" s="1"/>
  <c r="AA222" i="87"/>
  <c r="X222" i="87"/>
  <c r="U222" i="87"/>
  <c r="R222" i="87"/>
  <c r="O222" i="87"/>
  <c r="L222" i="87"/>
  <c r="L203" i="87" s="1"/>
  <c r="I222" i="87"/>
  <c r="D189" i="112" s="1"/>
  <c r="AD221" i="87"/>
  <c r="AD202" i="87" s="1"/>
  <c r="AA221" i="87"/>
  <c r="AA202" i="87" s="1"/>
  <c r="X221" i="87"/>
  <c r="U221" i="87"/>
  <c r="R221" i="87"/>
  <c r="O221" i="87"/>
  <c r="L221" i="87"/>
  <c r="I221" i="87"/>
  <c r="D188" i="112" s="1"/>
  <c r="F221" i="87"/>
  <c r="D69" i="112" s="1"/>
  <c r="I219" i="87"/>
  <c r="D186" i="112" s="1"/>
  <c r="AD217" i="87"/>
  <c r="AA217" i="87"/>
  <c r="X217" i="87"/>
  <c r="U217" i="87"/>
  <c r="O217" i="87"/>
  <c r="L217" i="87"/>
  <c r="AA216" i="87"/>
  <c r="X216" i="87"/>
  <c r="U216" i="87"/>
  <c r="R216" i="87"/>
  <c r="O216" i="87"/>
  <c r="L216" i="87"/>
  <c r="AD215" i="87"/>
  <c r="AA215" i="87"/>
  <c r="X215" i="87"/>
  <c r="O215" i="87"/>
  <c r="L215" i="87"/>
  <c r="AD214" i="87"/>
  <c r="AA214" i="87"/>
  <c r="R214" i="87"/>
  <c r="I214" i="87"/>
  <c r="F214" i="87"/>
  <c r="AD213" i="87"/>
  <c r="AA213" i="87"/>
  <c r="X213" i="87"/>
  <c r="U213" i="87"/>
  <c r="O213" i="87"/>
  <c r="L213" i="87"/>
  <c r="I213" i="87"/>
  <c r="F213" i="87"/>
  <c r="AD212" i="87"/>
  <c r="AA212" i="87"/>
  <c r="X212" i="87"/>
  <c r="U212" i="87"/>
  <c r="R212" i="87"/>
  <c r="L212" i="87"/>
  <c r="I212" i="87"/>
  <c r="F212" i="87"/>
  <c r="AA211" i="87"/>
  <c r="X211" i="87"/>
  <c r="U211" i="87"/>
  <c r="R211" i="87"/>
  <c r="O211" i="87"/>
  <c r="I211" i="87"/>
  <c r="F211" i="87"/>
  <c r="U210" i="87"/>
  <c r="R210" i="87"/>
  <c r="O210" i="87"/>
  <c r="L210" i="87"/>
  <c r="I210" i="87"/>
  <c r="F210" i="87"/>
  <c r="R209" i="87"/>
  <c r="O209" i="87"/>
  <c r="L209" i="87"/>
  <c r="I209" i="87"/>
  <c r="F209" i="87"/>
  <c r="AD208" i="87"/>
  <c r="R208" i="87"/>
  <c r="O208" i="87"/>
  <c r="L208" i="87"/>
  <c r="I208" i="87"/>
  <c r="F208" i="87"/>
  <c r="AA207" i="87"/>
  <c r="X207" i="87"/>
  <c r="L207" i="87"/>
  <c r="I207" i="87"/>
  <c r="F207" i="87"/>
  <c r="AD206" i="87"/>
  <c r="AA206" i="87"/>
  <c r="U206" i="87"/>
  <c r="O206" i="87"/>
  <c r="I206" i="87"/>
  <c r="F206" i="87"/>
  <c r="AD205" i="87"/>
  <c r="AA205" i="87"/>
  <c r="X205" i="87"/>
  <c r="U205" i="87"/>
  <c r="I205" i="87"/>
  <c r="F205" i="87"/>
  <c r="AD204" i="87"/>
  <c r="AA204" i="87"/>
  <c r="U204" i="87"/>
  <c r="R204" i="87"/>
  <c r="O204" i="87"/>
  <c r="I204" i="87"/>
  <c r="F204" i="87"/>
  <c r="AA203" i="87"/>
  <c r="X203" i="87"/>
  <c r="U203" i="87"/>
  <c r="R203" i="87"/>
  <c r="O203" i="87"/>
  <c r="I203" i="87"/>
  <c r="F203" i="87"/>
  <c r="X202" i="87"/>
  <c r="U202" i="87"/>
  <c r="R202" i="87"/>
  <c r="O202" i="87"/>
  <c r="L202" i="87"/>
  <c r="I202" i="87"/>
  <c r="F202" i="87"/>
  <c r="I201" i="87"/>
  <c r="F201" i="87"/>
  <c r="I200" i="87"/>
  <c r="F200" i="87"/>
  <c r="I199" i="87"/>
  <c r="F199" i="87"/>
  <c r="AD198" i="87"/>
  <c r="AA198" i="87"/>
  <c r="X198" i="87"/>
  <c r="U198" i="87"/>
  <c r="R198" i="87"/>
  <c r="O198" i="87"/>
  <c r="L198" i="87"/>
  <c r="I198" i="87"/>
  <c r="E200" i="112" s="1"/>
  <c r="F198" i="87"/>
  <c r="E81" i="112" s="1"/>
  <c r="AD197" i="87"/>
  <c r="AA197" i="87"/>
  <c r="X197" i="87"/>
  <c r="U197" i="87"/>
  <c r="R197" i="87"/>
  <c r="O197" i="87"/>
  <c r="L197" i="87"/>
  <c r="I197" i="87"/>
  <c r="E199" i="112" s="1"/>
  <c r="F197" i="87"/>
  <c r="E80" i="112" s="1"/>
  <c r="AD196" i="87"/>
  <c r="AA196" i="87"/>
  <c r="X196" i="87"/>
  <c r="U196" i="87"/>
  <c r="R196" i="87"/>
  <c r="O196" i="87"/>
  <c r="L196" i="87"/>
  <c r="I196" i="87"/>
  <c r="E198" i="112" s="1"/>
  <c r="F196" i="87"/>
  <c r="E79" i="112" s="1"/>
  <c r="AD195" i="87"/>
  <c r="AA195" i="87"/>
  <c r="X195" i="87"/>
  <c r="U195" i="87"/>
  <c r="R195" i="87"/>
  <c r="O195" i="87"/>
  <c r="L195" i="87"/>
  <c r="I195" i="87"/>
  <c r="E197" i="112" s="1"/>
  <c r="F195" i="87"/>
  <c r="E78" i="112" s="1"/>
  <c r="AD194" i="87"/>
  <c r="AA194" i="87"/>
  <c r="X194" i="87"/>
  <c r="U194" i="87"/>
  <c r="R194" i="87"/>
  <c r="O194" i="87"/>
  <c r="L194" i="87"/>
  <c r="I194" i="87"/>
  <c r="E196" i="112" s="1"/>
  <c r="F194" i="87"/>
  <c r="E77" i="112" s="1"/>
  <c r="AD193" i="87"/>
  <c r="AA193" i="87"/>
  <c r="X193" i="87"/>
  <c r="U193" i="87"/>
  <c r="R193" i="87"/>
  <c r="O193" i="87"/>
  <c r="L193" i="87"/>
  <c r="I193" i="87"/>
  <c r="E195" i="112" s="1"/>
  <c r="F193" i="87"/>
  <c r="E76" i="112" s="1"/>
  <c r="AD192" i="87"/>
  <c r="AA192" i="87"/>
  <c r="X192" i="87"/>
  <c r="U192" i="87"/>
  <c r="R192" i="87"/>
  <c r="O192" i="87"/>
  <c r="L192" i="87"/>
  <c r="I192" i="87"/>
  <c r="E194" i="112" s="1"/>
  <c r="F192" i="87"/>
  <c r="E75" i="112" s="1"/>
  <c r="AD191" i="87"/>
  <c r="AA191" i="87"/>
  <c r="X191" i="87"/>
  <c r="U191" i="87"/>
  <c r="R191" i="87"/>
  <c r="O191" i="87"/>
  <c r="L191" i="87"/>
  <c r="I191" i="87"/>
  <c r="E193" i="112" s="1"/>
  <c r="F191" i="87"/>
  <c r="E74" i="112" s="1"/>
  <c r="AD190" i="87"/>
  <c r="AA190" i="87"/>
  <c r="X190" i="87"/>
  <c r="U190" i="87"/>
  <c r="R190" i="87"/>
  <c r="O190" i="87"/>
  <c r="L190" i="87"/>
  <c r="I190" i="87"/>
  <c r="E192" i="112" s="1"/>
  <c r="F190" i="87"/>
  <c r="E73" i="112" s="1"/>
  <c r="AD189" i="87"/>
  <c r="AA189" i="87"/>
  <c r="X189" i="87"/>
  <c r="U189" i="87"/>
  <c r="R189" i="87"/>
  <c r="O189" i="87"/>
  <c r="L189" i="87"/>
  <c r="I189" i="87"/>
  <c r="E191" i="112" s="1"/>
  <c r="F189" i="87"/>
  <c r="E72" i="112" s="1"/>
  <c r="AD188" i="87"/>
  <c r="AA188" i="87"/>
  <c r="X188" i="87"/>
  <c r="U188" i="87"/>
  <c r="R188" i="87"/>
  <c r="O188" i="87"/>
  <c r="L188" i="87"/>
  <c r="I188" i="87"/>
  <c r="E190" i="112" s="1"/>
  <c r="F188" i="87"/>
  <c r="E71" i="112" s="1"/>
  <c r="AD187" i="87"/>
  <c r="AA187" i="87"/>
  <c r="X187" i="87"/>
  <c r="U187" i="87"/>
  <c r="R187" i="87"/>
  <c r="O187" i="87"/>
  <c r="L187" i="87"/>
  <c r="I187" i="87"/>
  <c r="E189" i="112" s="1"/>
  <c r="F187" i="87"/>
  <c r="E70" i="112" s="1"/>
  <c r="AD186" i="87"/>
  <c r="AA186" i="87"/>
  <c r="X186" i="87"/>
  <c r="U186" i="87"/>
  <c r="R186" i="87"/>
  <c r="O186" i="87"/>
  <c r="L186" i="87"/>
  <c r="I186" i="87"/>
  <c r="E188" i="112" s="1"/>
  <c r="F186" i="87"/>
  <c r="E69" i="112" s="1"/>
  <c r="AD185" i="87"/>
  <c r="AA185" i="87"/>
  <c r="X185" i="87"/>
  <c r="U185" i="87"/>
  <c r="R185" i="87"/>
  <c r="O185" i="87"/>
  <c r="L185" i="87"/>
  <c r="I185" i="87"/>
  <c r="E187" i="112" s="1"/>
  <c r="F185" i="87"/>
  <c r="E68" i="112" s="1"/>
  <c r="AD184" i="87"/>
  <c r="AA184" i="87"/>
  <c r="X184" i="87"/>
  <c r="U184" i="87"/>
  <c r="R184" i="87"/>
  <c r="O184" i="87"/>
  <c r="L184" i="87"/>
  <c r="I184" i="87"/>
  <c r="E186" i="112" s="1"/>
  <c r="F184" i="87"/>
  <c r="E67" i="112" s="1"/>
  <c r="AD183" i="87"/>
  <c r="AA183" i="87"/>
  <c r="X183" i="87"/>
  <c r="U183" i="87"/>
  <c r="R183" i="87"/>
  <c r="O183" i="87"/>
  <c r="L183" i="87"/>
  <c r="I183" i="87"/>
  <c r="E185" i="112" s="1"/>
  <c r="F183" i="87"/>
  <c r="E66" i="112" s="1"/>
  <c r="AD179" i="87"/>
  <c r="AA179" i="87"/>
  <c r="X179" i="87"/>
  <c r="U179" i="87"/>
  <c r="R179" i="87"/>
  <c r="O179" i="87"/>
  <c r="L179" i="87"/>
  <c r="AD178" i="87"/>
  <c r="AA178" i="87"/>
  <c r="X178" i="87"/>
  <c r="U178" i="87"/>
  <c r="R178" i="87"/>
  <c r="O178" i="87"/>
  <c r="L178" i="87"/>
  <c r="AD174" i="87"/>
  <c r="AA174" i="87"/>
  <c r="X174" i="87"/>
  <c r="U174" i="87"/>
  <c r="R174" i="87"/>
  <c r="O174" i="87"/>
  <c r="L174" i="87"/>
  <c r="AD173" i="87"/>
  <c r="AA173" i="87"/>
  <c r="X173" i="87"/>
  <c r="U173" i="87"/>
  <c r="R173" i="87"/>
  <c r="O173" i="87"/>
  <c r="L173" i="87"/>
  <c r="I173" i="87"/>
  <c r="F173" i="87"/>
  <c r="AD172" i="87"/>
  <c r="AA172" i="87"/>
  <c r="X172" i="87"/>
  <c r="U172" i="87"/>
  <c r="R172" i="87"/>
  <c r="O172" i="87"/>
  <c r="L172" i="87"/>
  <c r="I172" i="87"/>
  <c r="F172" i="87"/>
  <c r="AD171" i="87"/>
  <c r="AA171" i="87"/>
  <c r="X171" i="87"/>
  <c r="U171" i="87"/>
  <c r="R171" i="87"/>
  <c r="O171" i="87"/>
  <c r="L171" i="87"/>
  <c r="I171" i="87"/>
  <c r="F171" i="87"/>
  <c r="I170" i="87"/>
  <c r="F170" i="87"/>
  <c r="AD169" i="87"/>
  <c r="AA169" i="87"/>
  <c r="X169" i="87"/>
  <c r="U169" i="87"/>
  <c r="R169" i="87"/>
  <c r="O169" i="87"/>
  <c r="L169" i="87"/>
  <c r="I169" i="87"/>
  <c r="F169" i="87"/>
  <c r="I168" i="87"/>
  <c r="F168" i="87"/>
  <c r="AD167" i="87"/>
  <c r="AA167" i="87"/>
  <c r="X167" i="87"/>
  <c r="U167" i="87"/>
  <c r="R167" i="87"/>
  <c r="O167" i="87"/>
  <c r="L167" i="87"/>
  <c r="I167" i="87"/>
  <c r="AD166" i="87"/>
  <c r="D631" i="117" s="1"/>
  <c r="AA166" i="87"/>
  <c r="D538" i="117" s="1"/>
  <c r="X166" i="87"/>
  <c r="D445" i="117" s="1"/>
  <c r="U166" i="87"/>
  <c r="D352" i="117" s="1"/>
  <c r="R166" i="87"/>
  <c r="D259" i="117" s="1"/>
  <c r="O166" i="87"/>
  <c r="D166" i="117" s="1"/>
  <c r="L166" i="87"/>
  <c r="D73" i="117" s="1"/>
  <c r="I166" i="87"/>
  <c r="F166" i="87"/>
  <c r="I162" i="87"/>
  <c r="F162" i="87"/>
  <c r="I161" i="87"/>
  <c r="F161" i="87"/>
  <c r="AD160" i="87" a="1"/>
  <c r="AD160" i="87" s="1"/>
  <c r="AA160" i="87" a="1"/>
  <c r="AA160" i="87"/>
  <c r="X160" i="87" a="1"/>
  <c r="X160" i="87"/>
  <c r="U160" i="87" a="1"/>
  <c r="U160" i="87"/>
  <c r="R160" i="87" a="1"/>
  <c r="R160" i="87" s="1"/>
  <c r="O160" i="87" a="1"/>
  <c r="O160" i="87" s="1"/>
  <c r="L160" i="87" a="1"/>
  <c r="L160" i="87"/>
  <c r="I160" i="87"/>
  <c r="F160" i="87"/>
  <c r="AD159" i="87" a="1"/>
  <c r="AD159" i="87"/>
  <c r="AA159" i="87" a="1"/>
  <c r="AA159" i="87" s="1"/>
  <c r="X159" i="87" a="1"/>
  <c r="X159" i="87" s="1"/>
  <c r="U159" i="87" a="1"/>
  <c r="U159" i="87"/>
  <c r="R159" i="87" a="1"/>
  <c r="R159" i="87"/>
  <c r="O159" i="87" a="1"/>
  <c r="O159" i="87"/>
  <c r="L159" i="87" a="1"/>
  <c r="L159" i="87" s="1"/>
  <c r="I159" i="87"/>
  <c r="F159" i="87"/>
  <c r="I158" i="87"/>
  <c r="I157" i="87"/>
  <c r="AD156" i="87"/>
  <c r="AA156" i="87"/>
  <c r="X156" i="87"/>
  <c r="U156" i="87"/>
  <c r="R156" i="87"/>
  <c r="O156" i="87"/>
  <c r="L156" i="87"/>
  <c r="I156" i="87"/>
  <c r="F156" i="87"/>
  <c r="AD155" i="87"/>
  <c r="AA155" i="87"/>
  <c r="X155" i="87"/>
  <c r="U155" i="87"/>
  <c r="R155" i="87"/>
  <c r="O155" i="87"/>
  <c r="L155" i="87"/>
  <c r="I155" i="87"/>
  <c r="F155" i="87"/>
  <c r="AD154" i="87"/>
  <c r="AA154" i="87"/>
  <c r="X154" i="87"/>
  <c r="U154" i="87"/>
  <c r="R154" i="87"/>
  <c r="O154" i="87"/>
  <c r="L154" i="87"/>
  <c r="I154" i="87"/>
  <c r="F154" i="87"/>
  <c r="L303" i="62" s="1"/>
  <c r="AD153" i="87"/>
  <c r="AA153" i="87"/>
  <c r="X153" i="87"/>
  <c r="U153" i="87"/>
  <c r="R153" i="87"/>
  <c r="O153" i="87"/>
  <c r="L153" i="87"/>
  <c r="I153" i="87"/>
  <c r="D369" i="65" s="1"/>
  <c r="F153" i="87"/>
  <c r="AD152" i="87"/>
  <c r="AA152" i="87"/>
  <c r="X152" i="87"/>
  <c r="U152" i="87"/>
  <c r="R152" i="87"/>
  <c r="O152" i="87"/>
  <c r="L152" i="87"/>
  <c r="I152" i="87"/>
  <c r="F152" i="87"/>
  <c r="L296" i="62" s="1"/>
  <c r="AD151" i="87"/>
  <c r="AA151" i="87"/>
  <c r="X151" i="87"/>
  <c r="U151" i="87"/>
  <c r="R151" i="87"/>
  <c r="O151" i="87"/>
  <c r="L151" i="87"/>
  <c r="I151" i="87"/>
  <c r="F151" i="87"/>
  <c r="L295" i="62" s="1"/>
  <c r="AD150" i="87"/>
  <c r="AA150" i="87"/>
  <c r="X150" i="87"/>
  <c r="U150" i="87"/>
  <c r="R150" i="87"/>
  <c r="O150" i="87"/>
  <c r="L150" i="87"/>
  <c r="I150" i="87"/>
  <c r="F150" i="87"/>
  <c r="AD149" i="87"/>
  <c r="AA149" i="87"/>
  <c r="X149" i="87"/>
  <c r="U149" i="87"/>
  <c r="R149" i="87"/>
  <c r="O149" i="87"/>
  <c r="L149" i="87"/>
  <c r="I149" i="87"/>
  <c r="F149" i="87"/>
  <c r="F145" i="87"/>
  <c r="I144" i="87"/>
  <c r="I143" i="87"/>
  <c r="F143" i="87"/>
  <c r="I142" i="87"/>
  <c r="F142" i="87"/>
  <c r="I141" i="87"/>
  <c r="F141" i="87"/>
  <c r="I140" i="87"/>
  <c r="F140" i="87"/>
  <c r="I139" i="87"/>
  <c r="F139" i="87"/>
  <c r="I135" i="87"/>
  <c r="F135" i="87"/>
  <c r="I134" i="87"/>
  <c r="F134" i="87"/>
  <c r="I133" i="87"/>
  <c r="F133" i="87"/>
  <c r="I132" i="87"/>
  <c r="F132" i="87"/>
  <c r="I131" i="87"/>
  <c r="F131" i="87"/>
  <c r="I130" i="87"/>
  <c r="F130" i="87"/>
  <c r="I129" i="87"/>
  <c r="F129" i="87"/>
  <c r="I128" i="87"/>
  <c r="F128" i="87"/>
  <c r="I127" i="87"/>
  <c r="F127" i="87"/>
  <c r="I126" i="87"/>
  <c r="F126" i="87"/>
  <c r="I125" i="87"/>
  <c r="F125" i="87"/>
  <c r="I124" i="87"/>
  <c r="F124" i="87"/>
  <c r="I120" i="87"/>
  <c r="F120" i="87"/>
  <c r="I117" i="87"/>
  <c r="F117" i="87"/>
  <c r="I116" i="87"/>
  <c r="C141" i="112" s="1"/>
  <c r="F116" i="87"/>
  <c r="AD115" i="87"/>
  <c r="O115" i="87"/>
  <c r="I115" i="87"/>
  <c r="AD114" i="87"/>
  <c r="AA114" i="87"/>
  <c r="X114" i="87"/>
  <c r="AD113" i="87"/>
  <c r="U113" i="87"/>
  <c r="R113" i="87"/>
  <c r="O113" i="87"/>
  <c r="I113" i="87"/>
  <c r="F113" i="87"/>
  <c r="C14" i="112" s="1"/>
  <c r="L112" i="87"/>
  <c r="I112" i="87"/>
  <c r="F112" i="87"/>
  <c r="R111" i="87"/>
  <c r="I111" i="87"/>
  <c r="F111" i="87"/>
  <c r="X110" i="87"/>
  <c r="R110" i="87"/>
  <c r="O110" i="87"/>
  <c r="I110" i="87"/>
  <c r="C135" i="112" s="1"/>
  <c r="F110" i="87"/>
  <c r="D400" i="109" s="1"/>
  <c r="AD106" i="87"/>
  <c r="AA106" i="87"/>
  <c r="X106" i="87"/>
  <c r="U106" i="87"/>
  <c r="R106" i="87"/>
  <c r="O106" i="87"/>
  <c r="L106" i="87"/>
  <c r="I106" i="87"/>
  <c r="F106" i="87"/>
  <c r="AD105" i="87"/>
  <c r="AA105" i="87"/>
  <c r="X105" i="87"/>
  <c r="U105" i="87"/>
  <c r="R105" i="87"/>
  <c r="O105" i="87"/>
  <c r="L105" i="87"/>
  <c r="I105" i="87"/>
  <c r="F105" i="87"/>
  <c r="AD104" i="87"/>
  <c r="AA104" i="87"/>
  <c r="X104" i="87"/>
  <c r="U104" i="87"/>
  <c r="R104" i="87"/>
  <c r="O104" i="87"/>
  <c r="L104" i="87"/>
  <c r="I104" i="87"/>
  <c r="F104" i="87"/>
  <c r="AD103" i="87"/>
  <c r="AA103" i="87"/>
  <c r="X103" i="87"/>
  <c r="U103" i="87"/>
  <c r="R103" i="87"/>
  <c r="O103" i="87"/>
  <c r="L103" i="87"/>
  <c r="I103" i="87"/>
  <c r="F103" i="87"/>
  <c r="AD102" i="87"/>
  <c r="AA102" i="87"/>
  <c r="X102" i="87"/>
  <c r="U102" i="87"/>
  <c r="R102" i="87"/>
  <c r="O102" i="87"/>
  <c r="L102" i="87"/>
  <c r="I102" i="87"/>
  <c r="D542" i="109" s="1"/>
  <c r="F102" i="87"/>
  <c r="AD101" i="87"/>
  <c r="AA101" i="87"/>
  <c r="X101" i="87"/>
  <c r="U101" i="87"/>
  <c r="R101" i="87"/>
  <c r="O101" i="87"/>
  <c r="L101" i="87"/>
  <c r="I101" i="87"/>
  <c r="F101" i="87"/>
  <c r="AD100" i="87"/>
  <c r="AA100" i="87"/>
  <c r="X100" i="87"/>
  <c r="U100" i="87"/>
  <c r="R100" i="87"/>
  <c r="O100" i="87"/>
  <c r="L100" i="87"/>
  <c r="I100" i="87"/>
  <c r="F100" i="87"/>
  <c r="I96" i="87"/>
  <c r="I349" i="87" s="1"/>
  <c r="G165" i="112" s="1"/>
  <c r="I95" i="87"/>
  <c r="F95" i="87"/>
  <c r="AD94" i="87"/>
  <c r="AA94" i="87"/>
  <c r="X94" i="87"/>
  <c r="U94" i="87"/>
  <c r="R94" i="87"/>
  <c r="O94" i="87"/>
  <c r="L94" i="87"/>
  <c r="I94" i="87"/>
  <c r="D89" i="109" s="1"/>
  <c r="F94" i="87"/>
  <c r="AD93" i="87"/>
  <c r="AA93" i="87"/>
  <c r="X93" i="87"/>
  <c r="U93" i="87"/>
  <c r="R93" i="87"/>
  <c r="O93" i="87"/>
  <c r="L93" i="87"/>
  <c r="I93" i="87"/>
  <c r="F93" i="87"/>
  <c r="AD92" i="87"/>
  <c r="AA92" i="87"/>
  <c r="X92" i="87"/>
  <c r="U92" i="87"/>
  <c r="R92" i="87"/>
  <c r="O92" i="87"/>
  <c r="L92" i="87"/>
  <c r="I92" i="87"/>
  <c r="F92" i="87"/>
  <c r="I91" i="87"/>
  <c r="AD90" i="87"/>
  <c r="AA90" i="87"/>
  <c r="X90" i="87"/>
  <c r="U90" i="87"/>
  <c r="R90" i="87"/>
  <c r="O90" i="87"/>
  <c r="L90" i="87"/>
  <c r="I90" i="87"/>
  <c r="F90" i="87"/>
  <c r="AD89" i="87"/>
  <c r="AA89" i="87"/>
  <c r="X89" i="87"/>
  <c r="U89" i="87"/>
  <c r="R89" i="87"/>
  <c r="O89" i="87"/>
  <c r="L89" i="87"/>
  <c r="I89" i="87"/>
  <c r="G139" i="112" s="1"/>
  <c r="F89" i="87"/>
  <c r="G15" i="112" s="1"/>
  <c r="AD88" i="87"/>
  <c r="AC88" i="87"/>
  <c r="AA88" i="87"/>
  <c r="Z88" i="87"/>
  <c r="X88" i="87"/>
  <c r="W88" i="87"/>
  <c r="U88" i="87"/>
  <c r="T88" i="87"/>
  <c r="R88" i="87"/>
  <c r="Q88" i="87"/>
  <c r="O88" i="87"/>
  <c r="N88" i="87"/>
  <c r="L88" i="87"/>
  <c r="K88" i="87"/>
  <c r="I88" i="87"/>
  <c r="G138" i="112" s="1"/>
  <c r="F88" i="87"/>
  <c r="G14" i="112" s="1"/>
  <c r="E88" i="87"/>
  <c r="AD87" i="87"/>
  <c r="AA87" i="87"/>
  <c r="X87" i="87"/>
  <c r="U87" i="87"/>
  <c r="R87" i="87"/>
  <c r="O87" i="87"/>
  <c r="L87" i="87"/>
  <c r="I87" i="87"/>
  <c r="F87" i="87"/>
  <c r="G13" i="112" s="1"/>
  <c r="AD86" i="87"/>
  <c r="AA86" i="87"/>
  <c r="X86" i="87"/>
  <c r="U86" i="87"/>
  <c r="R86" i="87"/>
  <c r="O86" i="87"/>
  <c r="L86" i="87"/>
  <c r="I86" i="87"/>
  <c r="F86" i="87"/>
  <c r="AD85" i="87"/>
  <c r="AA85" i="87"/>
  <c r="X85" i="87"/>
  <c r="U85" i="87"/>
  <c r="R85" i="87"/>
  <c r="O85" i="87"/>
  <c r="L85" i="87"/>
  <c r="I85" i="87"/>
  <c r="F85" i="87"/>
  <c r="D390" i="109" s="1"/>
  <c r="I80" i="87"/>
  <c r="H140" i="112" s="1"/>
  <c r="F80" i="87"/>
  <c r="H16" i="112" s="1"/>
  <c r="AD78" i="87"/>
  <c r="AA78" i="87"/>
  <c r="X78" i="87"/>
  <c r="U78" i="87"/>
  <c r="R78" i="87"/>
  <c r="O78" i="87"/>
  <c r="L78" i="87"/>
  <c r="F78" i="87"/>
  <c r="AD77" i="87"/>
  <c r="AA77" i="87"/>
  <c r="X77" i="87"/>
  <c r="U77" i="87"/>
  <c r="R77" i="87"/>
  <c r="O77" i="87"/>
  <c r="L77" i="87"/>
  <c r="I77" i="87"/>
  <c r="D527" i="109" s="1"/>
  <c r="F77" i="87"/>
  <c r="AD76" i="87"/>
  <c r="AA76" i="87"/>
  <c r="X76" i="87"/>
  <c r="U76" i="87"/>
  <c r="R76" i="87"/>
  <c r="O76" i="87"/>
  <c r="L76" i="87"/>
  <c r="I76" i="87"/>
  <c r="F76" i="87"/>
  <c r="I75" i="87"/>
  <c r="AD74" i="87"/>
  <c r="AA74" i="87"/>
  <c r="X74" i="87"/>
  <c r="U74" i="87"/>
  <c r="R74" i="87"/>
  <c r="O74" i="87"/>
  <c r="L74" i="87"/>
  <c r="I74" i="87"/>
  <c r="F74" i="87"/>
  <c r="AD73" i="87"/>
  <c r="AA73" i="87"/>
  <c r="X73" i="87"/>
  <c r="U73" i="87"/>
  <c r="R73" i="87"/>
  <c r="O73" i="87"/>
  <c r="L73" i="87"/>
  <c r="I73" i="87"/>
  <c r="H139" i="112" s="1"/>
  <c r="F73" i="87"/>
  <c r="H15" i="112" s="1"/>
  <c r="AD72" i="87"/>
  <c r="AC72" i="87"/>
  <c r="AA72" i="87"/>
  <c r="Z72" i="87"/>
  <c r="X72" i="87"/>
  <c r="W72" i="87"/>
  <c r="U72" i="87"/>
  <c r="T72" i="87"/>
  <c r="R72" i="87"/>
  <c r="Q72" i="87"/>
  <c r="O72" i="87"/>
  <c r="N72" i="87"/>
  <c r="L72" i="87"/>
  <c r="K72" i="87"/>
  <c r="I72" i="87"/>
  <c r="H138" i="112" s="1"/>
  <c r="F72" i="87"/>
  <c r="H14" i="112" s="1"/>
  <c r="E72" i="87"/>
  <c r="AD71" i="87"/>
  <c r="AA71" i="87"/>
  <c r="X71" i="87"/>
  <c r="U71" i="87"/>
  <c r="R71" i="87"/>
  <c r="O71" i="87"/>
  <c r="L71" i="87"/>
  <c r="I71" i="87"/>
  <c r="F71" i="87"/>
  <c r="H13" i="112" s="1"/>
  <c r="AD70" i="87"/>
  <c r="AA70" i="87"/>
  <c r="X70" i="87"/>
  <c r="U70" i="87"/>
  <c r="R70" i="87"/>
  <c r="O70" i="87"/>
  <c r="L70" i="87"/>
  <c r="I70" i="87"/>
  <c r="F70" i="87"/>
  <c r="L277" i="62" s="1"/>
  <c r="AD69" i="87"/>
  <c r="AA69" i="87"/>
  <c r="X69" i="87"/>
  <c r="U69" i="87"/>
  <c r="R69" i="87"/>
  <c r="O69" i="87"/>
  <c r="L69" i="87"/>
  <c r="I69" i="87"/>
  <c r="F69" i="87"/>
  <c r="L282" i="62" s="1"/>
  <c r="AD62" i="87"/>
  <c r="AA62" i="87"/>
  <c r="X62" i="87"/>
  <c r="U62" i="87"/>
  <c r="R62" i="87"/>
  <c r="O62" i="87"/>
  <c r="L62" i="87"/>
  <c r="L32" i="87" s="1"/>
  <c r="I62" i="87"/>
  <c r="I332" i="87" s="1"/>
  <c r="F62" i="87"/>
  <c r="F328" i="87" s="1"/>
  <c r="AD61" i="87"/>
  <c r="AA61" i="87"/>
  <c r="AA31" i="87" s="1"/>
  <c r="X61" i="87"/>
  <c r="U61" i="87"/>
  <c r="R61" i="87"/>
  <c r="O61" i="87"/>
  <c r="L61" i="87"/>
  <c r="I61" i="87"/>
  <c r="I331" i="87" s="1"/>
  <c r="C61" i="87"/>
  <c r="AD60" i="87"/>
  <c r="AA60" i="87"/>
  <c r="X60" i="87"/>
  <c r="U60" i="87"/>
  <c r="R60" i="87"/>
  <c r="O60" i="87"/>
  <c r="L60" i="87"/>
  <c r="I59" i="87"/>
  <c r="AD58" i="87"/>
  <c r="AA58" i="87"/>
  <c r="X58" i="87"/>
  <c r="U58" i="87"/>
  <c r="R58" i="87"/>
  <c r="O58" i="87"/>
  <c r="L58" i="87"/>
  <c r="I58" i="87"/>
  <c r="AD57" i="87"/>
  <c r="AA57" i="87"/>
  <c r="X57" i="87"/>
  <c r="U57" i="87"/>
  <c r="U27" i="87" s="1"/>
  <c r="R57" i="87"/>
  <c r="O57" i="87"/>
  <c r="L57" i="87"/>
  <c r="AD56" i="87"/>
  <c r="AA56" i="87"/>
  <c r="X56" i="87"/>
  <c r="U56" i="87"/>
  <c r="R56" i="87"/>
  <c r="O56" i="87"/>
  <c r="L56" i="87"/>
  <c r="I56" i="87"/>
  <c r="AD55" i="87"/>
  <c r="AA55" i="87"/>
  <c r="X55" i="87"/>
  <c r="X25" i="87" s="1"/>
  <c r="U55" i="87"/>
  <c r="R55" i="87"/>
  <c r="O55" i="87"/>
  <c r="L55" i="87"/>
  <c r="I55" i="87"/>
  <c r="U54" i="87"/>
  <c r="I53" i="87"/>
  <c r="C53" i="87"/>
  <c r="I49" i="87"/>
  <c r="F140" i="112" s="1"/>
  <c r="C49" i="87"/>
  <c r="C48" i="87"/>
  <c r="AD47" i="87"/>
  <c r="AA47" i="87"/>
  <c r="X47" i="87"/>
  <c r="U47" i="87"/>
  <c r="U32" i="87" s="1"/>
  <c r="R47" i="87"/>
  <c r="R32" i="87" s="1"/>
  <c r="O47" i="87"/>
  <c r="O32" i="87" s="1"/>
  <c r="L47" i="87"/>
  <c r="I47" i="87"/>
  <c r="F143" i="112" s="1"/>
  <c r="C47" i="87"/>
  <c r="AD46" i="87"/>
  <c r="AA46" i="87"/>
  <c r="X46" i="87"/>
  <c r="U46" i="87"/>
  <c r="R46" i="87"/>
  <c r="R31" i="87" s="1"/>
  <c r="O46" i="87"/>
  <c r="O31" i="87" s="1"/>
  <c r="L46" i="87"/>
  <c r="I46" i="87"/>
  <c r="C46" i="87"/>
  <c r="AD45" i="87"/>
  <c r="AD30" i="87" s="1"/>
  <c r="AA45" i="87"/>
  <c r="X45" i="87"/>
  <c r="U45" i="87"/>
  <c r="U30" i="87" s="1"/>
  <c r="R45" i="87"/>
  <c r="R30" i="87" s="1"/>
  <c r="O45" i="87"/>
  <c r="O30" i="87" s="1"/>
  <c r="L45" i="87"/>
  <c r="L30" i="87" s="1"/>
  <c r="AD44" i="87"/>
  <c r="AA44" i="87"/>
  <c r="X44" i="87"/>
  <c r="X28" i="87" s="1"/>
  <c r="U44" i="87"/>
  <c r="R44" i="87"/>
  <c r="R28" i="87" s="1"/>
  <c r="O44" i="87"/>
  <c r="O28" i="87" s="1"/>
  <c r="L44" i="87"/>
  <c r="I44" i="87"/>
  <c r="I29" i="87" s="1"/>
  <c r="I43" i="87"/>
  <c r="AD42" i="87"/>
  <c r="AA42" i="87"/>
  <c r="X42" i="87"/>
  <c r="X27" i="87" s="1"/>
  <c r="U42" i="87"/>
  <c r="R42" i="87"/>
  <c r="R27" i="87" s="1"/>
  <c r="O42" i="87"/>
  <c r="O27" i="87" s="1"/>
  <c r="L42" i="87"/>
  <c r="I42" i="87"/>
  <c r="F139" i="112" s="1"/>
  <c r="AD41" i="87"/>
  <c r="AC41" i="87"/>
  <c r="AA41" i="87"/>
  <c r="AA26" i="87" s="1"/>
  <c r="Z41" i="87"/>
  <c r="X41" i="87"/>
  <c r="W41" i="87"/>
  <c r="U41" i="87"/>
  <c r="U26" i="87" s="1"/>
  <c r="T41" i="87"/>
  <c r="R41" i="87"/>
  <c r="R26" i="87" s="1"/>
  <c r="Q41" i="87"/>
  <c r="O41" i="87"/>
  <c r="N41" i="87"/>
  <c r="L41" i="87"/>
  <c r="L26" i="87" s="1"/>
  <c r="K41" i="87"/>
  <c r="I41" i="87"/>
  <c r="F138" i="112" s="1"/>
  <c r="E41" i="87"/>
  <c r="C41" i="87"/>
  <c r="AD40" i="87"/>
  <c r="AD25" i="87" s="1"/>
  <c r="AA40" i="87"/>
  <c r="X40" i="87"/>
  <c r="U40" i="87"/>
  <c r="R40" i="87"/>
  <c r="R25" i="87" s="1"/>
  <c r="O40" i="87"/>
  <c r="L40" i="87"/>
  <c r="L25" i="87" s="1"/>
  <c r="I40" i="87"/>
  <c r="R39" i="87"/>
  <c r="L39" i="87"/>
  <c r="I39" i="87"/>
  <c r="F136" i="112" s="1"/>
  <c r="C39" i="87"/>
  <c r="C38" i="87"/>
  <c r="C36" i="87"/>
  <c r="I34" i="87"/>
  <c r="E140" i="112" s="1"/>
  <c r="I33" i="87"/>
  <c r="I48" i="87" s="1"/>
  <c r="F33" i="87"/>
  <c r="AD32" i="87"/>
  <c r="X32" i="87"/>
  <c r="I32" i="87"/>
  <c r="F32" i="87"/>
  <c r="F47" i="87" s="1"/>
  <c r="F19" i="112" s="1"/>
  <c r="AD31" i="87"/>
  <c r="U31" i="87"/>
  <c r="L31" i="87"/>
  <c r="I31" i="87"/>
  <c r="E142" i="112" s="1"/>
  <c r="F31" i="87"/>
  <c r="F46" i="87" s="1"/>
  <c r="F18" i="112" s="1" a="1"/>
  <c r="F18" i="112" s="1"/>
  <c r="AA30" i="87"/>
  <c r="X30" i="87"/>
  <c r="I30" i="87"/>
  <c r="F30" i="87"/>
  <c r="F312" i="87" s="1"/>
  <c r="C29" i="87"/>
  <c r="AD28" i="87"/>
  <c r="AA28" i="87"/>
  <c r="U28" i="87"/>
  <c r="L28" i="87"/>
  <c r="I28" i="87"/>
  <c r="F28" i="87"/>
  <c r="F43" i="87" s="1"/>
  <c r="C28" i="87"/>
  <c r="AD27" i="87"/>
  <c r="AA27" i="87"/>
  <c r="L27" i="87"/>
  <c r="I27" i="87"/>
  <c r="E139" i="112" s="1"/>
  <c r="F27" i="87"/>
  <c r="E15" i="112" s="1"/>
  <c r="C27" i="87"/>
  <c r="AD26" i="87"/>
  <c r="AC26" i="87"/>
  <c r="Z26" i="87"/>
  <c r="W26" i="87"/>
  <c r="T26" i="87"/>
  <c r="Q26" i="87"/>
  <c r="O26" i="87"/>
  <c r="N26" i="87"/>
  <c r="K26" i="87"/>
  <c r="F26" i="87"/>
  <c r="E14" i="112" s="1"/>
  <c r="E26" i="87"/>
  <c r="C26" i="87"/>
  <c r="AA25" i="87"/>
  <c r="U25" i="87"/>
  <c r="O25" i="87"/>
  <c r="F25" i="87"/>
  <c r="E13" i="112" s="1"/>
  <c r="AD24" i="87"/>
  <c r="AD54" i="87" s="1"/>
  <c r="AA24" i="87"/>
  <c r="AA54" i="87" s="1"/>
  <c r="X24" i="87"/>
  <c r="X39" i="87" s="1"/>
  <c r="U24" i="87"/>
  <c r="U39" i="87" s="1"/>
  <c r="R24" i="87"/>
  <c r="R54" i="87" s="1"/>
  <c r="O24" i="87"/>
  <c r="O39" i="87" s="1"/>
  <c r="L24" i="87"/>
  <c r="L54" i="87" s="1"/>
  <c r="I24" i="87"/>
  <c r="AD37" i="63" s="1"/>
  <c r="F24" i="87"/>
  <c r="D177" i="85" s="1"/>
  <c r="C24" i="87"/>
  <c r="AD23" i="87"/>
  <c r="AA23" i="87"/>
  <c r="X23" i="87"/>
  <c r="U23" i="87"/>
  <c r="R23" i="87"/>
  <c r="O23" i="87"/>
  <c r="L23" i="87"/>
  <c r="I23" i="87"/>
  <c r="F23" i="87"/>
  <c r="E11" i="112" s="1"/>
  <c r="C23" i="87"/>
  <c r="AH22" i="87"/>
  <c r="AH21" i="87"/>
  <c r="I19" i="87"/>
  <c r="D140" i="112" s="1"/>
  <c r="F19" i="87"/>
  <c r="D16" i="112" s="1"/>
  <c r="C19" i="87"/>
  <c r="AH18" i="87"/>
  <c r="C432" i="115" s="1"/>
  <c r="I18" i="87"/>
  <c r="F18" i="87"/>
  <c r="C18" i="87"/>
  <c r="AD17" i="87"/>
  <c r="AA17" i="87"/>
  <c r="X17" i="87"/>
  <c r="U17" i="87"/>
  <c r="R17" i="87"/>
  <c r="O17" i="87"/>
  <c r="L17" i="87"/>
  <c r="I17" i="87"/>
  <c r="F17" i="87"/>
  <c r="C17" i="87"/>
  <c r="AD16" i="87"/>
  <c r="AA16" i="87"/>
  <c r="AA115" i="87" s="1"/>
  <c r="X16" i="87"/>
  <c r="X115" i="87" s="1"/>
  <c r="U16" i="87"/>
  <c r="U115" i="87" s="1"/>
  <c r="R16" i="87"/>
  <c r="R115" i="87" s="1"/>
  <c r="O16" i="87"/>
  <c r="L16" i="87"/>
  <c r="L115" i="87" s="1"/>
  <c r="I16" i="87"/>
  <c r="F16" i="87"/>
  <c r="C16" i="87"/>
  <c r="AD15" i="87"/>
  <c r="AA15" i="87"/>
  <c r="X15" i="87"/>
  <c r="U15" i="87"/>
  <c r="U114" i="87" s="1"/>
  <c r="R15" i="87"/>
  <c r="R114" i="87" s="1"/>
  <c r="O15" i="87"/>
  <c r="O114" i="87" s="1"/>
  <c r="L15" i="87"/>
  <c r="L114" i="87" s="1"/>
  <c r="I15" i="87"/>
  <c r="F15" i="87"/>
  <c r="C15" i="87"/>
  <c r="I14" i="87"/>
  <c r="C14" i="87"/>
  <c r="AD13" i="87"/>
  <c r="AA13" i="87"/>
  <c r="X13" i="87"/>
  <c r="U13" i="87"/>
  <c r="R13" i="87"/>
  <c r="O13" i="87"/>
  <c r="L13" i="87"/>
  <c r="I13" i="87"/>
  <c r="F13" i="87"/>
  <c r="C13" i="87"/>
  <c r="AD12" i="87"/>
  <c r="AA12" i="87"/>
  <c r="X12" i="87"/>
  <c r="U12" i="87"/>
  <c r="R12" i="87"/>
  <c r="O12" i="87"/>
  <c r="L12" i="87"/>
  <c r="I12" i="87"/>
  <c r="D139" i="112" s="1"/>
  <c r="F12" i="87"/>
  <c r="D15" i="112" s="1"/>
  <c r="C12" i="87"/>
  <c r="AD11" i="87"/>
  <c r="AC11" i="87"/>
  <c r="AA11" i="87"/>
  <c r="AA113" i="87" s="1"/>
  <c r="Z11" i="87"/>
  <c r="X11" i="87"/>
  <c r="X113" i="87" s="1"/>
  <c r="W11" i="87"/>
  <c r="U11" i="87"/>
  <c r="T11" i="87"/>
  <c r="R11" i="87"/>
  <c r="Q11" i="87"/>
  <c r="O11" i="87"/>
  <c r="N11" i="87"/>
  <c r="L11" i="87"/>
  <c r="L113" i="87" s="1"/>
  <c r="K11" i="87"/>
  <c r="I11" i="87"/>
  <c r="D138" i="112" s="1"/>
  <c r="F11" i="87"/>
  <c r="D14" i="112" s="1"/>
  <c r="E11" i="87"/>
  <c r="C11" i="87"/>
  <c r="AD10" i="87"/>
  <c r="AD112" i="87" s="1"/>
  <c r="AA10" i="87"/>
  <c r="AA112" i="87" s="1"/>
  <c r="X10" i="87"/>
  <c r="X112" i="87" s="1"/>
  <c r="U10" i="87"/>
  <c r="U112" i="87" s="1"/>
  <c r="R10" i="87"/>
  <c r="R112" i="87" s="1"/>
  <c r="O10" i="87"/>
  <c r="O112" i="87" s="1"/>
  <c r="L10" i="87"/>
  <c r="I10" i="87"/>
  <c r="D137" i="112" s="1"/>
  <c r="F10" i="87"/>
  <c r="D13" i="112" s="1"/>
  <c r="AD9" i="87"/>
  <c r="AD111" i="87" s="1"/>
  <c r="AA9" i="87"/>
  <c r="AA111" i="87" s="1"/>
  <c r="X9" i="87"/>
  <c r="X111" i="87" s="1"/>
  <c r="U9" i="87"/>
  <c r="U111" i="87" s="1"/>
  <c r="R9" i="87"/>
  <c r="O9" i="87"/>
  <c r="O111" i="87" s="1"/>
  <c r="L9" i="87"/>
  <c r="L111" i="87" s="1"/>
  <c r="I9" i="87"/>
  <c r="F9" i="87"/>
  <c r="AH8" i="87"/>
  <c r="AH10" i="87" s="1"/>
  <c r="AD8" i="87"/>
  <c r="AD110" i="87" s="1"/>
  <c r="AA8" i="87"/>
  <c r="AA110" i="87" s="1"/>
  <c r="X8" i="87"/>
  <c r="U8" i="87"/>
  <c r="U110" i="87" s="1"/>
  <c r="R8" i="87"/>
  <c r="O8" i="87"/>
  <c r="L8" i="87"/>
  <c r="L110" i="87" s="1"/>
  <c r="I8" i="87"/>
  <c r="F8" i="87"/>
  <c r="L279" i="62" s="1"/>
  <c r="C8" i="87"/>
  <c r="AH7" i="87"/>
  <c r="C439" i="115"/>
  <c r="C438" i="115"/>
  <c r="C437" i="115"/>
  <c r="C436" i="115"/>
  <c r="C434" i="115"/>
  <c r="C433" i="115"/>
  <c r="C431" i="115"/>
  <c r="C416" i="115"/>
  <c r="D415" i="115"/>
  <c r="C408" i="115"/>
  <c r="C407" i="115"/>
  <c r="E406" i="115"/>
  <c r="D381" i="115" a="1"/>
  <c r="D381" i="115" s="1"/>
  <c r="D380" i="115"/>
  <c r="D377" i="115" a="1"/>
  <c r="D375" i="115"/>
  <c r="C372" i="115"/>
  <c r="C369" i="115"/>
  <c r="C364" i="115"/>
  <c r="C363" i="115"/>
  <c r="D362" i="115" a="1"/>
  <c r="D362" i="115" s="1"/>
  <c r="C358" i="115"/>
  <c r="C417" i="115" s="1"/>
  <c r="E357" i="115"/>
  <c r="C357" i="115"/>
  <c r="D356" i="115"/>
  <c r="C351" i="115"/>
  <c r="C362" i="115" s="1"/>
  <c r="C344" i="115"/>
  <c r="C343" i="115"/>
  <c r="C360" i="115" s="1"/>
  <c r="C338" i="115"/>
  <c r="C337" i="115"/>
  <c r="D333" i="115"/>
  <c r="C323" i="115"/>
  <c r="B298" i="115"/>
  <c r="E280" i="115"/>
  <c r="E249" i="115"/>
  <c r="E248" i="115"/>
  <c r="E247" i="115"/>
  <c r="C246" i="115"/>
  <c r="E240" i="115"/>
  <c r="C239" i="115"/>
  <c r="C238" i="115"/>
  <c r="C237" i="115"/>
  <c r="C236" i="115"/>
  <c r="C234" i="115"/>
  <c r="C231" i="115"/>
  <c r="C230" i="115"/>
  <c r="E221" i="115"/>
  <c r="E218" i="115"/>
  <c r="E217" i="115"/>
  <c r="E216" i="115"/>
  <c r="E215" i="115"/>
  <c r="B214" i="115"/>
  <c r="E213" i="115"/>
  <c r="E212" i="115"/>
  <c r="E211" i="115"/>
  <c r="E210" i="115"/>
  <c r="E208" i="115"/>
  <c r="E207" i="115"/>
  <c r="E206" i="115"/>
  <c r="E203" i="115"/>
  <c r="E202" i="115"/>
  <c r="E201" i="115"/>
  <c r="D187" i="115" a="1"/>
  <c r="E184" i="115"/>
  <c r="E183" i="115"/>
  <c r="E182" i="115"/>
  <c r="E181" i="115"/>
  <c r="E180" i="115"/>
  <c r="E173" i="115"/>
  <c r="E172" i="115"/>
  <c r="E171" i="115"/>
  <c r="E170" i="115"/>
  <c r="E169" i="115"/>
  <c r="C136" i="115"/>
  <c r="C135" i="115"/>
  <c r="C134" i="115"/>
  <c r="C133" i="115"/>
  <c r="B131" i="115"/>
  <c r="C128" i="115"/>
  <c r="D127" i="115"/>
  <c r="B124" i="115"/>
  <c r="C122" i="115"/>
  <c r="C117" i="115"/>
  <c r="C200" i="115" s="1"/>
  <c r="D112" i="115"/>
  <c r="D103" i="115"/>
  <c r="D102" i="115"/>
  <c r="D335" i="115" s="1"/>
  <c r="D101" i="115"/>
  <c r="E130" i="115" s="1"/>
  <c r="D100" i="115"/>
  <c r="C84" i="115"/>
  <c r="C80" i="115"/>
  <c r="C79" i="115"/>
  <c r="C78" i="115"/>
  <c r="C76" i="115"/>
  <c r="C74" i="115"/>
  <c r="C72" i="115"/>
  <c r="C71" i="115"/>
  <c r="C70" i="115"/>
  <c r="C68" i="115"/>
  <c r="C66" i="115"/>
  <c r="B65" i="115"/>
  <c r="C64" i="115"/>
  <c r="C63" i="115"/>
  <c r="C62" i="115"/>
  <c r="C60" i="115"/>
  <c r="C58" i="115"/>
  <c r="B57" i="115"/>
  <c r="C56" i="115"/>
  <c r="C55" i="115"/>
  <c r="C54" i="115"/>
  <c r="C52" i="115"/>
  <c r="C50" i="115"/>
  <c r="C48" i="115"/>
  <c r="C103" i="115" s="1"/>
  <c r="C44" i="115"/>
  <c r="C43" i="115"/>
  <c r="C42" i="115"/>
  <c r="C41" i="115"/>
  <c r="C40" i="115"/>
  <c r="C39" i="115"/>
  <c r="C38" i="115"/>
  <c r="C37" i="115"/>
  <c r="C36" i="115"/>
  <c r="C35" i="115"/>
  <c r="C34" i="115"/>
  <c r="C33" i="115"/>
  <c r="C32" i="115"/>
  <c r="C31" i="115"/>
  <c r="C30" i="115"/>
  <c r="C29" i="115"/>
  <c r="C26" i="115"/>
  <c r="C25" i="115"/>
  <c r="C24" i="115"/>
  <c r="C19" i="115"/>
  <c r="E14" i="115"/>
  <c r="D14" i="115"/>
  <c r="E404" i="115" s="1"/>
  <c r="E13" i="115"/>
  <c r="E12" i="115"/>
  <c r="D12" i="115"/>
  <c r="E223" i="115" s="1"/>
  <c r="E11" i="115"/>
  <c r="E10" i="115"/>
  <c r="D10" i="115"/>
  <c r="D558" i="109"/>
  <c r="D557" i="109"/>
  <c r="C557" i="109"/>
  <c r="D556" i="109"/>
  <c r="D555" i="109"/>
  <c r="D551" i="109"/>
  <c r="C551" i="109"/>
  <c r="D550" i="109"/>
  <c r="D549" i="109"/>
  <c r="D547" i="109"/>
  <c r="D546" i="109"/>
  <c r="D545" i="109"/>
  <c r="C545" i="109"/>
  <c r="D544" i="109"/>
  <c r="D543" i="109"/>
  <c r="D541" i="109"/>
  <c r="D540" i="109"/>
  <c r="C540" i="109"/>
  <c r="D539" i="109"/>
  <c r="C539" i="109"/>
  <c r="D538" i="109"/>
  <c r="C538" i="109"/>
  <c r="D537" i="109"/>
  <c r="D536" i="109"/>
  <c r="D535" i="109"/>
  <c r="D534" i="109"/>
  <c r="D533" i="109"/>
  <c r="C533" i="109"/>
  <c r="D532" i="109"/>
  <c r="C532" i="109"/>
  <c r="D531" i="109"/>
  <c r="D530" i="109"/>
  <c r="D529" i="109"/>
  <c r="C529" i="109"/>
  <c r="D528" i="109"/>
  <c r="C527" i="109"/>
  <c r="D526" i="109"/>
  <c r="D525" i="109"/>
  <c r="D524" i="109"/>
  <c r="D523" i="109"/>
  <c r="D522" i="109"/>
  <c r="D521" i="109"/>
  <c r="C521" i="109"/>
  <c r="D520" i="109"/>
  <c r="C520" i="109"/>
  <c r="C526" i="109" s="1"/>
  <c r="D519" i="109"/>
  <c r="D518" i="109"/>
  <c r="D517" i="109"/>
  <c r="D516" i="109"/>
  <c r="D515" i="109"/>
  <c r="D514" i="109"/>
  <c r="C514" i="109"/>
  <c r="C513" i="109"/>
  <c r="D508" i="109"/>
  <c r="D507" i="109"/>
  <c r="D506" i="109"/>
  <c r="C505" i="109"/>
  <c r="C556" i="109" s="1"/>
  <c r="D504" i="109"/>
  <c r="D500" i="109"/>
  <c r="C499" i="109"/>
  <c r="C116" i="116" s="1"/>
  <c r="D498" i="109"/>
  <c r="D497" i="109"/>
  <c r="C497" i="109"/>
  <c r="D496" i="109"/>
  <c r="C496" i="109"/>
  <c r="D494" i="109"/>
  <c r="C493" i="109"/>
  <c r="C541" i="109" s="1"/>
  <c r="D492" i="109"/>
  <c r="D490" i="109"/>
  <c r="D486" i="109"/>
  <c r="C486" i="109"/>
  <c r="D485" i="109"/>
  <c r="C485" i="109"/>
  <c r="D484" i="109"/>
  <c r="D483" i="109"/>
  <c r="D482" i="109"/>
  <c r="C482" i="109"/>
  <c r="D481" i="109"/>
  <c r="D479" i="109"/>
  <c r="C475" i="109"/>
  <c r="D474" i="109"/>
  <c r="C470" i="109"/>
  <c r="C117" i="116" s="1"/>
  <c r="C469" i="109"/>
  <c r="C118" i="116" s="1"/>
  <c r="C467" i="109"/>
  <c r="C466" i="109"/>
  <c r="C500" i="109" s="1"/>
  <c r="D465" i="109"/>
  <c r="D461" i="109"/>
  <c r="C461" i="109"/>
  <c r="D460" i="109"/>
  <c r="C460" i="109"/>
  <c r="D459" i="109"/>
  <c r="D458" i="109"/>
  <c r="D454" i="109"/>
  <c r="C454" i="109"/>
  <c r="D453" i="109"/>
  <c r="D451" i="109"/>
  <c r="D447" i="109"/>
  <c r="C442" i="109"/>
  <c r="C120" i="116" s="1"/>
  <c r="D441" i="109"/>
  <c r="D437" i="109"/>
  <c r="C436" i="109"/>
  <c r="D435" i="109"/>
  <c r="D433" i="109"/>
  <c r="D429" i="109"/>
  <c r="C429" i="109"/>
  <c r="D428" i="109"/>
  <c r="C428" i="109"/>
  <c r="D426" i="109"/>
  <c r="C426" i="109"/>
  <c r="D425" i="109"/>
  <c r="D424" i="109"/>
  <c r="D423" i="109"/>
  <c r="C423" i="109"/>
  <c r="D422" i="109"/>
  <c r="C422" i="109"/>
  <c r="D420" i="109"/>
  <c r="C420" i="109"/>
  <c r="D419" i="109"/>
  <c r="D418" i="109"/>
  <c r="D411" i="109"/>
  <c r="D410" i="109"/>
  <c r="D407" i="109"/>
  <c r="C405" i="109"/>
  <c r="C123" i="116" s="1"/>
  <c r="D403" i="109" a="1"/>
  <c r="D403" i="109" s="1"/>
  <c r="C403" i="109"/>
  <c r="D402" i="109" a="1"/>
  <c r="D402" i="109"/>
  <c r="C402" i="109"/>
  <c r="D401" i="109" a="1"/>
  <c r="D401" i="109" s="1"/>
  <c r="C401" i="109"/>
  <c r="D399" i="109"/>
  <c r="D398" i="109"/>
  <c r="D396" i="109"/>
  <c r="C395" i="109"/>
  <c r="C437" i="109" s="1"/>
  <c r="D393" i="109"/>
  <c r="D392" i="109"/>
  <c r="D391" i="109"/>
  <c r="C388" i="109"/>
  <c r="C122" i="116" s="1"/>
  <c r="D386" i="109" a="1"/>
  <c r="D386" i="109" s="1"/>
  <c r="C386" i="109"/>
  <c r="D385" i="109" a="1"/>
  <c r="D385" i="109"/>
  <c r="C385" i="109"/>
  <c r="D384" i="109" a="1"/>
  <c r="D384" i="109" s="1"/>
  <c r="C384" i="109"/>
  <c r="D383" i="109"/>
  <c r="D382" i="109"/>
  <c r="D381" i="109"/>
  <c r="C378" i="109"/>
  <c r="D376" i="109"/>
  <c r="D375" i="109"/>
  <c r="D373" i="109"/>
  <c r="C371" i="109"/>
  <c r="C121" i="116" s="1"/>
  <c r="C370" i="109"/>
  <c r="D365" i="109"/>
  <c r="D362" i="109"/>
  <c r="C361" i="109"/>
  <c r="C435" i="109" s="1"/>
  <c r="D359" i="109"/>
  <c r="D353" i="109"/>
  <c r="D352" i="109"/>
  <c r="C350" i="109"/>
  <c r="C104" i="116" s="1"/>
  <c r="D348" i="109"/>
  <c r="D347" i="109"/>
  <c r="C346" i="109"/>
  <c r="C102" i="116" s="1"/>
  <c r="C345" i="109"/>
  <c r="C101" i="116" s="1"/>
  <c r="D344" i="109"/>
  <c r="D340" i="109"/>
  <c r="E337" i="109"/>
  <c r="D337" i="109"/>
  <c r="D331" i="109"/>
  <c r="D330" i="109"/>
  <c r="D329" i="109"/>
  <c r="C328" i="109"/>
  <c r="C95" i="116" s="1"/>
  <c r="C327" i="109"/>
  <c r="C94" i="116" s="1"/>
  <c r="C325" i="109"/>
  <c r="C92" i="116" s="1"/>
  <c r="C324" i="109"/>
  <c r="C91" i="116" s="1"/>
  <c r="C323" i="109"/>
  <c r="C90" i="116" s="1"/>
  <c r="C322" i="109"/>
  <c r="C321" i="109"/>
  <c r="E320" i="109"/>
  <c r="B317" i="109"/>
  <c r="B316" i="109"/>
  <c r="B313" i="109"/>
  <c r="B312" i="109"/>
  <c r="B306" i="109"/>
  <c r="B303" i="109" a="1"/>
  <c r="B303" i="109"/>
  <c r="D298" i="109"/>
  <c r="D297" i="109"/>
  <c r="D296" i="109"/>
  <c r="D293" i="109"/>
  <c r="D292" i="109"/>
  <c r="D291" i="109"/>
  <c r="D288" i="109"/>
  <c r="C288" i="109"/>
  <c r="C287" i="109"/>
  <c r="C329" i="109" s="1"/>
  <c r="C286" i="109"/>
  <c r="D285" i="109"/>
  <c r="C280" i="109"/>
  <c r="C279" i="109"/>
  <c r="D278" i="109"/>
  <c r="C276" i="109"/>
  <c r="C274" i="109"/>
  <c r="C97" i="116" s="1"/>
  <c r="D272" i="109"/>
  <c r="C267" i="109"/>
  <c r="C266" i="109"/>
  <c r="C98" i="116" s="1"/>
  <c r="C260" i="109"/>
  <c r="C259" i="109"/>
  <c r="C258" i="109"/>
  <c r="C65" i="116" s="1"/>
  <c r="C257" i="109"/>
  <c r="D251" i="109"/>
  <c r="C251" i="109"/>
  <c r="D250" i="109"/>
  <c r="D248" i="109"/>
  <c r="C245" i="109"/>
  <c r="C352" i="120" s="1"/>
  <c r="C238" i="109"/>
  <c r="C227" i="109"/>
  <c r="C226" i="109"/>
  <c r="C225" i="109"/>
  <c r="C223" i="109"/>
  <c r="C221" i="109"/>
  <c r="C219" i="109"/>
  <c r="C88" i="116" s="1"/>
  <c r="C218" i="109"/>
  <c r="C87" i="116" s="1"/>
  <c r="C217" i="109"/>
  <c r="C84" i="116" s="1"/>
  <c r="C215" i="109"/>
  <c r="C213" i="109"/>
  <c r="C83" i="116" s="1"/>
  <c r="B212" i="109"/>
  <c r="C211" i="109"/>
  <c r="C210" i="109"/>
  <c r="C209" i="109"/>
  <c r="C77" i="116" s="1"/>
  <c r="C207" i="109"/>
  <c r="C205" i="109"/>
  <c r="C76" i="116" s="1"/>
  <c r="C203" i="109"/>
  <c r="C73" i="116" s="1"/>
  <c r="C202" i="109"/>
  <c r="C74" i="116" s="1"/>
  <c r="C201" i="109"/>
  <c r="C70" i="116" s="1"/>
  <c r="C199" i="109"/>
  <c r="C197" i="109"/>
  <c r="C69" i="116" s="1"/>
  <c r="C195" i="109"/>
  <c r="E194" i="109"/>
  <c r="C189" i="109"/>
  <c r="C188" i="109"/>
  <c r="C187" i="109"/>
  <c r="C186" i="109"/>
  <c r="C185" i="109"/>
  <c r="C184" i="109"/>
  <c r="C183" i="109"/>
  <c r="C182" i="109"/>
  <c r="C181" i="109"/>
  <c r="C180" i="109"/>
  <c r="C179" i="109"/>
  <c r="C178" i="109"/>
  <c r="C177" i="109"/>
  <c r="C176" i="109"/>
  <c r="C175" i="109"/>
  <c r="C174" i="109"/>
  <c r="C171" i="109"/>
  <c r="C170" i="109"/>
  <c r="C169" i="109"/>
  <c r="C161" i="109"/>
  <c r="C160" i="109"/>
  <c r="B56" i="116" s="1"/>
  <c r="C159" i="109"/>
  <c r="C56" i="116" s="1"/>
  <c r="C158" i="109"/>
  <c r="C59" i="116" s="1"/>
  <c r="C157" i="109"/>
  <c r="C58" i="116" s="1"/>
  <c r="C156" i="109"/>
  <c r="C57" i="116" s="1"/>
  <c r="C155" i="109"/>
  <c r="C144" i="109"/>
  <c r="C27" i="116" s="1"/>
  <c r="C142" i="109"/>
  <c r="C141" i="109"/>
  <c r="C21" i="116" s="1"/>
  <c r="C140" i="109"/>
  <c r="C138" i="109"/>
  <c r="C137" i="109"/>
  <c r="C16" i="116" s="1"/>
  <c r="C132" i="109"/>
  <c r="D129" i="109"/>
  <c r="C129" i="109"/>
  <c r="D128" i="109"/>
  <c r="D127" i="109"/>
  <c r="C127" i="109"/>
  <c r="D126" i="109"/>
  <c r="D125" i="109"/>
  <c r="D123" i="109"/>
  <c r="C123" i="109"/>
  <c r="D122" i="109"/>
  <c r="C122" i="109"/>
  <c r="D121" i="109"/>
  <c r="D120" i="109"/>
  <c r="C120" i="109"/>
  <c r="D118" i="109"/>
  <c r="D116" i="109"/>
  <c r="D111" i="109"/>
  <c r="C110" i="109"/>
  <c r="C108" i="109"/>
  <c r="C20" i="116" s="1"/>
  <c r="C103" i="109"/>
  <c r="C30" i="116" s="1"/>
  <c r="C101" i="109"/>
  <c r="C15" i="116" s="1"/>
  <c r="C99" i="109"/>
  <c r="C96" i="109"/>
  <c r="C506" i="109" s="1"/>
  <c r="E95" i="109"/>
  <c r="C95" i="109"/>
  <c r="D90" i="109"/>
  <c r="C90" i="109"/>
  <c r="C89" i="109"/>
  <c r="C88" i="109"/>
  <c r="C87" i="109"/>
  <c r="D86" i="109"/>
  <c r="D85" i="109"/>
  <c r="D84" i="109"/>
  <c r="D78" i="109"/>
  <c r="D77" i="109"/>
  <c r="D75" i="109"/>
  <c r="D73" i="109"/>
  <c r="C72" i="109"/>
  <c r="D71" i="109"/>
  <c r="D70" i="109"/>
  <c r="D69" i="109"/>
  <c r="C69" i="109"/>
  <c r="C65" i="109"/>
  <c r="C26" i="116" s="1"/>
  <c r="C64" i="109"/>
  <c r="C63" i="109"/>
  <c r="C62" i="109"/>
  <c r="C61" i="109"/>
  <c r="C60" i="109"/>
  <c r="C86" i="109" s="1"/>
  <c r="C58" i="109"/>
  <c r="D51" i="109"/>
  <c r="D49" i="109"/>
  <c r="D47" i="109"/>
  <c r="C44" i="109"/>
  <c r="C70" i="109" s="1"/>
  <c r="D43" i="109"/>
  <c r="C42" i="109"/>
  <c r="C38" i="109"/>
  <c r="C36" i="109"/>
  <c r="C35" i="109"/>
  <c r="D33" i="109"/>
  <c r="D27" i="109"/>
  <c r="C27" i="109"/>
  <c r="D26" i="109"/>
  <c r="C26" i="109"/>
  <c r="D25" i="109"/>
  <c r="C25" i="109"/>
  <c r="D24" i="109"/>
  <c r="C24" i="109"/>
  <c r="D23" i="109"/>
  <c r="C23" i="109"/>
  <c r="D22" i="109"/>
  <c r="C22" i="109"/>
  <c r="D21" i="109"/>
  <c r="C21" i="109"/>
  <c r="D20" i="109"/>
  <c r="C20" i="109"/>
  <c r="D15" i="109"/>
  <c r="C113" i="109" s="1"/>
  <c r="D14" i="109"/>
  <c r="D13" i="109"/>
  <c r="D12" i="109"/>
  <c r="D11" i="109"/>
  <c r="E20" i="109" s="1"/>
  <c r="Q81" i="123"/>
  <c r="Q80" i="123"/>
  <c r="T78" i="123"/>
  <c r="Q78" i="123"/>
  <c r="N78" i="123"/>
  <c r="K78" i="123"/>
  <c r="H78" i="123"/>
  <c r="E78" i="123"/>
  <c r="B78" i="123"/>
  <c r="T77" i="123"/>
  <c r="Q77" i="123"/>
  <c r="N77" i="123"/>
  <c r="K77" i="123"/>
  <c r="H77" i="123"/>
  <c r="E77" i="123"/>
  <c r="B77" i="123"/>
  <c r="Q76" i="123"/>
  <c r="T75" i="123"/>
  <c r="Q75" i="123"/>
  <c r="N75" i="123"/>
  <c r="K75" i="123"/>
  <c r="H75" i="123"/>
  <c r="E75" i="123"/>
  <c r="B75" i="123"/>
  <c r="T74" i="123"/>
  <c r="Q74" i="123"/>
  <c r="N74" i="123"/>
  <c r="K74" i="123"/>
  <c r="H74" i="123"/>
  <c r="E74" i="123"/>
  <c r="B74" i="123"/>
  <c r="T73" i="123"/>
  <c r="N73" i="123"/>
  <c r="K73" i="123"/>
  <c r="H73" i="123"/>
  <c r="E73" i="123"/>
  <c r="B73" i="123"/>
  <c r="T72" i="123"/>
  <c r="N72" i="123"/>
  <c r="K72" i="123"/>
  <c r="H72" i="123"/>
  <c r="E72" i="123"/>
  <c r="B72" i="123"/>
  <c r="T71" i="123"/>
  <c r="N71" i="123"/>
  <c r="K71" i="123"/>
  <c r="H71" i="123"/>
  <c r="E71" i="123"/>
  <c r="B71" i="123"/>
  <c r="Q67" i="123"/>
  <c r="Q66" i="123"/>
  <c r="Q65" i="123"/>
  <c r="T64" i="123"/>
  <c r="Q64" i="123"/>
  <c r="N64" i="123"/>
  <c r="K64" i="123"/>
  <c r="H64" i="123"/>
  <c r="E64" i="123"/>
  <c r="B64" i="123"/>
  <c r="T63" i="123"/>
  <c r="Q63" i="123"/>
  <c r="N63" i="123"/>
  <c r="K63" i="123"/>
  <c r="H63" i="123"/>
  <c r="E63" i="123"/>
  <c r="B63" i="123"/>
  <c r="T62" i="123"/>
  <c r="Q62" i="123"/>
  <c r="N62" i="123"/>
  <c r="K62" i="123"/>
  <c r="H62" i="123"/>
  <c r="E62" i="123"/>
  <c r="B62" i="123"/>
  <c r="T61" i="123"/>
  <c r="Q61" i="123"/>
  <c r="N61" i="123"/>
  <c r="K61" i="123"/>
  <c r="H61" i="123"/>
  <c r="E61" i="123"/>
  <c r="B61" i="123"/>
  <c r="T60" i="123"/>
  <c r="Q60" i="123"/>
  <c r="N60" i="123"/>
  <c r="K60" i="123"/>
  <c r="H60" i="123"/>
  <c r="E60" i="123"/>
  <c r="B60" i="123"/>
  <c r="T59" i="123"/>
  <c r="Q59" i="123"/>
  <c r="N59" i="123"/>
  <c r="K59" i="123"/>
  <c r="H59" i="123"/>
  <c r="E59" i="123"/>
  <c r="B59" i="123"/>
  <c r="T58" i="123"/>
  <c r="N58" i="123"/>
  <c r="K58" i="123"/>
  <c r="H58" i="123"/>
  <c r="E58" i="123"/>
  <c r="B58" i="123"/>
  <c r="T57" i="123"/>
  <c r="N57" i="123"/>
  <c r="K57" i="123"/>
  <c r="H57" i="123"/>
  <c r="E57" i="123"/>
  <c r="B57" i="123"/>
  <c r="T56" i="123"/>
  <c r="N56" i="123"/>
  <c r="K56" i="123"/>
  <c r="H56" i="123"/>
  <c r="E56" i="123"/>
  <c r="B56" i="123"/>
  <c r="C50" i="123"/>
  <c r="C49" i="123"/>
  <c r="R41" i="123"/>
  <c r="P41" i="123"/>
  <c r="R40" i="123"/>
  <c r="P40" i="123"/>
  <c r="R38" i="123"/>
  <c r="P38" i="123"/>
  <c r="R37" i="123"/>
  <c r="P37" i="123"/>
  <c r="R35" i="123"/>
  <c r="P35" i="123"/>
  <c r="R34" i="123"/>
  <c r="P34" i="123"/>
  <c r="R32" i="123"/>
  <c r="R31" i="123"/>
  <c r="P31" i="123"/>
  <c r="R30" i="123"/>
  <c r="R29" i="123"/>
  <c r="R28" i="123"/>
  <c r="P28" i="123"/>
  <c r="R26" i="123"/>
  <c r="P26" i="123"/>
  <c r="R25" i="123"/>
  <c r="P25" i="123"/>
  <c r="R24" i="123"/>
  <c r="P24" i="123"/>
  <c r="R23" i="123"/>
  <c r="P23" i="123"/>
  <c r="R22" i="123"/>
  <c r="P22" i="123"/>
  <c r="R20" i="123"/>
  <c r="P20" i="123"/>
  <c r="R19" i="123"/>
  <c r="P19" i="123"/>
  <c r="R18" i="123"/>
  <c r="P18" i="123"/>
  <c r="B18" i="123"/>
  <c r="R17" i="123"/>
  <c r="P17" i="123"/>
  <c r="R15" i="123"/>
  <c r="P15" i="123"/>
  <c r="B15" i="123"/>
  <c r="R14" i="123"/>
  <c r="P14" i="123"/>
  <c r="B14" i="123"/>
  <c r="B13" i="123"/>
  <c r="R12" i="123"/>
  <c r="P12" i="123"/>
  <c r="R11" i="123"/>
  <c r="P11" i="123"/>
  <c r="B11" i="123"/>
  <c r="C99" i="115" s="1"/>
  <c r="R9" i="123"/>
  <c r="P9" i="123"/>
  <c r="C9" i="123"/>
  <c r="R8" i="123"/>
  <c r="P8" i="123"/>
  <c r="D395" i="65"/>
  <c r="B395" i="65"/>
  <c r="D394" i="65"/>
  <c r="B394" i="65"/>
  <c r="D393" i="65"/>
  <c r="C393" i="65"/>
  <c r="B393" i="65"/>
  <c r="D392" i="65"/>
  <c r="B392" i="65"/>
  <c r="D391" i="65"/>
  <c r="B391" i="65"/>
  <c r="D390" i="65"/>
  <c r="C390" i="65"/>
  <c r="B390" i="65"/>
  <c r="D389" i="65"/>
  <c r="C389" i="65"/>
  <c r="B389" i="65"/>
  <c r="D388" i="65"/>
  <c r="C388" i="65"/>
  <c r="B388" i="65"/>
  <c r="D387" i="65"/>
  <c r="B387" i="65"/>
  <c r="D386" i="65"/>
  <c r="C386" i="65"/>
  <c r="B386" i="65"/>
  <c r="D385" i="65"/>
  <c r="B385" i="65"/>
  <c r="D384" i="65"/>
  <c r="B384" i="65"/>
  <c r="D383" i="65"/>
  <c r="C383" i="65"/>
  <c r="B383" i="65"/>
  <c r="D382" i="65"/>
  <c r="C382" i="65"/>
  <c r="B382" i="65"/>
  <c r="D381" i="65"/>
  <c r="B381" i="65"/>
  <c r="D380" i="65"/>
  <c r="B380" i="65"/>
  <c r="D378" i="65"/>
  <c r="B378" i="65"/>
  <c r="D377" i="65"/>
  <c r="B377" i="65"/>
  <c r="D376" i="65"/>
  <c r="B376" i="65"/>
  <c r="D375" i="65"/>
  <c r="B375" i="65"/>
  <c r="C373" i="65"/>
  <c r="B373" i="65"/>
  <c r="D370" i="65"/>
  <c r="D367" i="65"/>
  <c r="C367" i="65"/>
  <c r="D366" i="65"/>
  <c r="C366" i="65"/>
  <c r="D365" i="65"/>
  <c r="D363" i="65"/>
  <c r="D362" i="65"/>
  <c r="D361" i="65"/>
  <c r="C361" i="65"/>
  <c r="C360" i="65"/>
  <c r="D359" i="65"/>
  <c r="C359" i="65"/>
  <c r="D358" i="65"/>
  <c r="C358" i="65"/>
  <c r="B357" i="65"/>
  <c r="D356" i="65"/>
  <c r="D355" i="65"/>
  <c r="D354" i="65"/>
  <c r="C354" i="65"/>
  <c r="C353" i="65"/>
  <c r="C177" i="85" s="1"/>
  <c r="D352" i="65"/>
  <c r="D351" i="65"/>
  <c r="C351" i="65"/>
  <c r="C347" i="65"/>
  <c r="C346" i="65"/>
  <c r="C51" i="116" s="1"/>
  <c r="D344" i="65"/>
  <c r="C344" i="65"/>
  <c r="D343" i="65"/>
  <c r="C343" i="65"/>
  <c r="D342" i="65"/>
  <c r="C342" i="65"/>
  <c r="D341" i="65"/>
  <c r="C329" i="65"/>
  <c r="C326" i="65"/>
  <c r="E321" i="65"/>
  <c r="E320" i="65"/>
  <c r="E319" i="65"/>
  <c r="C318" i="65"/>
  <c r="C314" i="65"/>
  <c r="C311" i="65"/>
  <c r="C310" i="65"/>
  <c r="C370" i="65" s="1"/>
  <c r="C309" i="65"/>
  <c r="C369" i="65" s="1"/>
  <c r="C308" i="65"/>
  <c r="C306" i="65"/>
  <c r="E305" i="65"/>
  <c r="E304" i="65"/>
  <c r="C303" i="65"/>
  <c r="C365" i="65" s="1"/>
  <c r="E302" i="65"/>
  <c r="C302" i="65"/>
  <c r="E290" i="65"/>
  <c r="E289" i="65"/>
  <c r="E288" i="65"/>
  <c r="E287" i="65"/>
  <c r="B286" i="65"/>
  <c r="E285" i="65"/>
  <c r="E284" i="65"/>
  <c r="E283" i="65"/>
  <c r="E282" i="65"/>
  <c r="E280" i="65"/>
  <c r="E279" i="65"/>
  <c r="E278" i="65"/>
  <c r="E275" i="65"/>
  <c r="E274" i="65"/>
  <c r="E273" i="65"/>
  <c r="E270" i="65"/>
  <c r="D270" i="65"/>
  <c r="E269" i="65"/>
  <c r="E268" i="65"/>
  <c r="E267" i="65"/>
  <c r="E266" i="65"/>
  <c r="E265" i="65"/>
  <c r="E264" i="65"/>
  <c r="C264" i="65"/>
  <c r="E263" i="65"/>
  <c r="E262" i="65"/>
  <c r="E261" i="65"/>
  <c r="E259" i="65"/>
  <c r="D259" i="65"/>
  <c r="E258" i="65"/>
  <c r="E257" i="65"/>
  <c r="E256" i="65"/>
  <c r="E255" i="65"/>
  <c r="E254" i="65"/>
  <c r="E253" i="65"/>
  <c r="C253" i="65"/>
  <c r="E252" i="65"/>
  <c r="E251" i="65"/>
  <c r="E250" i="65"/>
  <c r="D248" i="65"/>
  <c r="E245" i="65"/>
  <c r="E244" i="65"/>
  <c r="E243" i="65"/>
  <c r="E242" i="65"/>
  <c r="C242" i="65"/>
  <c r="E241" i="65"/>
  <c r="D228" i="65"/>
  <c r="D227" i="65"/>
  <c r="D224" i="65"/>
  <c r="D223" i="65"/>
  <c r="D222" i="65"/>
  <c r="D221" i="65"/>
  <c r="D218" i="65"/>
  <c r="D215" i="65"/>
  <c r="D214" i="65"/>
  <c r="D213" i="65" a="1"/>
  <c r="D213" i="65"/>
  <c r="C208" i="65"/>
  <c r="C207" i="65"/>
  <c r="C206" i="65"/>
  <c r="C205" i="65"/>
  <c r="B203" i="65"/>
  <c r="D202" i="65"/>
  <c r="C201" i="65"/>
  <c r="B197" i="65"/>
  <c r="D195" i="65"/>
  <c r="C189" i="65"/>
  <c r="C182" i="65"/>
  <c r="C375" i="65" s="1"/>
  <c r="C180" i="65"/>
  <c r="C378" i="65" s="1"/>
  <c r="C178" i="65"/>
  <c r="C377" i="65" s="1"/>
  <c r="C176" i="65"/>
  <c r="C376" i="65" s="1"/>
  <c r="C168" i="65"/>
  <c r="E164" i="65"/>
  <c r="C163" i="65"/>
  <c r="C250" i="65" s="1"/>
  <c r="C150" i="65"/>
  <c r="C51" i="119" s="1"/>
  <c r="D149" i="65"/>
  <c r="C148" i="65"/>
  <c r="C434" i="109" s="1"/>
  <c r="D139" i="65"/>
  <c r="C139" i="65"/>
  <c r="D138" i="65"/>
  <c r="D137" i="65"/>
  <c r="D200" i="65" s="1"/>
  <c r="D136" i="65"/>
  <c r="D194" i="65" s="1"/>
  <c r="C135" i="65"/>
  <c r="C132" i="65"/>
  <c r="C130" i="65"/>
  <c r="C128" i="65"/>
  <c r="C126" i="65"/>
  <c r="C122" i="65"/>
  <c r="C115" i="65"/>
  <c r="C114" i="65"/>
  <c r="C113" i="65"/>
  <c r="C111" i="65"/>
  <c r="C109" i="65"/>
  <c r="C107" i="65"/>
  <c r="C106" i="65"/>
  <c r="C105" i="65"/>
  <c r="C103" i="65"/>
  <c r="C101" i="65"/>
  <c r="B100" i="65"/>
  <c r="C99" i="65"/>
  <c r="C98" i="65"/>
  <c r="C97" i="65"/>
  <c r="C95" i="65"/>
  <c r="C93" i="65"/>
  <c r="B92" i="65"/>
  <c r="C91" i="65"/>
  <c r="C90" i="65"/>
  <c r="C89" i="65"/>
  <c r="C87" i="65"/>
  <c r="C85" i="65"/>
  <c r="C83" i="65"/>
  <c r="C78" i="65"/>
  <c r="C77" i="65"/>
  <c r="C76" i="65"/>
  <c r="C75" i="65"/>
  <c r="C74" i="65"/>
  <c r="C73" i="65"/>
  <c r="C72" i="65"/>
  <c r="C71" i="65"/>
  <c r="C70" i="65"/>
  <c r="C69" i="65"/>
  <c r="C68" i="65"/>
  <c r="C67" i="65"/>
  <c r="C66" i="65"/>
  <c r="C65" i="65"/>
  <c r="C64" i="65"/>
  <c r="C63" i="65"/>
  <c r="C391" i="65" s="1"/>
  <c r="C60" i="65"/>
  <c r="C59" i="65"/>
  <c r="C58" i="65"/>
  <c r="C341" i="65" s="1"/>
  <c r="C43" i="65"/>
  <c r="C31" i="65"/>
  <c r="E23" i="65"/>
  <c r="C23" i="65"/>
  <c r="E18" i="65"/>
  <c r="E17" i="65"/>
  <c r="E16" i="65"/>
  <c r="C16" i="65"/>
  <c r="E15" i="65"/>
  <c r="E14" i="65"/>
  <c r="E13" i="65"/>
  <c r="D13" i="65"/>
  <c r="E12" i="65"/>
  <c r="E11" i="65"/>
  <c r="D11" i="65"/>
  <c r="D10" i="65"/>
  <c r="D14" i="65" s="1"/>
  <c r="C10" i="65"/>
  <c r="C358" i="118"/>
  <c r="C356" i="118"/>
  <c r="D355" i="118" a="1"/>
  <c r="D355" i="118"/>
  <c r="D354" i="118"/>
  <c r="C354" i="118"/>
  <c r="D351" i="118" a="1"/>
  <c r="D351" i="118" s="1"/>
  <c r="D350" i="118"/>
  <c r="D347" i="118" a="1"/>
  <c r="D347" i="118" s="1"/>
  <c r="D346" i="118"/>
  <c r="D343" i="118" a="1"/>
  <c r="D343" i="118"/>
  <c r="D342" i="118"/>
  <c r="D336" i="118"/>
  <c r="D333" i="118"/>
  <c r="C333" i="118"/>
  <c r="C328" i="118"/>
  <c r="C325" i="118"/>
  <c r="D324" i="118"/>
  <c r="C321" i="118"/>
  <c r="D320" i="118"/>
  <c r="C320" i="118"/>
  <c r="C317" i="118"/>
  <c r="C316" i="118"/>
  <c r="C315" i="118"/>
  <c r="C314" i="118"/>
  <c r="D310" i="118"/>
  <c r="C310" i="118"/>
  <c r="C309" i="118"/>
  <c r="C355" i="118" s="1"/>
  <c r="C308" i="118"/>
  <c r="C351" i="118" s="1"/>
  <c r="C307" i="118"/>
  <c r="C347" i="118" s="1"/>
  <c r="C306" i="118"/>
  <c r="C343" i="118" s="1"/>
  <c r="C305" i="118"/>
  <c r="C304" i="118"/>
  <c r="C303" i="118"/>
  <c r="C302" i="118"/>
  <c r="C295" i="118"/>
  <c r="C294" i="118"/>
  <c r="C293" i="118"/>
  <c r="D283" i="118"/>
  <c r="D282" i="118" a="1"/>
  <c r="D282" i="118"/>
  <c r="D279" i="118"/>
  <c r="D278" i="118" a="1"/>
  <c r="D278" i="118"/>
  <c r="D275" i="118"/>
  <c r="D274" i="118" a="1"/>
  <c r="D274" i="118"/>
  <c r="D271" i="118"/>
  <c r="D270" i="118" a="1"/>
  <c r="D270" i="118" s="1"/>
  <c r="D267" i="118"/>
  <c r="D261" i="118" a="1"/>
  <c r="D261" i="118"/>
  <c r="C254" i="118"/>
  <c r="C250" i="118"/>
  <c r="C267" i="118" s="1"/>
  <c r="C247" i="118"/>
  <c r="D246" i="118"/>
  <c r="D243" i="118"/>
  <c r="C243" i="118"/>
  <c r="C242" i="118"/>
  <c r="C239" i="118"/>
  <c r="C238" i="118"/>
  <c r="C237" i="118"/>
  <c r="C236" i="118"/>
  <c r="D232" i="118" a="1"/>
  <c r="D232" i="118"/>
  <c r="C232" i="118"/>
  <c r="C231" i="118"/>
  <c r="C283" i="118" s="1"/>
  <c r="C230" i="118"/>
  <c r="C279" i="118" s="1"/>
  <c r="C229" i="118"/>
  <c r="C275" i="118" s="1"/>
  <c r="C228" i="118"/>
  <c r="C271" i="118" s="1"/>
  <c r="C227" i="118"/>
  <c r="C282" i="118" s="1"/>
  <c r="C226" i="118"/>
  <c r="C278" i="118" s="1"/>
  <c r="C225" i="118"/>
  <c r="C274" i="118" s="1"/>
  <c r="C224" i="118"/>
  <c r="C270" i="118" s="1"/>
  <c r="C217" i="118"/>
  <c r="C216" i="118"/>
  <c r="C214" i="118"/>
  <c r="C261" i="118" s="1"/>
  <c r="C186" i="118"/>
  <c r="D177" i="118"/>
  <c r="C173" i="118"/>
  <c r="C172" i="118"/>
  <c r="C171" i="118"/>
  <c r="C170" i="118"/>
  <c r="D168" i="118" a="1"/>
  <c r="D168" i="118" s="1"/>
  <c r="C166" i="118"/>
  <c r="D165" i="118"/>
  <c r="D164" i="118"/>
  <c r="C163" i="118"/>
  <c r="C161" i="118"/>
  <c r="C159" i="118"/>
  <c r="C156" i="118"/>
  <c r="C153" i="118"/>
  <c r="C149" i="118"/>
  <c r="D148" i="118"/>
  <c r="C148" i="118"/>
  <c r="C146" i="118"/>
  <c r="C145" i="118"/>
  <c r="C144" i="118"/>
  <c r="C143" i="118"/>
  <c r="D139" i="118"/>
  <c r="C138" i="118"/>
  <c r="C168" i="118" s="1"/>
  <c r="C137" i="118"/>
  <c r="C130" i="118"/>
  <c r="C129" i="118"/>
  <c r="C128" i="118"/>
  <c r="C165" i="118" s="1"/>
  <c r="E127" i="118"/>
  <c r="C116" i="118"/>
  <c r="C115" i="118"/>
  <c r="C114" i="118"/>
  <c r="C113" i="118"/>
  <c r="D110" i="118" a="1"/>
  <c r="D110" i="118" s="1"/>
  <c r="C109" i="118"/>
  <c r="D107" i="118" a="1"/>
  <c r="D107" i="118"/>
  <c r="D106" i="118" a="1"/>
  <c r="D106" i="118"/>
  <c r="D105" i="118" a="1"/>
  <c r="D105" i="118"/>
  <c r="C100" i="118"/>
  <c r="C93" i="118"/>
  <c r="D92" i="118"/>
  <c r="D89" i="118"/>
  <c r="C89" i="118"/>
  <c r="C88" i="118"/>
  <c r="C85" i="118"/>
  <c r="C84" i="118"/>
  <c r="C83" i="118"/>
  <c r="C79" i="118"/>
  <c r="C78" i="118"/>
  <c r="C110" i="118" s="1"/>
  <c r="C77" i="118"/>
  <c r="C70" i="118"/>
  <c r="C69" i="118"/>
  <c r="C68" i="118"/>
  <c r="E67" i="118"/>
  <c r="C56" i="118"/>
  <c r="C55" i="118"/>
  <c r="C54" i="118"/>
  <c r="C53" i="118"/>
  <c r="C52" i="118"/>
  <c r="C51" i="118"/>
  <c r="C50" i="118"/>
  <c r="C45" i="118"/>
  <c r="C39" i="118"/>
  <c r="C38" i="118"/>
  <c r="C37" i="118"/>
  <c r="C36" i="118"/>
  <c r="C35" i="118"/>
  <c r="C34" i="118"/>
  <c r="C33" i="118"/>
  <c r="C32" i="118"/>
  <c r="C27" i="118"/>
  <c r="C26" i="118"/>
  <c r="C23" i="118"/>
  <c r="C21" i="118"/>
  <c r="C19" i="118"/>
  <c r="C17" i="118"/>
  <c r="E11" i="118"/>
  <c r="D11" i="118"/>
  <c r="E10" i="118"/>
  <c r="D10" i="118"/>
  <c r="E9" i="118"/>
  <c r="D9" i="118"/>
  <c r="E8" i="118"/>
  <c r="D8" i="118"/>
  <c r="E7" i="118"/>
  <c r="D7" i="118"/>
  <c r="D575" i="108"/>
  <c r="C575" i="108"/>
  <c r="D574" i="108"/>
  <c r="D573" i="108"/>
  <c r="D572" i="108"/>
  <c r="D570" i="108"/>
  <c r="C570" i="108"/>
  <c r="D569" i="108"/>
  <c r="D568" i="108"/>
  <c r="D567" i="108"/>
  <c r="D566" i="108"/>
  <c r="D565" i="108"/>
  <c r="C565" i="108"/>
  <c r="D564" i="108"/>
  <c r="C564" i="108"/>
  <c r="D563" i="108"/>
  <c r="D562" i="108"/>
  <c r="D561" i="108"/>
  <c r="D560" i="108"/>
  <c r="D559" i="108"/>
  <c r="D558" i="108"/>
  <c r="C558" i="108"/>
  <c r="D557" i="108"/>
  <c r="C557" i="108" a="1"/>
  <c r="C557" i="108" s="1"/>
  <c r="D556" i="108"/>
  <c r="C556" i="108"/>
  <c r="D555" i="108"/>
  <c r="D554" i="108"/>
  <c r="D553" i="108"/>
  <c r="D552" i="108"/>
  <c r="C552" i="108"/>
  <c r="D551" i="108"/>
  <c r="C551" i="108"/>
  <c r="D550" i="108"/>
  <c r="D549" i="108"/>
  <c r="C549" i="108"/>
  <c r="D548" i="108"/>
  <c r="D547" i="108"/>
  <c r="D546" i="108"/>
  <c r="C546" i="108"/>
  <c r="D545" i="108"/>
  <c r="D544" i="108"/>
  <c r="C544" i="108"/>
  <c r="D543" i="108"/>
  <c r="D542" i="108"/>
  <c r="C542" i="108"/>
  <c r="D541" i="108"/>
  <c r="D540" i="108"/>
  <c r="C540" i="108"/>
  <c r="D539" i="108"/>
  <c r="D538" i="108"/>
  <c r="D537" i="108"/>
  <c r="D536" i="108"/>
  <c r="D535" i="108"/>
  <c r="D534" i="108"/>
  <c r="D533" i="108"/>
  <c r="C532" i="108"/>
  <c r="C531" i="108"/>
  <c r="D529" i="108"/>
  <c r="D527" i="108"/>
  <c r="D525" i="108"/>
  <c r="C525" i="108"/>
  <c r="D524" i="108"/>
  <c r="C523" i="108"/>
  <c r="C522" i="108"/>
  <c r="C573" i="108" s="1"/>
  <c r="D521" i="108"/>
  <c r="D519" i="108"/>
  <c r="C518" i="108"/>
  <c r="C134" i="113" s="1"/>
  <c r="D516" i="108"/>
  <c r="C516" i="108"/>
  <c r="D515" i="108"/>
  <c r="C515" i="108"/>
  <c r="D513" i="108"/>
  <c r="C512" i="108"/>
  <c r="C560" i="108" s="1"/>
  <c r="D511" i="108" a="1"/>
  <c r="D511" i="108" s="1"/>
  <c r="D507" i="108"/>
  <c r="C507" i="108"/>
  <c r="D506" i="108"/>
  <c r="C506" i="108"/>
  <c r="D504" i="108"/>
  <c r="D503" i="108"/>
  <c r="C503" i="108"/>
  <c r="D502" i="108" a="1"/>
  <c r="D502" i="108" s="1"/>
  <c r="D500" i="108"/>
  <c r="C498" i="108"/>
  <c r="D497" i="108"/>
  <c r="C495" i="108"/>
  <c r="C135" i="113" s="1"/>
  <c r="C494" i="108"/>
  <c r="C136" i="113" s="1"/>
  <c r="C492" i="108"/>
  <c r="C491" i="108"/>
  <c r="C519" i="108" s="1"/>
  <c r="D488" i="108"/>
  <c r="C488" i="108"/>
  <c r="D487" i="108"/>
  <c r="D486" i="108"/>
  <c r="D485" i="108"/>
  <c r="D483" i="108"/>
  <c r="C483" i="108"/>
  <c r="D482" i="108"/>
  <c r="D480" i="108"/>
  <c r="D478" i="108"/>
  <c r="D476" i="108"/>
  <c r="C475" i="108"/>
  <c r="C138" i="113" s="1"/>
  <c r="D474" i="108"/>
  <c r="D472" i="108"/>
  <c r="C472" i="108"/>
  <c r="C471" i="108"/>
  <c r="D470" i="108"/>
  <c r="D468" i="108"/>
  <c r="D466" i="108"/>
  <c r="C466" i="108"/>
  <c r="D465" i="108"/>
  <c r="C465" i="108"/>
  <c r="D463" i="108"/>
  <c r="C463" i="108"/>
  <c r="D462" i="108"/>
  <c r="D461" i="108"/>
  <c r="C461" i="108"/>
  <c r="D460" i="108"/>
  <c r="C460" i="108"/>
  <c r="D459" i="108"/>
  <c r="C459" i="108"/>
  <c r="D457" i="108"/>
  <c r="C457" i="108"/>
  <c r="D456" i="108"/>
  <c r="D455" i="108"/>
  <c r="C455" i="108"/>
  <c r="D449" i="108"/>
  <c r="C448" i="108"/>
  <c r="D446" i="108"/>
  <c r="C444" i="108"/>
  <c r="C141" i="113" s="1"/>
  <c r="D442" i="108"/>
  <c r="C442" i="108"/>
  <c r="D441" i="108"/>
  <c r="C441" i="108"/>
  <c r="D440" i="108"/>
  <c r="C440" i="108"/>
  <c r="D438" i="108"/>
  <c r="D437" i="108"/>
  <c r="D435" i="108"/>
  <c r="C434" i="108"/>
  <c r="C487" i="108" s="1"/>
  <c r="D432" i="108"/>
  <c r="D431" i="108"/>
  <c r="C431" i="108"/>
  <c r="C427" i="108"/>
  <c r="C140" i="113" s="1"/>
  <c r="C426" i="108"/>
  <c r="D425" i="108"/>
  <c r="C425" i="108"/>
  <c r="D424" i="108"/>
  <c r="C424" i="108"/>
  <c r="D423" i="108"/>
  <c r="C423" i="108"/>
  <c r="D421" i="108"/>
  <c r="D420" i="108"/>
  <c r="D418" i="108"/>
  <c r="C417" i="108"/>
  <c r="C486" i="108" s="1"/>
  <c r="D415" i="108"/>
  <c r="D414" i="108"/>
  <c r="D412" i="108"/>
  <c r="C410" i="108"/>
  <c r="C139" i="113" s="1"/>
  <c r="D404" i="108"/>
  <c r="C400" i="108"/>
  <c r="C470" i="108" s="1"/>
  <c r="D391" i="108"/>
  <c r="D390" i="108"/>
  <c r="C389" i="108"/>
  <c r="C122" i="113" s="1"/>
  <c r="D387" i="108"/>
  <c r="C387" i="108"/>
  <c r="D386" i="108"/>
  <c r="C384" i="108"/>
  <c r="C119" i="113" s="1"/>
  <c r="D383" i="108"/>
  <c r="D381" i="108"/>
  <c r="E378" i="108"/>
  <c r="D378" i="108"/>
  <c r="D373" i="108"/>
  <c r="D372" i="108"/>
  <c r="C372" i="108"/>
  <c r="C368" i="108"/>
  <c r="C93" i="113" s="1"/>
  <c r="C364" i="108"/>
  <c r="C363" i="108"/>
  <c r="E362" i="108"/>
  <c r="B351" i="108"/>
  <c r="B349" i="108"/>
  <c r="B345" i="108" a="1"/>
  <c r="B356" i="108" s="1"/>
  <c r="D340" i="108"/>
  <c r="C340" i="108"/>
  <c r="D336" i="108"/>
  <c r="D335" i="108"/>
  <c r="C335" i="108"/>
  <c r="D332" i="108"/>
  <c r="C332" i="108"/>
  <c r="D331" i="108"/>
  <c r="C331" i="108"/>
  <c r="D329" i="108"/>
  <c r="C327" i="108"/>
  <c r="C326" i="108"/>
  <c r="C217" i="63" s="1"/>
  <c r="C325" i="108"/>
  <c r="C324" i="108"/>
  <c r="D323" i="108"/>
  <c r="C323" i="108"/>
  <c r="D321" i="108"/>
  <c r="C319" i="108"/>
  <c r="C312" i="108"/>
  <c r="C311" i="108"/>
  <c r="C99" i="113" s="1"/>
  <c r="C307" i="108"/>
  <c r="C67" i="113" s="1"/>
  <c r="C306" i="108"/>
  <c r="C66" i="113" s="1"/>
  <c r="D298" i="108"/>
  <c r="C298" i="108"/>
  <c r="D297" i="108"/>
  <c r="C293" i="108"/>
  <c r="C292" i="108"/>
  <c r="C291" i="108"/>
  <c r="C290" i="108"/>
  <c r="C288" i="108"/>
  <c r="C286" i="108"/>
  <c r="C283" i="108"/>
  <c r="C282" i="108"/>
  <c r="C281" i="108"/>
  <c r="C280" i="108"/>
  <c r="E268" i="108"/>
  <c r="E260" i="108"/>
  <c r="E252" i="108"/>
  <c r="C250" i="108"/>
  <c r="E249" i="108"/>
  <c r="C218" i="108"/>
  <c r="C217" i="108"/>
  <c r="B57" i="113" s="1" a="1"/>
  <c r="B57" i="113" s="1"/>
  <c r="C216" i="108"/>
  <c r="C57" i="113" s="1"/>
  <c r="C215" i="108"/>
  <c r="C60" i="113" s="1"/>
  <c r="C214" i="108"/>
  <c r="C59" i="113" s="1"/>
  <c r="C213" i="108"/>
  <c r="C58" i="113" s="1"/>
  <c r="C201" i="108"/>
  <c r="C27" i="113" s="1"/>
  <c r="C199" i="108"/>
  <c r="C22" i="113" s="1"/>
  <c r="C198" i="108"/>
  <c r="C21" i="113" s="1"/>
  <c r="C197" i="108"/>
  <c r="C195" i="108"/>
  <c r="C17" i="113" s="1"/>
  <c r="C194" i="108"/>
  <c r="C16" i="113" s="1"/>
  <c r="C193" i="108"/>
  <c r="D186" i="108"/>
  <c r="C186" i="108"/>
  <c r="D185" i="108"/>
  <c r="D184" i="108"/>
  <c r="D183" i="108"/>
  <c r="D182" i="108"/>
  <c r="C182" i="108"/>
  <c r="D180" i="108"/>
  <c r="C180" i="108"/>
  <c r="D179" i="108"/>
  <c r="C179" i="108"/>
  <c r="D178" i="108"/>
  <c r="D177" i="108"/>
  <c r="D175" i="108"/>
  <c r="C175" i="108"/>
  <c r="C174" i="108"/>
  <c r="D173" i="108"/>
  <c r="E171" i="108"/>
  <c r="E170" i="108"/>
  <c r="D168" i="108"/>
  <c r="E167" i="108"/>
  <c r="C167" i="108"/>
  <c r="C34" i="113" s="1"/>
  <c r="C166" i="108"/>
  <c r="C165" i="108"/>
  <c r="C20" i="113" s="1"/>
  <c r="E164" i="108"/>
  <c r="E163" i="108"/>
  <c r="C163" i="108"/>
  <c r="C178" i="108" s="1"/>
  <c r="E160" i="108"/>
  <c r="C160" i="108"/>
  <c r="C31" i="113" s="1"/>
  <c r="C158" i="108"/>
  <c r="C15" i="113" s="1"/>
  <c r="C156" i="108"/>
  <c r="C153" i="108"/>
  <c r="E152" i="108"/>
  <c r="C152" i="108"/>
  <c r="E150" i="108"/>
  <c r="E149" i="108"/>
  <c r="E147" i="108"/>
  <c r="D147" i="108"/>
  <c r="C147" i="108"/>
  <c r="E146" i="108"/>
  <c r="D146" i="108"/>
  <c r="C146" i="108"/>
  <c r="E145" i="108"/>
  <c r="C145" i="108"/>
  <c r="E144" i="108"/>
  <c r="C144" i="108"/>
  <c r="E143" i="108"/>
  <c r="D143" i="108"/>
  <c r="D142" i="108"/>
  <c r="E141" i="108"/>
  <c r="D141" i="108"/>
  <c r="C141" i="108"/>
  <c r="C140" i="108"/>
  <c r="C139" i="108"/>
  <c r="C138" i="108"/>
  <c r="C137" i="108"/>
  <c r="D135" i="108"/>
  <c r="E134" i="108"/>
  <c r="D134" i="108"/>
  <c r="E133" i="108"/>
  <c r="D131" i="108"/>
  <c r="D130" i="108"/>
  <c r="C129" i="108"/>
  <c r="D128" i="108"/>
  <c r="E127" i="108"/>
  <c r="D127" i="108"/>
  <c r="C125" i="108"/>
  <c r="C122" i="108"/>
  <c r="C26" i="113" s="1"/>
  <c r="E121" i="108"/>
  <c r="C121" i="108"/>
  <c r="E120" i="108"/>
  <c r="C120" i="108"/>
  <c r="E119" i="108"/>
  <c r="C119" i="108"/>
  <c r="E118" i="108"/>
  <c r="C118" i="108"/>
  <c r="E117" i="108"/>
  <c r="E115" i="108"/>
  <c r="C115" i="108"/>
  <c r="C25" i="113" s="1"/>
  <c r="C114" i="108"/>
  <c r="C113" i="108"/>
  <c r="C112" i="108"/>
  <c r="C111" i="108"/>
  <c r="E108" i="108"/>
  <c r="D108" i="108"/>
  <c r="E107" i="108"/>
  <c r="C106" i="108"/>
  <c r="D104" i="108"/>
  <c r="E103" i="108"/>
  <c r="C103" i="108"/>
  <c r="C101" i="108"/>
  <c r="C127" i="108" s="1"/>
  <c r="C99" i="108"/>
  <c r="C95" i="108"/>
  <c r="E92" i="108"/>
  <c r="E90" i="108"/>
  <c r="D90" i="108"/>
  <c r="C84" i="108"/>
  <c r="C82" i="108"/>
  <c r="C81" i="108"/>
  <c r="C80" i="108"/>
  <c r="C79" i="108"/>
  <c r="C78" i="108"/>
  <c r="C77" i="108"/>
  <c r="C76" i="108"/>
  <c r="C75" i="108"/>
  <c r="C73" i="108"/>
  <c r="C72" i="108"/>
  <c r="C71" i="108"/>
  <c r="C70" i="108"/>
  <c r="C69" i="108"/>
  <c r="E58" i="108"/>
  <c r="D56" i="108"/>
  <c r="C56" i="108"/>
  <c r="D54" i="108"/>
  <c r="C54" i="108"/>
  <c r="D53" i="108"/>
  <c r="C53" i="108"/>
  <c r="E52" i="108"/>
  <c r="D49" i="108"/>
  <c r="C49" i="108"/>
  <c r="D48" i="108"/>
  <c r="C48" i="108"/>
  <c r="E47" i="108"/>
  <c r="D47" i="108"/>
  <c r="C47" i="108"/>
  <c r="D44" i="108"/>
  <c r="C44" i="108"/>
  <c r="D43" i="108"/>
  <c r="C43" i="108"/>
  <c r="D42" i="108"/>
  <c r="C42" i="108"/>
  <c r="D40" i="108"/>
  <c r="C40" i="108"/>
  <c r="D39" i="108"/>
  <c r="C39" i="108"/>
  <c r="D38" i="108"/>
  <c r="C38" i="108"/>
  <c r="E37" i="108"/>
  <c r="D37" i="108"/>
  <c r="C37" i="108"/>
  <c r="E16" i="108"/>
  <c r="D16" i="108"/>
  <c r="E359" i="65"/>
  <c r="E14" i="108"/>
  <c r="D14" i="108"/>
  <c r="E13" i="108"/>
  <c r="D13" i="108"/>
  <c r="E12" i="108"/>
  <c r="D12" i="108"/>
  <c r="E67" i="108" s="1"/>
  <c r="K353" i="62"/>
  <c r="K352" i="62"/>
  <c r="K351" i="62"/>
  <c r="K350" i="62"/>
  <c r="K345" i="62"/>
  <c r="K344" i="62"/>
  <c r="K343" i="62"/>
  <c r="K342" i="62"/>
  <c r="K341" i="62"/>
  <c r="K340" i="62"/>
  <c r="K339" i="62"/>
  <c r="K338" i="62"/>
  <c r="K337" i="62"/>
  <c r="K336" i="62"/>
  <c r="K335" i="62"/>
  <c r="K334" i="62"/>
  <c r="K333" i="62"/>
  <c r="K332" i="62"/>
  <c r="K331" i="62"/>
  <c r="K330" i="62"/>
  <c r="J345" i="62"/>
  <c r="J335" i="62"/>
  <c r="J331" i="62"/>
  <c r="J330" i="62" a="1"/>
  <c r="J343" i="62" s="1"/>
  <c r="M328" i="62"/>
  <c r="K328" i="62"/>
  <c r="M327" i="62"/>
  <c r="K327" i="62"/>
  <c r="M326" i="62"/>
  <c r="K326" i="62"/>
  <c r="M325" i="62"/>
  <c r="K325" i="62"/>
  <c r="J325" i="62"/>
  <c r="K323" i="62"/>
  <c r="M322" i="62"/>
  <c r="K322" i="62"/>
  <c r="J322" i="62"/>
  <c r="M321" i="62"/>
  <c r="K321" i="62"/>
  <c r="M319" i="62"/>
  <c r="L319" i="62"/>
  <c r="K319" i="62"/>
  <c r="M318" i="62"/>
  <c r="L318" i="62"/>
  <c r="K318" i="62"/>
  <c r="M317" i="62"/>
  <c r="L317" i="62"/>
  <c r="M316" i="62"/>
  <c r="L316" i="62"/>
  <c r="K316" i="62"/>
  <c r="M315" i="62"/>
  <c r="K315" i="62"/>
  <c r="J315" i="62"/>
  <c r="M313" i="62"/>
  <c r="K313" i="62"/>
  <c r="J313" i="62"/>
  <c r="M311" i="62"/>
  <c r="J311" i="62"/>
  <c r="M310" i="62"/>
  <c r="K310" i="62"/>
  <c r="C149" i="120" s="1"/>
  <c r="M309" i="62"/>
  <c r="K309" i="62"/>
  <c r="C147" i="120" s="1"/>
  <c r="J309" i="62"/>
  <c r="M308" i="62"/>
  <c r="K308" i="62"/>
  <c r="C145" i="120" s="1"/>
  <c r="K306" i="62"/>
  <c r="J306" i="62"/>
  <c r="L302" i="62"/>
  <c r="L299" i="62"/>
  <c r="L298" i="62"/>
  <c r="K294" i="62"/>
  <c r="L292" i="62"/>
  <c r="L291" i="62"/>
  <c r="L289" i="62"/>
  <c r="L288" i="62"/>
  <c r="L287" i="62"/>
  <c r="K287" i="62"/>
  <c r="L285" i="62"/>
  <c r="K284" i="62"/>
  <c r="K282" i="62"/>
  <c r="L281" i="62"/>
  <c r="L280" i="62"/>
  <c r="K277" i="62"/>
  <c r="L275" i="62"/>
  <c r="L274" i="62"/>
  <c r="M269" i="62"/>
  <c r="M268" i="62"/>
  <c r="M267" i="62"/>
  <c r="M266" i="62"/>
  <c r="K266" i="62"/>
  <c r="C40" i="95" s="1"/>
  <c r="M265" i="62"/>
  <c r="M260" i="62"/>
  <c r="K260" i="62"/>
  <c r="K299" i="62" s="1"/>
  <c r="M259" i="62"/>
  <c r="K259" i="62"/>
  <c r="K303" i="62" s="1"/>
  <c r="M258" i="62"/>
  <c r="K258" i="62"/>
  <c r="K302" i="62" s="1"/>
  <c r="M257" i="62"/>
  <c r="K257" i="62"/>
  <c r="K300" i="62" s="1"/>
  <c r="M256" i="62"/>
  <c r="M255" i="62"/>
  <c r="K255" i="62"/>
  <c r="K253" i="62"/>
  <c r="K298" i="62" s="1"/>
  <c r="M252" i="62"/>
  <c r="K252" i="62"/>
  <c r="M250" i="62"/>
  <c r="M249" i="62"/>
  <c r="M248" i="62"/>
  <c r="M247" i="62"/>
  <c r="M241" i="62"/>
  <c r="K241" i="62"/>
  <c r="M239" i="62"/>
  <c r="M238" i="62"/>
  <c r="M237" i="62"/>
  <c r="M236" i="62"/>
  <c r="K236" i="62"/>
  <c r="M234" i="62"/>
  <c r="M233" i="62"/>
  <c r="M232" i="62"/>
  <c r="M231" i="62"/>
  <c r="K231" i="62"/>
  <c r="M229" i="62"/>
  <c r="M228" i="62"/>
  <c r="M227" i="62"/>
  <c r="M226" i="62"/>
  <c r="K226" i="62"/>
  <c r="C405" i="108" s="1"/>
  <c r="M224" i="62"/>
  <c r="M223" i="62"/>
  <c r="M222" i="62"/>
  <c r="M221" i="62"/>
  <c r="K221" i="62"/>
  <c r="M219" i="62"/>
  <c r="J219" i="62"/>
  <c r="M218" i="62"/>
  <c r="J218" i="62"/>
  <c r="M217" i="62"/>
  <c r="M216" i="62"/>
  <c r="M215" i="62"/>
  <c r="M214" i="62"/>
  <c r="M213" i="62"/>
  <c r="K213" i="62"/>
  <c r="M211" i="62"/>
  <c r="M210" i="62"/>
  <c r="K210" i="62"/>
  <c r="M208" i="62"/>
  <c r="J208" i="62"/>
  <c r="M207" i="62"/>
  <c r="J207" i="62"/>
  <c r="M206" i="62"/>
  <c r="M205" i="62"/>
  <c r="M204" i="62"/>
  <c r="M203" i="62"/>
  <c r="M202" i="62"/>
  <c r="K202" i="62"/>
  <c r="M200" i="62"/>
  <c r="M199" i="62"/>
  <c r="K199" i="62"/>
  <c r="J197" i="62"/>
  <c r="J196" i="62"/>
  <c r="M194" i="62"/>
  <c r="M193" i="62"/>
  <c r="M192" i="62"/>
  <c r="M191" i="62"/>
  <c r="K191" i="62"/>
  <c r="M190" i="62"/>
  <c r="M188" i="62"/>
  <c r="K188" i="62"/>
  <c r="M183" i="62"/>
  <c r="K178" i="62"/>
  <c r="K177" i="62"/>
  <c r="K175" i="62"/>
  <c r="K174" i="62"/>
  <c r="M173" i="62"/>
  <c r="K173" i="62"/>
  <c r="K171" i="62"/>
  <c r="K296" i="62" s="1"/>
  <c r="K170" i="62"/>
  <c r="K295" i="62" s="1"/>
  <c r="K168" i="62"/>
  <c r="K293" i="62" s="1"/>
  <c r="K167" i="62"/>
  <c r="K292" i="62" s="1"/>
  <c r="M166" i="62"/>
  <c r="K166" i="62"/>
  <c r="K291" i="62" s="1"/>
  <c r="K164" i="62"/>
  <c r="K289" i="62" s="1"/>
  <c r="K163" i="62"/>
  <c r="K288" i="62" s="1"/>
  <c r="K161" i="62"/>
  <c r="K286" i="62" s="1"/>
  <c r="K160" i="62"/>
  <c r="K285" i="62" s="1"/>
  <c r="M159" i="62"/>
  <c r="K159" i="62"/>
  <c r="K156" i="62"/>
  <c r="C133" i="108" s="1"/>
  <c r="K155" i="62"/>
  <c r="C108" i="108" s="1"/>
  <c r="K154" i="62"/>
  <c r="K279" i="62" s="1"/>
  <c r="M153" i="62"/>
  <c r="K150" i="62"/>
  <c r="K276" i="62" s="1"/>
  <c r="K149" i="62"/>
  <c r="M148" i="62"/>
  <c r="K148" i="62"/>
  <c r="K274" i="62" s="1"/>
  <c r="K143" i="62"/>
  <c r="K142" i="62"/>
  <c r="K141" i="62"/>
  <c r="K140" i="62"/>
  <c r="K139" i="62"/>
  <c r="K138" i="62"/>
  <c r="K136" i="62"/>
  <c r="K134" i="62"/>
  <c r="K133" i="62"/>
  <c r="K132" i="62"/>
  <c r="K131" i="62"/>
  <c r="K130" i="62"/>
  <c r="K129" i="62"/>
  <c r="K128" i="62"/>
  <c r="M127" i="62"/>
  <c r="M122" i="62"/>
  <c r="M121" i="62"/>
  <c r="K121" i="62"/>
  <c r="M120" i="62"/>
  <c r="K120" i="62"/>
  <c r="M119" i="62"/>
  <c r="M118" i="62"/>
  <c r="M117" i="62"/>
  <c r="K117" i="62"/>
  <c r="C438" i="108" s="1"/>
  <c r="M116" i="62"/>
  <c r="M111" i="62"/>
  <c r="M110" i="62"/>
  <c r="M109" i="62"/>
  <c r="M108" i="62"/>
  <c r="M107" i="62"/>
  <c r="K107" i="62"/>
  <c r="M106" i="62"/>
  <c r="K106" i="62"/>
  <c r="M105" i="62"/>
  <c r="K104" i="62"/>
  <c r="C513" i="108" s="1"/>
  <c r="M103" i="62"/>
  <c r="M98" i="62"/>
  <c r="M97" i="62"/>
  <c r="M96" i="62"/>
  <c r="M95" i="62"/>
  <c r="M94" i="62"/>
  <c r="K94" i="62"/>
  <c r="C82" i="118" s="1"/>
  <c r="M93" i="62"/>
  <c r="K93" i="62"/>
  <c r="C418" i="108" s="1"/>
  <c r="M92" i="62"/>
  <c r="M91" i="62"/>
  <c r="K90" i="62"/>
  <c r="C359" i="109" s="1"/>
  <c r="M85" i="62"/>
  <c r="M84" i="62"/>
  <c r="K84" i="62"/>
  <c r="M83" i="62"/>
  <c r="K83" i="62"/>
  <c r="M82" i="62"/>
  <c r="K82" i="62"/>
  <c r="C191" i="120" s="1"/>
  <c r="M81" i="62"/>
  <c r="K81" i="62"/>
  <c r="C189" i="120" s="1"/>
  <c r="M80" i="62"/>
  <c r="K80" i="62"/>
  <c r="C187" i="120" s="1"/>
  <c r="M79" i="62"/>
  <c r="M78" i="62"/>
  <c r="K78" i="62"/>
  <c r="C75" i="75" s="1"/>
  <c r="M77" i="62"/>
  <c r="K70" i="62"/>
  <c r="M68" i="62"/>
  <c r="M67" i="62"/>
  <c r="M66" i="62"/>
  <c r="M65" i="62"/>
  <c r="K65" i="62"/>
  <c r="K63" i="62"/>
  <c r="M61" i="62"/>
  <c r="M60" i="62"/>
  <c r="K59" i="62"/>
  <c r="K58" i="62"/>
  <c r="K57" i="62"/>
  <c r="M56" i="62"/>
  <c r="M48" i="62"/>
  <c r="K48" i="62"/>
  <c r="M47" i="62"/>
  <c r="K47" i="62"/>
  <c r="C336" i="118" s="1"/>
  <c r="M45" i="62"/>
  <c r="K45" i="62"/>
  <c r="C170" i="85" s="1"/>
  <c r="M44" i="62"/>
  <c r="K44" i="62"/>
  <c r="M43" i="62"/>
  <c r="M40" i="62"/>
  <c r="K39" i="62"/>
  <c r="C469" i="108" s="1"/>
  <c r="K38" i="62"/>
  <c r="C176" i="118" s="1"/>
  <c r="L37" i="62"/>
  <c r="K37" i="62"/>
  <c r="M32" i="62"/>
  <c r="M30" i="62"/>
  <c r="L25" i="62"/>
  <c r="L24" i="62"/>
  <c r="E21" i="62"/>
  <c r="C19" i="62"/>
  <c r="M18" i="62"/>
  <c r="M14" i="62"/>
  <c r="M10" i="62"/>
  <c r="K72" i="54"/>
  <c r="G72" i="54"/>
  <c r="J66" i="54"/>
  <c r="I66" i="54"/>
  <c r="J78" i="54" s="1"/>
  <c r="J65" i="54"/>
  <c r="I65" i="54"/>
  <c r="H76" i="54" s="1"/>
  <c r="J64" i="54"/>
  <c r="I64" i="54"/>
  <c r="J74" i="54" s="1"/>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X32" i="54"/>
  <c r="V32" i="54"/>
  <c r="R32" i="54"/>
  <c r="P32" i="54"/>
  <c r="M32" i="54"/>
  <c r="J32" i="54"/>
  <c r="G32" i="54"/>
  <c r="E32" i="54"/>
  <c r="J26" i="54"/>
  <c r="M25" i="54"/>
  <c r="L25" i="54"/>
  <c r="K25" i="54"/>
  <c r="J25" i="54"/>
  <c r="J24" i="54"/>
  <c r="M23" i="54"/>
  <c r="L23" i="54"/>
  <c r="K23" i="54"/>
  <c r="J23" i="54"/>
  <c r="J22" i="54"/>
  <c r="M21" i="54"/>
  <c r="L21" i="54"/>
  <c r="K21" i="54"/>
  <c r="J21" i="54"/>
  <c r="J20" i="54"/>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J12" i="54"/>
  <c r="M11" i="54"/>
  <c r="L11" i="54"/>
  <c r="K11" i="54"/>
  <c r="J11" i="54"/>
  <c r="M10" i="54"/>
  <c r="L10" i="54"/>
  <c r="K10" i="54"/>
  <c r="M8" i="54"/>
  <c r="L8" i="54"/>
  <c r="K8" i="54"/>
  <c r="L19" i="106"/>
  <c r="L18" i="106"/>
  <c r="L17" i="106"/>
  <c r="L16" i="106"/>
  <c r="M19" i="106" s="1"/>
  <c r="K16" i="106"/>
  <c r="J11" i="106"/>
  <c r="M201" i="62" s="1"/>
  <c r="C11" i="63" a="1"/>
  <c r="D106" i="108" l="1"/>
  <c r="D405" i="108"/>
  <c r="D132" i="108"/>
  <c r="D422" i="108"/>
  <c r="D439" i="108"/>
  <c r="J328" i="62"/>
  <c r="C56" i="87"/>
  <c r="D380" i="108"/>
  <c r="D490" i="108"/>
  <c r="D509" i="108"/>
  <c r="D334" i="108"/>
  <c r="D338" i="108"/>
  <c r="D452" i="108"/>
  <c r="D81" i="118"/>
  <c r="C45" i="87"/>
  <c r="J323" i="62"/>
  <c r="D398" i="108"/>
  <c r="D415" i="109"/>
  <c r="J308" i="62"/>
  <c r="D100" i="108"/>
  <c r="D380" i="109"/>
  <c r="D419" i="108"/>
  <c r="D436" i="108"/>
  <c r="D339" i="108"/>
  <c r="J341" i="62"/>
  <c r="C117" i="108"/>
  <c r="C143" i="108" s="1"/>
  <c r="C430" i="108"/>
  <c r="C330" i="108"/>
  <c r="C361" i="108"/>
  <c r="C383" i="108"/>
  <c r="C313" i="118"/>
  <c r="C383" i="109"/>
  <c r="F220" i="87"/>
  <c r="D68" i="112" s="1"/>
  <c r="C400" i="109"/>
  <c r="C132" i="108"/>
  <c r="C331" i="109"/>
  <c r="J337" i="62"/>
  <c r="C401" i="108"/>
  <c r="R48" i="63"/>
  <c r="D98" i="112" s="1"/>
  <c r="K317" i="62"/>
  <c r="C413" i="108"/>
  <c r="C425" i="109"/>
  <c r="K280" i="62"/>
  <c r="L300" i="62"/>
  <c r="C104" i="108"/>
  <c r="C107" i="108"/>
  <c r="D244" i="118"/>
  <c r="F57" i="87"/>
  <c r="F59" i="87"/>
  <c r="B3" i="123"/>
  <c r="B5" i="123"/>
  <c r="B8" i="123" s="1"/>
  <c r="C391" i="109"/>
  <c r="K281" i="62"/>
  <c r="C321" i="108"/>
  <c r="C419" i="109"/>
  <c r="F222" i="87"/>
  <c r="D70" i="112" s="1"/>
  <c r="U40" i="63"/>
  <c r="B4" i="123"/>
  <c r="D366" i="109"/>
  <c r="L294" i="62"/>
  <c r="F41" i="87"/>
  <c r="F14" i="112" s="1" a="1"/>
  <c r="F14" i="112" s="1"/>
  <c r="L293" i="62"/>
  <c r="F56" i="87"/>
  <c r="F40" i="87"/>
  <c r="F13" i="112" s="1" a="1"/>
  <c r="F13" i="112" s="1"/>
  <c r="L286" i="62"/>
  <c r="D429" i="108"/>
  <c r="L276" i="62"/>
  <c r="F39" i="87"/>
  <c r="F12" i="112" s="1" a="1"/>
  <c r="F12" i="112" s="1"/>
  <c r="D167" i="85"/>
  <c r="D330" i="108"/>
  <c r="D401" i="108"/>
  <c r="J327" i="62"/>
  <c r="C55" i="87"/>
  <c r="C41" i="63"/>
  <c r="D89" i="112" s="1"/>
  <c r="J326" i="62"/>
  <c r="C54" i="87"/>
  <c r="D126" i="108"/>
  <c r="D363" i="109"/>
  <c r="O53" i="63"/>
  <c r="D402" i="108"/>
  <c r="D397" i="109"/>
  <c r="C39" i="63"/>
  <c r="D87" i="112" s="1"/>
  <c r="D448" i="108"/>
  <c r="D88" i="118"/>
  <c r="D149" i="118"/>
  <c r="D242" i="118"/>
  <c r="D321" i="118"/>
  <c r="D409" i="109"/>
  <c r="J310" i="62"/>
  <c r="R88" i="63"/>
  <c r="D96" i="112" s="1"/>
  <c r="R87" i="63"/>
  <c r="D95" i="112" s="1"/>
  <c r="D430" i="108"/>
  <c r="D322" i="118"/>
  <c r="C35" i="87"/>
  <c r="D408" i="109"/>
  <c r="D447" i="108"/>
  <c r="D150" i="118"/>
  <c r="D374" i="109"/>
  <c r="D413" i="108"/>
  <c r="D90" i="118"/>
  <c r="C25" i="87"/>
  <c r="C178" i="115"/>
  <c r="B399" i="115"/>
  <c r="B390" i="115"/>
  <c r="B393" i="115"/>
  <c r="D147" i="115"/>
  <c r="D153" i="115"/>
  <c r="D143" i="115"/>
  <c r="B387" i="115"/>
  <c r="C176" i="115"/>
  <c r="C189" i="115"/>
  <c r="D382" i="115"/>
  <c r="D426" i="115" a="1"/>
  <c r="D426" i="115" s="1"/>
  <c r="C205" i="115"/>
  <c r="C215" i="115"/>
  <c r="D144" i="115"/>
  <c r="D360" i="115"/>
  <c r="I48" i="63"/>
  <c r="D377" i="115"/>
  <c r="D357" i="115"/>
  <c r="D372" i="115"/>
  <c r="C405" i="115"/>
  <c r="B395" i="115"/>
  <c r="B400" i="115"/>
  <c r="C210" i="115"/>
  <c r="I39" i="63"/>
  <c r="I236" i="63"/>
  <c r="C220" i="115"/>
  <c r="C242" i="115"/>
  <c r="D148" i="115"/>
  <c r="B396" i="115"/>
  <c r="C167" i="115"/>
  <c r="D360" i="115" a="1"/>
  <c r="D154" i="115"/>
  <c r="E403" i="115"/>
  <c r="I21" i="63"/>
  <c r="D416" i="115"/>
  <c r="D187" i="115"/>
  <c r="I227" i="63"/>
  <c r="C392" i="108"/>
  <c r="C123" i="113" s="1"/>
  <c r="C170" i="108"/>
  <c r="C35" i="113" s="1"/>
  <c r="C106" i="109"/>
  <c r="C31" i="116" s="1"/>
  <c r="D12" i="65"/>
  <c r="D18" i="65"/>
  <c r="E97" i="109" s="1"/>
  <c r="D9" i="115"/>
  <c r="D8" i="115" s="1"/>
  <c r="D13" i="115" s="1"/>
  <c r="B46" i="115" s="1"/>
  <c r="E272" i="108"/>
  <c r="E14" i="109"/>
  <c r="E9" i="115"/>
  <c r="C385" i="108"/>
  <c r="C120" i="113" s="1"/>
  <c r="M26" i="54"/>
  <c r="L26" i="54"/>
  <c r="M24" i="54"/>
  <c r="L24" i="54"/>
  <c r="K24" i="54"/>
  <c r="M22" i="54"/>
  <c r="L22" i="54"/>
  <c r="K22" i="54"/>
  <c r="M20" i="54"/>
  <c r="L20" i="54"/>
  <c r="K20" i="54"/>
  <c r="C11" i="63"/>
  <c r="M3" i="106" s="1"/>
  <c r="C147" i="113"/>
  <c r="C43" i="113"/>
  <c r="I76" i="54"/>
  <c r="L284" i="62"/>
  <c r="J334" i="62"/>
  <c r="J344" i="62"/>
  <c r="AA100" i="63"/>
  <c r="AA103" i="63"/>
  <c r="AA101" i="63"/>
  <c r="AA102" i="63"/>
  <c r="C427" i="115"/>
  <c r="C148" i="113"/>
  <c r="C44" i="113"/>
  <c r="C181" i="108"/>
  <c r="C285" i="108"/>
  <c r="C322" i="108"/>
  <c r="C336" i="108"/>
  <c r="B348" i="108"/>
  <c r="B360" i="108"/>
  <c r="C371" i="108"/>
  <c r="C443" i="108"/>
  <c r="C490" i="108"/>
  <c r="C524" i="108"/>
  <c r="C574" i="108"/>
  <c r="C464" i="75"/>
  <c r="C410" i="75"/>
  <c r="C413" i="75"/>
  <c r="C461" i="75"/>
  <c r="C107" i="118"/>
  <c r="C105" i="118"/>
  <c r="C312" i="118"/>
  <c r="C322" i="118"/>
  <c r="C340" i="118"/>
  <c r="AA107" i="63"/>
  <c r="AA104" i="63"/>
  <c r="E15" i="109"/>
  <c r="D16" i="65"/>
  <c r="E292" i="65" s="1"/>
  <c r="E13" i="109"/>
  <c r="E12" i="109"/>
  <c r="D15" i="65"/>
  <c r="C29" i="65"/>
  <c r="C125" i="65"/>
  <c r="C175" i="65"/>
  <c r="C335" i="65"/>
  <c r="C52" i="116"/>
  <c r="C239" i="120"/>
  <c r="C77" i="109"/>
  <c r="H160" i="112"/>
  <c r="G160" i="112"/>
  <c r="E160" i="112"/>
  <c r="C160" i="112"/>
  <c r="F160" i="112"/>
  <c r="D160" i="112"/>
  <c r="C468" i="109"/>
  <c r="C51" i="109"/>
  <c r="C116" i="109"/>
  <c r="C244" i="109"/>
  <c r="C387" i="109"/>
  <c r="C319" i="115"/>
  <c r="D99" i="86"/>
  <c r="D109" i="85"/>
  <c r="C12" i="112"/>
  <c r="C11" i="112"/>
  <c r="D371" i="120"/>
  <c r="F373" i="87"/>
  <c r="C37" i="112" s="1"/>
  <c r="J76" i="54"/>
  <c r="C432" i="108"/>
  <c r="C415" i="108"/>
  <c r="C138" i="85"/>
  <c r="C45" i="85"/>
  <c r="C94" i="86"/>
  <c r="C50" i="85"/>
  <c r="C46" i="86"/>
  <c r="C124" i="86"/>
  <c r="C70" i="85"/>
  <c r="C148" i="75"/>
  <c r="C57" i="85"/>
  <c r="C133" i="86"/>
  <c r="C104" i="85"/>
  <c r="C151" i="75"/>
  <c r="C360" i="120"/>
  <c r="C97" i="120"/>
  <c r="C365" i="120"/>
  <c r="C452" i="108"/>
  <c r="C415" i="109"/>
  <c r="C398" i="108"/>
  <c r="C144" i="113"/>
  <c r="C40" i="113"/>
  <c r="C468" i="108"/>
  <c r="C568" i="108"/>
  <c r="C150" i="118"/>
  <c r="E10" i="65"/>
  <c r="C336" i="65"/>
  <c r="C115" i="86"/>
  <c r="C142" i="86"/>
  <c r="C17" i="116"/>
  <c r="C117" i="109"/>
  <c r="C102" i="109"/>
  <c r="C374" i="109"/>
  <c r="G78" i="54"/>
  <c r="C168" i="86"/>
  <c r="C35" i="86"/>
  <c r="C127" i="86" s="1"/>
  <c r="C212" i="85"/>
  <c r="C520" i="75"/>
  <c r="C509" i="75"/>
  <c r="C152" i="75"/>
  <c r="C40" i="120"/>
  <c r="C129" i="115"/>
  <c r="K135" i="62"/>
  <c r="C14" i="119"/>
  <c r="C366" i="109"/>
  <c r="C439" i="108"/>
  <c r="C422" i="108"/>
  <c r="C206" i="120"/>
  <c r="C211" i="120"/>
  <c r="J336" i="62"/>
  <c r="E33" i="108"/>
  <c r="E75" i="108"/>
  <c r="C145" i="113"/>
  <c r="C41" i="113"/>
  <c r="C134" i="108"/>
  <c r="C118" i="113"/>
  <c r="C30" i="113"/>
  <c r="C287" i="108"/>
  <c r="C338" i="108"/>
  <c r="B350" i="108"/>
  <c r="C409" i="108"/>
  <c r="C446" i="108"/>
  <c r="C547" i="108"/>
  <c r="C563" i="108"/>
  <c r="C141" i="118"/>
  <c r="C389" i="75"/>
  <c r="C440" i="75"/>
  <c r="C324" i="118"/>
  <c r="C42" i="65"/>
  <c r="C127" i="65"/>
  <c r="C177" i="65"/>
  <c r="E200" i="65"/>
  <c r="D154" i="120"/>
  <c r="D162" i="120"/>
  <c r="D135" i="120"/>
  <c r="D129" i="120"/>
  <c r="D183" i="120"/>
  <c r="D111" i="120"/>
  <c r="D177" i="120"/>
  <c r="D141" i="120"/>
  <c r="D123" i="120"/>
  <c r="D196" i="120"/>
  <c r="D203" i="120"/>
  <c r="C34" i="116"/>
  <c r="C128" i="109"/>
  <c r="C531" i="109"/>
  <c r="C558" i="109"/>
  <c r="C525" i="109"/>
  <c r="C515" i="109"/>
  <c r="C528" i="109"/>
  <c r="C537" i="109"/>
  <c r="C508" i="109"/>
  <c r="C100" i="116"/>
  <c r="C29" i="116"/>
  <c r="C341" i="109"/>
  <c r="C298" i="109"/>
  <c r="C278" i="109"/>
  <c r="C404" i="109"/>
  <c r="C418" i="109"/>
  <c r="C424" i="109"/>
  <c r="C433" i="109"/>
  <c r="C89" i="115"/>
  <c r="C328" i="115"/>
  <c r="D136" i="112"/>
  <c r="AD29" i="63"/>
  <c r="G141" i="112"/>
  <c r="D16" i="116"/>
  <c r="I345" i="87"/>
  <c r="G166" i="112" s="1"/>
  <c r="C174" i="112"/>
  <c r="C149" i="112"/>
  <c r="D29" i="116"/>
  <c r="D100" i="116"/>
  <c r="I368" i="87"/>
  <c r="D341" i="109"/>
  <c r="C105" i="86"/>
  <c r="C115" i="85"/>
  <c r="C456" i="108"/>
  <c r="C462" i="108"/>
  <c r="C509" i="108"/>
  <c r="C81" i="118"/>
  <c r="C152" i="118"/>
  <c r="C258" i="118"/>
  <c r="C187" i="85"/>
  <c r="C233" i="120"/>
  <c r="E225" i="109"/>
  <c r="C90" i="115"/>
  <c r="C329" i="115"/>
  <c r="X54" i="87"/>
  <c r="C13" i="112"/>
  <c r="F374" i="87"/>
  <c r="C38" i="112" s="1"/>
  <c r="G74" i="54"/>
  <c r="I78" i="54"/>
  <c r="C125" i="86"/>
  <c r="C58" i="85"/>
  <c r="C47" i="86"/>
  <c r="C370" i="115"/>
  <c r="C396" i="109"/>
  <c r="C379" i="109"/>
  <c r="C362" i="109"/>
  <c r="C381" i="115"/>
  <c r="C142" i="118"/>
  <c r="C435" i="108"/>
  <c r="K105" i="62"/>
  <c r="K137" i="62"/>
  <c r="M149" i="62"/>
  <c r="J338" i="62"/>
  <c r="E42" i="108"/>
  <c r="C541" i="108"/>
  <c r="C553" i="108"/>
  <c r="C42" i="113"/>
  <c r="C146" i="113"/>
  <c r="C159" i="108"/>
  <c r="E264" i="108"/>
  <c r="C279" i="108"/>
  <c r="C289" i="108"/>
  <c r="C447" i="108"/>
  <c r="C339" i="108"/>
  <c r="B352" i="108"/>
  <c r="C378" i="108"/>
  <c r="C493" i="108"/>
  <c r="C536" i="108"/>
  <c r="C554" i="108"/>
  <c r="D17" i="65"/>
  <c r="E113" i="65"/>
  <c r="C129" i="65"/>
  <c r="C179" i="65"/>
  <c r="D226" i="65"/>
  <c r="D216" i="65"/>
  <c r="D219" i="65"/>
  <c r="D225" i="65"/>
  <c r="C380" i="65"/>
  <c r="C132" i="116"/>
  <c r="C45" i="116"/>
  <c r="C22" i="116"/>
  <c r="C124" i="109"/>
  <c r="C185" i="85"/>
  <c r="C64" i="85"/>
  <c r="C143" i="119"/>
  <c r="C297" i="109"/>
  <c r="C376" i="109"/>
  <c r="C519" i="109"/>
  <c r="C94" i="115"/>
  <c r="E20" i="112"/>
  <c r="D136" i="113"/>
  <c r="E45" i="112"/>
  <c r="F63" i="87"/>
  <c r="F315" i="87"/>
  <c r="F48" i="87"/>
  <c r="X31" i="87"/>
  <c r="AA32" i="87"/>
  <c r="C137" i="112"/>
  <c r="D175" i="85"/>
  <c r="D174" i="85"/>
  <c r="D191" i="85"/>
  <c r="I380" i="87"/>
  <c r="C162" i="112" s="1"/>
  <c r="H78" i="54"/>
  <c r="M12" i="54"/>
  <c r="H74" i="54"/>
  <c r="C116" i="85"/>
  <c r="C106" i="86"/>
  <c r="C169" i="85"/>
  <c r="C137" i="119"/>
  <c r="C112" i="75"/>
  <c r="C22" i="119"/>
  <c r="C242" i="120"/>
  <c r="C380" i="120"/>
  <c r="C244" i="118"/>
  <c r="C90" i="118"/>
  <c r="C245" i="119"/>
  <c r="C234" i="119"/>
  <c r="C98" i="86"/>
  <c r="C108" i="85"/>
  <c r="C13" i="119"/>
  <c r="C370" i="120"/>
  <c r="C404" i="108"/>
  <c r="C399" i="109"/>
  <c r="C382" i="109"/>
  <c r="C104" i="86"/>
  <c r="C113" i="116"/>
  <c r="C167" i="85"/>
  <c r="C131" i="113"/>
  <c r="C114" i="85"/>
  <c r="C382" i="120"/>
  <c r="K275" i="62"/>
  <c r="M292" i="62"/>
  <c r="J330" i="62"/>
  <c r="J339" i="62"/>
  <c r="C68" i="108"/>
  <c r="C142" i="113"/>
  <c r="C38" i="113"/>
  <c r="C130" i="108"/>
  <c r="E306" i="108"/>
  <c r="B353" i="108"/>
  <c r="C412" i="108"/>
  <c r="C419" i="108"/>
  <c r="C529" i="108"/>
  <c r="C543" i="108"/>
  <c r="C559" i="108"/>
  <c r="C92" i="118"/>
  <c r="C168" i="85"/>
  <c r="C282" i="120"/>
  <c r="C73" i="109"/>
  <c r="C133" i="116"/>
  <c r="C46" i="116"/>
  <c r="C365" i="109"/>
  <c r="C408" i="109"/>
  <c r="F144" i="112"/>
  <c r="F169" i="112"/>
  <c r="M18" i="106"/>
  <c r="K26" i="54"/>
  <c r="I74" i="54"/>
  <c r="C139" i="85"/>
  <c r="C97" i="86"/>
  <c r="C134" i="86"/>
  <c r="C10" i="119"/>
  <c r="C126" i="86"/>
  <c r="C107" i="85"/>
  <c r="C12" i="119"/>
  <c r="F167" i="87"/>
  <c r="C369" i="120"/>
  <c r="C366" i="120"/>
  <c r="C397" i="109"/>
  <c r="C380" i="109"/>
  <c r="C363" i="109"/>
  <c r="J340" i="62"/>
  <c r="C100" i="108"/>
  <c r="C98" i="113"/>
  <c r="C373" i="108"/>
  <c r="C334" i="108"/>
  <c r="B355" i="108"/>
  <c r="C386" i="75"/>
  <c r="C437" i="75"/>
  <c r="C139" i="118"/>
  <c r="C387" i="75"/>
  <c r="C438" i="75"/>
  <c r="C53" i="116"/>
  <c r="C244" i="120"/>
  <c r="C178" i="85"/>
  <c r="C352" i="65"/>
  <c r="C117" i="85"/>
  <c r="C171" i="85"/>
  <c r="C127" i="85"/>
  <c r="C124" i="85"/>
  <c r="C378" i="120"/>
  <c r="C71" i="85"/>
  <c r="C51" i="85"/>
  <c r="C241" i="120"/>
  <c r="C379" i="120"/>
  <c r="C8" i="63"/>
  <c r="C240" i="120"/>
  <c r="C332" i="115"/>
  <c r="C322" i="115"/>
  <c r="C93" i="115"/>
  <c r="C361" i="115"/>
  <c r="C331" i="115"/>
  <c r="C321" i="115"/>
  <c r="C92" i="115"/>
  <c r="C247" i="109"/>
  <c r="C237" i="109"/>
  <c r="P29" i="123"/>
  <c r="C131" i="65"/>
  <c r="C121" i="65"/>
  <c r="C41" i="65"/>
  <c r="C234" i="118"/>
  <c r="C330" i="115"/>
  <c r="C320" i="115"/>
  <c r="C91" i="115"/>
  <c r="C443" i="109"/>
  <c r="C409" i="109"/>
  <c r="C392" i="109"/>
  <c r="C375" i="109"/>
  <c r="C246" i="109"/>
  <c r="C236" i="109"/>
  <c r="C327" i="115"/>
  <c r="C317" i="115"/>
  <c r="C98" i="115"/>
  <c r="C88" i="115"/>
  <c r="C243" i="109"/>
  <c r="C233" i="109"/>
  <c r="C346" i="120" s="1"/>
  <c r="C326" i="115"/>
  <c r="C97" i="115"/>
  <c r="C87" i="115"/>
  <c r="C242" i="109"/>
  <c r="C232" i="109"/>
  <c r="C343" i="120" s="1"/>
  <c r="C325" i="115"/>
  <c r="C96" i="115"/>
  <c r="C86" i="115"/>
  <c r="C241" i="109"/>
  <c r="C324" i="115"/>
  <c r="C95" i="115"/>
  <c r="C85" i="115"/>
  <c r="C240" i="109"/>
  <c r="P30" i="123"/>
  <c r="C181" i="65"/>
  <c r="C157" i="65"/>
  <c r="C134" i="65"/>
  <c r="C124" i="65"/>
  <c r="C44" i="65"/>
  <c r="C44" i="118"/>
  <c r="C47" i="109"/>
  <c r="C127" i="116"/>
  <c r="C40" i="116"/>
  <c r="C234" i="109"/>
  <c r="C349" i="120" s="1"/>
  <c r="C459" i="109"/>
  <c r="C393" i="109"/>
  <c r="C423" i="115"/>
  <c r="M16" i="106"/>
  <c r="M17" i="106"/>
  <c r="C129" i="113"/>
  <c r="C111" i="116"/>
  <c r="C52" i="113"/>
  <c r="C10" i="113"/>
  <c r="C46" i="113"/>
  <c r="C150" i="113"/>
  <c r="C32" i="113"/>
  <c r="C561" i="108"/>
  <c r="C218" i="63"/>
  <c r="C293" i="109"/>
  <c r="C380" i="108"/>
  <c r="C402" i="108"/>
  <c r="C449" i="108"/>
  <c r="C183" i="120" a="1"/>
  <c r="C183" i="120" s="1"/>
  <c r="C203" i="120" a="1"/>
  <c r="C203" i="120" s="1"/>
  <c r="C141" i="120" a="1"/>
  <c r="C141" i="120" s="1"/>
  <c r="C177" i="120" a="1"/>
  <c r="C177" i="120" s="1"/>
  <c r="C162" i="120" a="1"/>
  <c r="C162" i="120" s="1"/>
  <c r="C123" i="120" a="1"/>
  <c r="C123" i="120" s="1"/>
  <c r="C196" i="120" a="1"/>
  <c r="C196" i="120" s="1"/>
  <c r="C135" i="120" a="1"/>
  <c r="C135" i="120" s="1"/>
  <c r="C154" i="120" a="1"/>
  <c r="C154" i="120" s="1"/>
  <c r="C129" i="120" a="1"/>
  <c r="C129" i="120" s="1"/>
  <c r="C538" i="108"/>
  <c r="C550" i="108"/>
  <c r="C394" i="65"/>
  <c r="C384" i="65"/>
  <c r="C387" i="65"/>
  <c r="C395" i="65"/>
  <c r="C385" i="65"/>
  <c r="C120" i="65"/>
  <c r="C133" i="65"/>
  <c r="C78" i="119"/>
  <c r="C97" i="119" s="1"/>
  <c r="C232" i="120"/>
  <c r="C290" i="120"/>
  <c r="C229" i="120"/>
  <c r="C276" i="120"/>
  <c r="C319" i="109"/>
  <c r="C43" i="109"/>
  <c r="C239" i="65"/>
  <c r="D217" i="65"/>
  <c r="C261" i="65"/>
  <c r="C381" i="65"/>
  <c r="C392" i="65"/>
  <c r="E11" i="109"/>
  <c r="C109" i="109"/>
  <c r="C235" i="109"/>
  <c r="C277" i="109"/>
  <c r="B315" i="109"/>
  <c r="B305" i="109"/>
  <c r="B314" i="109"/>
  <c r="B304" i="109"/>
  <c r="B311" i="109"/>
  <c r="B310" i="109"/>
  <c r="B309" i="109"/>
  <c r="B318" i="109"/>
  <c r="B308" i="109"/>
  <c r="F137" i="112"/>
  <c r="I25" i="87"/>
  <c r="K12" i="54"/>
  <c r="AA94" i="63"/>
  <c r="AA95" i="63"/>
  <c r="C99" i="86"/>
  <c r="C109" i="85"/>
  <c r="C371" i="120"/>
  <c r="J63" i="54"/>
  <c r="G76" i="54"/>
  <c r="C112" i="116"/>
  <c r="C19" i="119"/>
  <c r="C11" i="113"/>
  <c r="C130" i="113"/>
  <c r="C53" i="113"/>
  <c r="C377" i="120"/>
  <c r="C407" i="109"/>
  <c r="C390" i="109"/>
  <c r="C373" i="109"/>
  <c r="J332" i="62"/>
  <c r="J342" i="62"/>
  <c r="H61" i="112"/>
  <c r="C52" i="112"/>
  <c r="F44" i="112"/>
  <c r="C53" i="112"/>
  <c r="E44" i="112"/>
  <c r="G42" i="112"/>
  <c r="D36" i="112"/>
  <c r="G61" i="112"/>
  <c r="C50" i="112"/>
  <c r="E42" i="112"/>
  <c r="F61" i="112"/>
  <c r="D42" i="112"/>
  <c r="D61" i="112"/>
  <c r="H44" i="112"/>
  <c r="C42" i="112"/>
  <c r="E234" i="117"/>
  <c r="C61" i="112"/>
  <c r="G44" i="112"/>
  <c r="E25" i="116"/>
  <c r="C56" i="112"/>
  <c r="E513" i="117"/>
  <c r="C55" i="112"/>
  <c r="H43" i="112"/>
  <c r="H36" i="112"/>
  <c r="C54" i="112"/>
  <c r="G43" i="112"/>
  <c r="G36" i="112"/>
  <c r="E327" i="117"/>
  <c r="C51" i="112"/>
  <c r="F43" i="112"/>
  <c r="F36" i="112"/>
  <c r="F42" i="112"/>
  <c r="E26" i="116"/>
  <c r="E61" i="112"/>
  <c r="E141" i="117"/>
  <c r="E520" i="120"/>
  <c r="E36" i="112"/>
  <c r="C36" i="112"/>
  <c r="H40" i="112"/>
  <c r="E25" i="113"/>
  <c r="H42" i="112"/>
  <c r="E606" i="117"/>
  <c r="E43" i="112"/>
  <c r="E26" i="113"/>
  <c r="E420" i="117"/>
  <c r="E512" i="120"/>
  <c r="E528" i="120"/>
  <c r="E536" i="120"/>
  <c r="E48" i="117"/>
  <c r="E552" i="120"/>
  <c r="E560" i="120"/>
  <c r="E544" i="120"/>
  <c r="E324" i="109"/>
  <c r="E105" i="65"/>
  <c r="E78" i="115"/>
  <c r="E209" i="109"/>
  <c r="E62" i="115"/>
  <c r="E217" i="109"/>
  <c r="E70" i="115"/>
  <c r="E97" i="65"/>
  <c r="C126" i="108"/>
  <c r="C173" i="108"/>
  <c r="C329" i="108"/>
  <c r="B354" i="108"/>
  <c r="B345" i="108"/>
  <c r="B357" i="108"/>
  <c r="B347" i="108"/>
  <c r="B358" i="108"/>
  <c r="C421" i="108"/>
  <c r="C436" i="108"/>
  <c r="C566" i="108"/>
  <c r="C548" i="108"/>
  <c r="C412" i="75"/>
  <c r="C463" i="75"/>
  <c r="C235" i="118"/>
  <c r="C246" i="118"/>
  <c r="C106" i="119"/>
  <c r="C86" i="119"/>
  <c r="C336" i="120"/>
  <c r="C33" i="116"/>
  <c r="C546" i="109"/>
  <c r="C125" i="109"/>
  <c r="E258" i="109"/>
  <c r="C410" i="109"/>
  <c r="C380" i="115"/>
  <c r="C375" i="115"/>
  <c r="C556" i="117"/>
  <c r="C501" i="117"/>
  <c r="C370" i="117"/>
  <c r="C315" i="117"/>
  <c r="C649" i="117"/>
  <c r="C594" i="117"/>
  <c r="C184" i="117"/>
  <c r="C463" i="117"/>
  <c r="C9" i="117"/>
  <c r="C222" i="117"/>
  <c r="C129" i="117"/>
  <c r="C474" i="117"/>
  <c r="C288" i="117"/>
  <c r="C556" i="120"/>
  <c r="C137" i="117"/>
  <c r="C91" i="117"/>
  <c r="C416" i="117"/>
  <c r="C277" i="117"/>
  <c r="C230" i="117"/>
  <c r="C408" i="117"/>
  <c r="C567" i="117"/>
  <c r="C509" i="117"/>
  <c r="C195" i="117"/>
  <c r="C36" i="117"/>
  <c r="C602" i="117"/>
  <c r="C44" i="117"/>
  <c r="C548" i="120"/>
  <c r="C524" i="120"/>
  <c r="C508" i="120"/>
  <c r="C532" i="120"/>
  <c r="C102" i="117"/>
  <c r="C323" i="117"/>
  <c r="C516" i="120"/>
  <c r="C381" i="117"/>
  <c r="C540" i="120"/>
  <c r="AH9" i="87"/>
  <c r="X26" i="87"/>
  <c r="C118" i="85"/>
  <c r="C18" i="119"/>
  <c r="C237" i="120"/>
  <c r="C374" i="120"/>
  <c r="C164" i="86"/>
  <c r="C208" i="85"/>
  <c r="C227" i="119"/>
  <c r="C531" i="75"/>
  <c r="C221" i="119"/>
  <c r="C250" i="119"/>
  <c r="C239" i="119"/>
  <c r="C54" i="113"/>
  <c r="C12" i="113"/>
  <c r="C236" i="75"/>
  <c r="C160" i="75"/>
  <c r="C265" i="120"/>
  <c r="C165" i="120"/>
  <c r="C171" i="120"/>
  <c r="J333" i="62"/>
  <c r="C151" i="113"/>
  <c r="C47" i="113"/>
  <c r="C284" i="108"/>
  <c r="C294" i="108"/>
  <c r="B346" i="108"/>
  <c r="B359" i="108"/>
  <c r="C381" i="108"/>
  <c r="C390" i="108"/>
  <c r="C414" i="108"/>
  <c r="C429" i="108"/>
  <c r="C450" i="108"/>
  <c r="C533" i="108"/>
  <c r="C567" i="108"/>
  <c r="C86" i="118"/>
  <c r="C104" i="118"/>
  <c r="C385" i="75"/>
  <c r="C439" i="75"/>
  <c r="C436" i="75"/>
  <c r="C388" i="75"/>
  <c r="C164" i="118"/>
  <c r="C123" i="65"/>
  <c r="D220" i="65"/>
  <c r="C68" i="109"/>
  <c r="C239" i="109"/>
  <c r="C359" i="115"/>
  <c r="C330" i="109"/>
  <c r="C292" i="109"/>
  <c r="B307" i="109"/>
  <c r="C318" i="115"/>
  <c r="C17" i="112"/>
  <c r="F378" i="87"/>
  <c r="C43" i="112" s="1"/>
  <c r="D54" i="113"/>
  <c r="D12" i="113"/>
  <c r="D113" i="116"/>
  <c r="E12" i="112"/>
  <c r="D131" i="113"/>
  <c r="D382" i="120"/>
  <c r="AD17" i="63"/>
  <c r="E141" i="112"/>
  <c r="D22" i="116"/>
  <c r="D17" i="116"/>
  <c r="F54" i="87"/>
  <c r="D104" i="86" s="1"/>
  <c r="F55" i="87"/>
  <c r="I60" i="87"/>
  <c r="I330" i="87" s="1"/>
  <c r="D55" i="113"/>
  <c r="D13" i="113"/>
  <c r="H11" i="112"/>
  <c r="D132" i="113"/>
  <c r="H136" i="112"/>
  <c r="AD47" i="63"/>
  <c r="D105" i="86"/>
  <c r="D115" i="85"/>
  <c r="G12" i="112"/>
  <c r="G137" i="112"/>
  <c r="D178" i="85"/>
  <c r="D34" i="113"/>
  <c r="C29" i="112"/>
  <c r="D122" i="113"/>
  <c r="C179" i="112"/>
  <c r="C154" i="112"/>
  <c r="D105" i="116"/>
  <c r="D34" i="116"/>
  <c r="C187" i="112"/>
  <c r="D336" i="120"/>
  <c r="D146" i="113"/>
  <c r="D42" i="113"/>
  <c r="D46" i="113"/>
  <c r="D150" i="113"/>
  <c r="D39" i="112"/>
  <c r="D77" i="113"/>
  <c r="F314" i="87"/>
  <c r="G162" i="112"/>
  <c r="D70" i="116"/>
  <c r="I347" i="87"/>
  <c r="G168" i="112" s="1"/>
  <c r="C121" i="112"/>
  <c r="F458" i="87"/>
  <c r="D121" i="112" s="1"/>
  <c r="C126" i="112"/>
  <c r="F463" i="87"/>
  <c r="D126" i="112" s="1"/>
  <c r="C41" i="112"/>
  <c r="D170" i="75"/>
  <c r="C16" i="112"/>
  <c r="F115" i="87"/>
  <c r="C462" i="75"/>
  <c r="C411" i="75"/>
  <c r="C12" i="116"/>
  <c r="C11" i="116"/>
  <c r="C10" i="116"/>
  <c r="O264" i="87"/>
  <c r="K261" i="87"/>
  <c r="K259" i="87" a="1"/>
  <c r="K259" i="87" s="1"/>
  <c r="M256" i="87"/>
  <c r="K264" i="87"/>
  <c r="K262" i="87"/>
  <c r="M254" i="87"/>
  <c r="C411" i="109"/>
  <c r="C517" i="109"/>
  <c r="C522" i="109"/>
  <c r="C547" i="109"/>
  <c r="D149" i="115"/>
  <c r="D334" i="115"/>
  <c r="B391" i="115"/>
  <c r="B401" i="115"/>
  <c r="D17" i="112"/>
  <c r="D15" i="113"/>
  <c r="D20" i="113"/>
  <c r="D18" i="112"/>
  <c r="D19" i="112"/>
  <c r="D25" i="113"/>
  <c r="D20" i="112"/>
  <c r="D134" i="113"/>
  <c r="D45" i="112"/>
  <c r="E135" i="112"/>
  <c r="D12" i="116"/>
  <c r="D53" i="116"/>
  <c r="E136" i="112"/>
  <c r="D244" i="120"/>
  <c r="D281" i="120"/>
  <c r="I54" i="87"/>
  <c r="I57" i="87"/>
  <c r="D54" i="116"/>
  <c r="H135" i="112"/>
  <c r="D13" i="116"/>
  <c r="D28" i="113"/>
  <c r="H19" i="112"/>
  <c r="G11" i="112"/>
  <c r="D130" i="113"/>
  <c r="D53" i="113"/>
  <c r="D11" i="113"/>
  <c r="D112" i="116"/>
  <c r="D377" i="120"/>
  <c r="G136" i="112"/>
  <c r="D168" i="85"/>
  <c r="D282" i="120"/>
  <c r="AD42" i="63"/>
  <c r="D135" i="113"/>
  <c r="G20" i="112"/>
  <c r="D121" i="113"/>
  <c r="C28" i="112"/>
  <c r="D33" i="113"/>
  <c r="C153" i="112"/>
  <c r="C178" i="112"/>
  <c r="D104" i="116"/>
  <c r="D33" i="116"/>
  <c r="I228" i="87"/>
  <c r="D195" i="112" s="1"/>
  <c r="O259" i="87"/>
  <c r="D128" i="116"/>
  <c r="D41" i="116"/>
  <c r="D132" i="116"/>
  <c r="D45" i="116"/>
  <c r="D163" i="112"/>
  <c r="D76" i="116"/>
  <c r="E39" i="112"/>
  <c r="D80" i="113"/>
  <c r="H37" i="112"/>
  <c r="AE25" i="63"/>
  <c r="D72" i="116"/>
  <c r="H162" i="112"/>
  <c r="E113" i="112"/>
  <c r="D101" i="113"/>
  <c r="D110" i="113"/>
  <c r="E122" i="112"/>
  <c r="E127" i="112"/>
  <c r="D115" i="113"/>
  <c r="I470" i="87"/>
  <c r="D227" i="112" s="1"/>
  <c r="AD21" i="63"/>
  <c r="D267" i="75" a="1"/>
  <c r="D267" i="75" s="1"/>
  <c r="D250" i="75" a="1"/>
  <c r="D250" i="75" s="1"/>
  <c r="D327" i="75" a="1"/>
  <c r="D327" i="75" s="1"/>
  <c r="D346" i="75" a="1"/>
  <c r="D346" i="75" s="1"/>
  <c r="C118" i="109"/>
  <c r="C453" i="109"/>
  <c r="D141" i="115"/>
  <c r="D150" i="115"/>
  <c r="B392" i="115"/>
  <c r="B402" i="115"/>
  <c r="D141" i="112"/>
  <c r="D15" i="116"/>
  <c r="D142" i="112"/>
  <c r="D20" i="116"/>
  <c r="D25" i="116"/>
  <c r="D143" i="112"/>
  <c r="D116" i="116"/>
  <c r="D144" i="112"/>
  <c r="I26" i="87"/>
  <c r="F42" i="87"/>
  <c r="F15" i="112" s="1" a="1"/>
  <c r="F15" i="112" s="1"/>
  <c r="F45" i="87"/>
  <c r="F17" i="112" s="1" a="1"/>
  <c r="F17" i="112" s="1"/>
  <c r="H18" i="112"/>
  <c r="D23" i="113"/>
  <c r="G135" i="112"/>
  <c r="D52" i="116"/>
  <c r="D11" i="116"/>
  <c r="D239" i="120"/>
  <c r="G19" i="112"/>
  <c r="D26" i="113"/>
  <c r="G144" i="112"/>
  <c r="D117" i="116"/>
  <c r="I348" i="87"/>
  <c r="G169" i="112" s="1"/>
  <c r="C27" i="112"/>
  <c r="D120" i="113"/>
  <c r="D32" i="113"/>
  <c r="C152" i="112"/>
  <c r="D103" i="116"/>
  <c r="C177" i="112"/>
  <c r="D32" i="116"/>
  <c r="I227" i="87"/>
  <c r="D194" i="112" s="1"/>
  <c r="C188" i="112"/>
  <c r="D339" i="120"/>
  <c r="C193" i="112"/>
  <c r="I226" i="87"/>
  <c r="D193" i="112" s="1"/>
  <c r="D144" i="113"/>
  <c r="D40" i="113"/>
  <c r="O262" i="87"/>
  <c r="D151" i="113"/>
  <c r="D47" i="113"/>
  <c r="D91" i="113"/>
  <c r="D40" i="112"/>
  <c r="E162" i="112"/>
  <c r="D71" i="116"/>
  <c r="G37" i="112"/>
  <c r="AE21" i="63"/>
  <c r="G163" i="112"/>
  <c r="D77" i="116"/>
  <c r="D78" i="116"/>
  <c r="H163" i="112"/>
  <c r="C523" i="109"/>
  <c r="D151" i="115"/>
  <c r="C376" i="115"/>
  <c r="F38" i="87"/>
  <c r="F11" i="112" s="1" a="1"/>
  <c r="F11" i="112" s="1"/>
  <c r="AA39" i="87"/>
  <c r="I45" i="87"/>
  <c r="F142" i="112"/>
  <c r="I316" i="87"/>
  <c r="O54" i="87"/>
  <c r="D18" i="113"/>
  <c r="H17" i="112"/>
  <c r="D23" i="116"/>
  <c r="H142" i="112"/>
  <c r="G18" i="112"/>
  <c r="D21" i="113"/>
  <c r="G143" i="112"/>
  <c r="D26" i="116"/>
  <c r="G140" i="112"/>
  <c r="D347" i="120"/>
  <c r="D331" i="120"/>
  <c r="D350" i="120"/>
  <c r="D334" i="120"/>
  <c r="D284" i="120"/>
  <c r="D353" i="120"/>
  <c r="D340" i="120"/>
  <c r="D337" i="120"/>
  <c r="D344" i="120"/>
  <c r="D31" i="113"/>
  <c r="C26" i="112"/>
  <c r="D119" i="113"/>
  <c r="C176" i="112"/>
  <c r="C151" i="112"/>
  <c r="D31" i="116"/>
  <c r="D102" i="116"/>
  <c r="D133" i="116"/>
  <c r="D46" i="116"/>
  <c r="D164" i="112"/>
  <c r="D90" i="116"/>
  <c r="E40" i="112"/>
  <c r="D94" i="113"/>
  <c r="F310" i="87"/>
  <c r="F40" i="112" s="1"/>
  <c r="I317" i="87"/>
  <c r="F168" i="112" s="1"/>
  <c r="G38" i="112"/>
  <c r="D71" i="113"/>
  <c r="H38" i="112"/>
  <c r="D73" i="113"/>
  <c r="I364" i="87"/>
  <c r="H165" i="112" s="1"/>
  <c r="C216" i="112"/>
  <c r="D346" i="120"/>
  <c r="I459" i="87"/>
  <c r="D216" i="112" s="1"/>
  <c r="C221" i="112"/>
  <c r="I464" i="87"/>
  <c r="D221" i="112" s="1"/>
  <c r="D205" i="112"/>
  <c r="C205" i="112"/>
  <c r="C46" i="109"/>
  <c r="C136" i="109"/>
  <c r="C351" i="109"/>
  <c r="C105" i="116" s="1"/>
  <c r="C441" i="109"/>
  <c r="D548" i="109"/>
  <c r="D142" i="115"/>
  <c r="D152" i="115"/>
  <c r="C382" i="115"/>
  <c r="B394" i="115"/>
  <c r="I38" i="87"/>
  <c r="F135" i="112" s="1"/>
  <c r="AD39" i="87"/>
  <c r="D18" i="116"/>
  <c r="H141" i="112"/>
  <c r="G17" i="112"/>
  <c r="D16" i="113"/>
  <c r="G142" i="112"/>
  <c r="D21" i="116"/>
  <c r="C25" i="112"/>
  <c r="D30" i="113"/>
  <c r="D118" i="113"/>
  <c r="D30" i="116"/>
  <c r="C150" i="112"/>
  <c r="C175" i="112"/>
  <c r="D101" i="116"/>
  <c r="C138" i="112"/>
  <c r="I381" i="87"/>
  <c r="C163" i="112" s="1"/>
  <c r="M257" i="87"/>
  <c r="K260" i="87"/>
  <c r="K263" i="87"/>
  <c r="G164" i="112"/>
  <c r="D91" i="116"/>
  <c r="C116" i="112"/>
  <c r="F453" i="87"/>
  <c r="D116" i="112" s="1"/>
  <c r="D116" i="85"/>
  <c r="D106" i="86"/>
  <c r="D169" i="85"/>
  <c r="D242" i="120"/>
  <c r="D380" i="120"/>
  <c r="D224" i="120"/>
  <c r="D231" i="120"/>
  <c r="I225" i="87"/>
  <c r="D192" i="112" s="1"/>
  <c r="C66" i="112"/>
  <c r="B176" i="75" a="1"/>
  <c r="M260" i="87"/>
  <c r="G39" i="112"/>
  <c r="D78" i="113"/>
  <c r="D105" i="113"/>
  <c r="E117" i="112"/>
  <c r="E124" i="112"/>
  <c r="D112" i="113"/>
  <c r="E98" i="112"/>
  <c r="D206" i="120"/>
  <c r="D211" i="120"/>
  <c r="D353" i="117"/>
  <c r="D539" i="117"/>
  <c r="D446" i="117"/>
  <c r="D260" i="117"/>
  <c r="D167" i="117"/>
  <c r="D74" i="117"/>
  <c r="D632" i="117"/>
  <c r="C185" i="112"/>
  <c r="D330" i="120"/>
  <c r="B293" i="120" a="1"/>
  <c r="E209" i="112"/>
  <c r="D37" i="116"/>
  <c r="D124" i="116"/>
  <c r="O260" i="87"/>
  <c r="K265" i="87"/>
  <c r="D148" i="113"/>
  <c r="D44" i="113"/>
  <c r="D161" i="112"/>
  <c r="AE29" i="63"/>
  <c r="D93" i="116"/>
  <c r="D92" i="116"/>
  <c r="E164" i="112"/>
  <c r="D79" i="116"/>
  <c r="F163" i="112"/>
  <c r="F375" i="87"/>
  <c r="C39" i="112" s="1"/>
  <c r="E118" i="112"/>
  <c r="D106" i="113"/>
  <c r="C124" i="112"/>
  <c r="F461" i="87"/>
  <c r="D124" i="112" s="1"/>
  <c r="C223" i="112"/>
  <c r="I466" i="87"/>
  <c r="D223" i="112" s="1"/>
  <c r="C128" i="116"/>
  <c r="C41" i="116"/>
  <c r="C535" i="109"/>
  <c r="D145" i="115"/>
  <c r="D155" i="115"/>
  <c r="E222" i="115"/>
  <c r="B397" i="115"/>
  <c r="D27" i="113"/>
  <c r="E19" i="112"/>
  <c r="D118" i="116"/>
  <c r="E144" i="112"/>
  <c r="F53" i="87"/>
  <c r="D190" i="85"/>
  <c r="D189" i="85"/>
  <c r="D165" i="85"/>
  <c r="D164" i="85"/>
  <c r="D192" i="85"/>
  <c r="C136" i="112"/>
  <c r="D234" i="120"/>
  <c r="C67" i="112"/>
  <c r="F219" i="87"/>
  <c r="D67" i="112" s="1"/>
  <c r="M258" i="87"/>
  <c r="D145" i="113"/>
  <c r="D41" i="113"/>
  <c r="O265" i="87"/>
  <c r="D43" i="116"/>
  <c r="D130" i="116"/>
  <c r="D70" i="113"/>
  <c r="D38" i="112"/>
  <c r="E37" i="112"/>
  <c r="F330" i="87"/>
  <c r="F321" i="87"/>
  <c r="AE17" i="63"/>
  <c r="C40" i="112"/>
  <c r="I382" i="87"/>
  <c r="C164" i="112" s="1" a="1"/>
  <c r="C164" i="112" s="1"/>
  <c r="E119" i="112"/>
  <c r="D107" i="113"/>
  <c r="E125" i="112"/>
  <c r="D113" i="113"/>
  <c r="F31" i="63"/>
  <c r="D70" i="85" s="1"/>
  <c r="B122" i="116"/>
  <c r="F37" i="63"/>
  <c r="D436" i="109" s="1"/>
  <c r="D40" i="95"/>
  <c r="C86" i="112"/>
  <c r="C38" i="63"/>
  <c r="D86" i="112" s="1"/>
  <c r="C88" i="112"/>
  <c r="C40" i="63"/>
  <c r="D88" i="112" s="1"/>
  <c r="D328" i="75" a="1"/>
  <c r="D328" i="75" s="1"/>
  <c r="D251" i="75" a="1"/>
  <c r="D251" i="75" s="1"/>
  <c r="D268" i="75" a="1"/>
  <c r="D268" i="75" s="1"/>
  <c r="D347" i="75" a="1"/>
  <c r="D347" i="75" s="1"/>
  <c r="C106" i="118"/>
  <c r="C240" i="119"/>
  <c r="C228" i="119"/>
  <c r="C144" i="119"/>
  <c r="C173" i="119" s="1"/>
  <c r="C81" i="120"/>
  <c r="C72" i="120"/>
  <c r="C258" i="120" s="1"/>
  <c r="C348" i="65"/>
  <c r="D130" i="115"/>
  <c r="D146" i="115"/>
  <c r="D156" i="115"/>
  <c r="C371" i="115"/>
  <c r="C415" i="115" s="1"/>
  <c r="B388" i="115"/>
  <c r="B398" i="115"/>
  <c r="D11" i="112"/>
  <c r="D129" i="113"/>
  <c r="D111" i="116"/>
  <c r="D52" i="113"/>
  <c r="D10" i="113"/>
  <c r="E18" i="112"/>
  <c r="D22" i="113"/>
  <c r="F313" i="87"/>
  <c r="E143" i="112"/>
  <c r="D27" i="116"/>
  <c r="I63" i="87"/>
  <c r="C31" i="112"/>
  <c r="D36" i="113"/>
  <c r="D124" i="113"/>
  <c r="C18" i="112"/>
  <c r="F379" i="87"/>
  <c r="I220" i="87"/>
  <c r="D187" i="112" s="1"/>
  <c r="I223" i="87"/>
  <c r="D190" i="112" s="1"/>
  <c r="C186" i="112"/>
  <c r="D333" i="120"/>
  <c r="D209" i="112"/>
  <c r="B124" i="116"/>
  <c r="D143" i="113"/>
  <c r="D39" i="113"/>
  <c r="D149" i="113"/>
  <c r="D45" i="113"/>
  <c r="D162" i="112"/>
  <c r="D69" i="116"/>
  <c r="E38" i="112"/>
  <c r="D72" i="113"/>
  <c r="I312" i="87"/>
  <c r="F164" i="112" s="1"/>
  <c r="G161" i="112"/>
  <c r="AE42" i="63"/>
  <c r="F362" i="87"/>
  <c r="I379" i="87"/>
  <c r="C161" i="112" s="1"/>
  <c r="D108" i="113"/>
  <c r="E120" i="112"/>
  <c r="D197" i="85"/>
  <c r="D63" i="85"/>
  <c r="D154" i="85"/>
  <c r="D183" i="85"/>
  <c r="D173" i="85"/>
  <c r="D163" i="85"/>
  <c r="C204" i="112"/>
  <c r="D161" i="85"/>
  <c r="D123" i="85"/>
  <c r="D402" i="120"/>
  <c r="D129" i="85"/>
  <c r="D257" i="120"/>
  <c r="D413" i="120"/>
  <c r="D275" i="120"/>
  <c r="D254" i="120"/>
  <c r="D228" i="120"/>
  <c r="D412" i="120"/>
  <c r="D392" i="120"/>
  <c r="D289" i="120"/>
  <c r="D223" i="120"/>
  <c r="F30" i="63"/>
  <c r="D395" i="120"/>
  <c r="D264" i="120"/>
  <c r="D331" i="75"/>
  <c r="D276" i="75"/>
  <c r="D292" i="75"/>
  <c r="D352" i="75"/>
  <c r="D128" i="86"/>
  <c r="D135" i="86"/>
  <c r="D96" i="86" a="1"/>
  <c r="D96" i="86" s="1"/>
  <c r="C507" i="109"/>
  <c r="C516" i="109"/>
  <c r="B389" i="115"/>
  <c r="D135" i="112"/>
  <c r="D51" i="116"/>
  <c r="D10" i="116"/>
  <c r="D12" i="112"/>
  <c r="AD8" i="63"/>
  <c r="E17" i="112"/>
  <c r="D17" i="113"/>
  <c r="F60" i="87"/>
  <c r="F326" i="87" s="1"/>
  <c r="F61" i="87"/>
  <c r="F327" i="87" s="1"/>
  <c r="I64" i="87"/>
  <c r="H12" i="112"/>
  <c r="AD25" i="63"/>
  <c r="H137" i="112"/>
  <c r="D179" i="85"/>
  <c r="C30" i="112"/>
  <c r="D35" i="113"/>
  <c r="D123" i="113"/>
  <c r="C155" i="112"/>
  <c r="D35" i="116"/>
  <c r="C180" i="112"/>
  <c r="D106" i="116"/>
  <c r="C142" i="112"/>
  <c r="I385" i="87"/>
  <c r="C167" i="112" s="1" a="1"/>
  <c r="C167" i="112" s="1"/>
  <c r="I230" i="87"/>
  <c r="D197" i="112" s="1"/>
  <c r="C73" i="112"/>
  <c r="F225" i="87"/>
  <c r="D73" i="112" s="1"/>
  <c r="M255" i="87"/>
  <c r="D125" i="116"/>
  <c r="D38" i="116"/>
  <c r="O261" i="87"/>
  <c r="F324" i="87"/>
  <c r="F340" i="87"/>
  <c r="I346" i="87"/>
  <c r="G167" i="112" s="1"/>
  <c r="H161" i="112"/>
  <c r="AE47" i="63"/>
  <c r="C206" i="112"/>
  <c r="D126" i="85"/>
  <c r="F32" i="63"/>
  <c r="D206" i="112" s="1"/>
  <c r="D102" i="113"/>
  <c r="E114" i="112"/>
  <c r="C113" i="112"/>
  <c r="B101" i="113" a="1"/>
  <c r="B193" i="75" a="1"/>
  <c r="D394" i="120"/>
  <c r="D117" i="86"/>
  <c r="D171" i="85"/>
  <c r="D117" i="85"/>
  <c r="D51" i="85"/>
  <c r="D378" i="120"/>
  <c r="C25" i="116"/>
  <c r="C84" i="109" s="1"/>
  <c r="C72" i="119"/>
  <c r="D279" i="75"/>
  <c r="D304" i="75"/>
  <c r="D185" i="85"/>
  <c r="D64" i="85"/>
  <c r="D163" i="120"/>
  <c r="D136" i="120"/>
  <c r="D184" i="120"/>
  <c r="D112" i="120"/>
  <c r="D456" i="75"/>
  <c r="D379" i="75"/>
  <c r="D430" i="75"/>
  <c r="D405" i="75"/>
  <c r="D455" i="75"/>
  <c r="D404" i="75"/>
  <c r="D431" i="75"/>
  <c r="D380" i="75"/>
  <c r="D32" i="75" a="1"/>
  <c r="D32" i="75" s="1"/>
  <c r="D348" i="75"/>
  <c r="D265" i="75"/>
  <c r="D248" i="75" a="1"/>
  <c r="D248" i="75" s="1"/>
  <c r="D452" i="75" a="1"/>
  <c r="D452" i="75" s="1"/>
  <c r="D401" i="75" a="1"/>
  <c r="D401" i="75" s="1"/>
  <c r="D427" i="75" a="1"/>
  <c r="D427" i="75" s="1"/>
  <c r="D143" i="86"/>
  <c r="D118" i="86"/>
  <c r="R130" i="63"/>
  <c r="F9" i="85"/>
  <c r="F10" i="86"/>
  <c r="F9" i="86"/>
  <c r="D11" i="85"/>
  <c r="C166" i="85" s="1"/>
  <c r="C64" i="116"/>
  <c r="C467" i="75"/>
  <c r="C443" i="75"/>
  <c r="C469" i="75"/>
  <c r="C433" i="75"/>
  <c r="C418" i="75"/>
  <c r="C66" i="116"/>
  <c r="C113" i="75"/>
  <c r="C126" i="75" s="1"/>
  <c r="C23" i="119"/>
  <c r="C36" i="119" s="1"/>
  <c r="C416" i="75"/>
  <c r="C407" i="75"/>
  <c r="F6" i="120"/>
  <c r="C392" i="75"/>
  <c r="C109" i="75"/>
  <c r="C391" i="75"/>
  <c r="C458" i="75"/>
  <c r="C382" i="75"/>
  <c r="C442" i="75"/>
  <c r="F10" i="120"/>
  <c r="C243" i="120" s="1"/>
  <c r="L173" i="63"/>
  <c r="D142" i="120"/>
  <c r="C325" i="120"/>
  <c r="D349" i="120"/>
  <c r="C58" i="117"/>
  <c r="C80" i="117"/>
  <c r="C627" i="117"/>
  <c r="E115" i="112"/>
  <c r="D103" i="113"/>
  <c r="E123" i="112"/>
  <c r="D111" i="113"/>
  <c r="D116" i="113"/>
  <c r="E128" i="112"/>
  <c r="D168" i="86"/>
  <c r="D212" i="85"/>
  <c r="D509" i="75"/>
  <c r="D520" i="75"/>
  <c r="D118" i="85"/>
  <c r="D374" i="120"/>
  <c r="D237" i="120"/>
  <c r="C46" i="63"/>
  <c r="D471" i="108" s="1"/>
  <c r="D507" i="75"/>
  <c r="D506" i="75"/>
  <c r="D490" i="75"/>
  <c r="C202" i="75"/>
  <c r="C188" i="75"/>
  <c r="C178" i="75"/>
  <c r="C173" i="75"/>
  <c r="C200" i="75"/>
  <c r="C186" i="75"/>
  <c r="C176" i="75"/>
  <c r="C208" i="75"/>
  <c r="C198" i="75"/>
  <c r="C184" i="75"/>
  <c r="C207" i="75"/>
  <c r="C194" i="75"/>
  <c r="C181" i="75"/>
  <c r="C203" i="75"/>
  <c r="C190" i="75"/>
  <c r="C189" i="75"/>
  <c r="C206" i="75"/>
  <c r="C187" i="75"/>
  <c r="C197" i="75"/>
  <c r="C179" i="75"/>
  <c r="C196" i="75"/>
  <c r="C177" i="75"/>
  <c r="C195" i="75"/>
  <c r="C171" i="75"/>
  <c r="C199" i="75"/>
  <c r="C180" i="75"/>
  <c r="C193" i="75"/>
  <c r="C205" i="75"/>
  <c r="C185" i="75"/>
  <c r="C201" i="75"/>
  <c r="C182" i="75"/>
  <c r="D47" i="86"/>
  <c r="D125" i="86"/>
  <c r="D58" i="85"/>
  <c r="E97" i="112"/>
  <c r="D171" i="120"/>
  <c r="D165" i="120"/>
  <c r="C101" i="119"/>
  <c r="C84" i="75"/>
  <c r="C70" i="75"/>
  <c r="C85" i="75" s="1"/>
  <c r="C69" i="75"/>
  <c r="C63" i="120"/>
  <c r="R86" i="63"/>
  <c r="D94" i="112" s="1"/>
  <c r="D277" i="75"/>
  <c r="D293" i="75"/>
  <c r="D353" i="75"/>
  <c r="D332" i="75"/>
  <c r="D358" i="75"/>
  <c r="D336" i="75"/>
  <c r="D318" i="75"/>
  <c r="D302" i="75"/>
  <c r="D95" i="86"/>
  <c r="D48" i="86" a="1"/>
  <c r="D48" i="86" s="1"/>
  <c r="F136" i="63"/>
  <c r="D275" i="109" s="1"/>
  <c r="D167" i="86"/>
  <c r="D103" i="86" a="1"/>
  <c r="D103" i="86" s="1"/>
  <c r="D4" i="120"/>
  <c r="C69" i="120"/>
  <c r="D155" i="120"/>
  <c r="D178" i="120"/>
  <c r="B310" i="120" a="1"/>
  <c r="C311" i="120"/>
  <c r="C62" i="117"/>
  <c r="C81" i="117"/>
  <c r="E92" i="112"/>
  <c r="D142" i="113"/>
  <c r="D38" i="113"/>
  <c r="D126" i="116"/>
  <c r="D39" i="116"/>
  <c r="D210" i="112"/>
  <c r="B129" i="116"/>
  <c r="D131" i="116"/>
  <c r="D44" i="116"/>
  <c r="E116" i="112"/>
  <c r="D104" i="113"/>
  <c r="F452" i="87"/>
  <c r="D115" i="112" s="1"/>
  <c r="I463" i="87"/>
  <c r="D220" i="112" s="1"/>
  <c r="D100" i="95"/>
  <c r="D104" i="95"/>
  <c r="D86" i="95"/>
  <c r="D112" i="95"/>
  <c r="D108" i="95"/>
  <c r="C43" i="63"/>
  <c r="D91" i="112" s="1"/>
  <c r="F11" i="34"/>
  <c r="D11" i="34"/>
  <c r="C17" i="86"/>
  <c r="F9" i="34"/>
  <c r="D9" i="85"/>
  <c r="D10" i="86"/>
  <c r="C39" i="85"/>
  <c r="C200" i="85" s="1"/>
  <c r="C34" i="86"/>
  <c r="C109" i="86" s="1" a="1"/>
  <c r="C109" i="86" s="1"/>
  <c r="C29" i="86"/>
  <c r="C38" i="85"/>
  <c r="C43" i="119"/>
  <c r="C503" i="75"/>
  <c r="C108" i="75"/>
  <c r="C99" i="75"/>
  <c r="C625" i="117"/>
  <c r="C615" i="117"/>
  <c r="C528" i="117"/>
  <c r="C453" i="117"/>
  <c r="C441" i="117"/>
  <c r="C431" i="117"/>
  <c r="C344" i="117"/>
  <c r="C334" i="117"/>
  <c r="C269" i="117"/>
  <c r="C247" i="117"/>
  <c r="C160" i="117"/>
  <c r="C19" i="85"/>
  <c r="C15" i="95"/>
  <c r="C18" i="85"/>
  <c r="D9" i="86"/>
  <c r="C623" i="117"/>
  <c r="C613" i="117"/>
  <c r="C548" i="117"/>
  <c r="C526" i="117"/>
  <c r="C439" i="117"/>
  <c r="C429" i="117"/>
  <c r="C342" i="117"/>
  <c r="C267" i="117"/>
  <c r="C255" i="117"/>
  <c r="C245" i="117"/>
  <c r="C158" i="117"/>
  <c r="C148" i="117"/>
  <c r="C83" i="117"/>
  <c r="C61" i="117"/>
  <c r="C17" i="85"/>
  <c r="C46" i="95"/>
  <c r="C169" i="75"/>
  <c r="C104" i="75"/>
  <c r="C621" i="117"/>
  <c r="C546" i="117"/>
  <c r="C534" i="117"/>
  <c r="C524" i="117"/>
  <c r="C437" i="117"/>
  <c r="C427" i="117"/>
  <c r="C362" i="117"/>
  <c r="C340" i="117"/>
  <c r="C253" i="117"/>
  <c r="C243" i="117"/>
  <c r="C156" i="117"/>
  <c r="C126" i="119"/>
  <c r="C11" i="119"/>
  <c r="C44" i="119" s="1"/>
  <c r="C636" i="117"/>
  <c r="C620" i="117"/>
  <c r="C523" i="117"/>
  <c r="C428" i="117"/>
  <c r="C406" i="117"/>
  <c r="C445" i="117" s="1"/>
  <c r="C360" i="117"/>
  <c r="C346" i="117"/>
  <c r="C251" i="117"/>
  <c r="C155" i="117"/>
  <c r="C63" i="117"/>
  <c r="C34" i="117"/>
  <c r="C73" i="117" s="1"/>
  <c r="C20" i="119"/>
  <c r="C21" i="119" s="1"/>
  <c r="C240" i="75"/>
  <c r="C110" i="75"/>
  <c r="C644" i="117"/>
  <c r="C131" i="119"/>
  <c r="C70" i="119"/>
  <c r="C129" i="119"/>
  <c r="C640" i="117"/>
  <c r="C626" i="117"/>
  <c r="C520" i="117"/>
  <c r="C450" i="117"/>
  <c r="C434" i="117"/>
  <c r="C361" i="117"/>
  <c r="C345" i="117"/>
  <c r="C244" i="117"/>
  <c r="C174" i="117"/>
  <c r="C159" i="117"/>
  <c r="C82" i="117"/>
  <c r="C69" i="117"/>
  <c r="C57" i="117"/>
  <c r="C125" i="119"/>
  <c r="C130" i="119" s="1"/>
  <c r="C15" i="119"/>
  <c r="C639" i="117"/>
  <c r="C118" i="119"/>
  <c r="C79" i="119"/>
  <c r="C42" i="119"/>
  <c r="C100" i="75"/>
  <c r="C102" i="75" s="1"/>
  <c r="C616" i="117"/>
  <c r="C543" i="117"/>
  <c r="C527" i="117"/>
  <c r="C515" i="75"/>
  <c r="C614" i="117"/>
  <c r="C525" i="117"/>
  <c r="C454" i="117"/>
  <c r="C438" i="117"/>
  <c r="C335" i="117"/>
  <c r="C264" i="117"/>
  <c r="C249" i="117"/>
  <c r="C179" i="117"/>
  <c r="C149" i="117"/>
  <c r="C60" i="117"/>
  <c r="C111" i="75"/>
  <c r="C612" i="117"/>
  <c r="C101" i="75"/>
  <c r="C105" i="75" s="1"/>
  <c r="C622" i="117"/>
  <c r="C551" i="117"/>
  <c r="C530" i="117"/>
  <c r="C339" i="117"/>
  <c r="C313" i="117"/>
  <c r="C352" i="117" s="1"/>
  <c r="C240" i="117"/>
  <c r="C176" i="117"/>
  <c r="C161" i="117"/>
  <c r="C55" i="117"/>
  <c r="D10" i="120"/>
  <c r="C641" i="117"/>
  <c r="C619" i="117"/>
  <c r="C547" i="117"/>
  <c r="C529" i="117"/>
  <c r="C357" i="117"/>
  <c r="C338" i="117"/>
  <c r="C175" i="117"/>
  <c r="C157" i="117"/>
  <c r="C68" i="117"/>
  <c r="C54" i="117"/>
  <c r="C638" i="117"/>
  <c r="C618" i="117"/>
  <c r="C545" i="117"/>
  <c r="C522" i="117"/>
  <c r="C440" i="117"/>
  <c r="C337" i="117"/>
  <c r="C173" i="117"/>
  <c r="C154" i="117"/>
  <c r="C86" i="117"/>
  <c r="C67" i="117"/>
  <c r="C77" i="120"/>
  <c r="U205" i="63"/>
  <c r="C9" i="119"/>
  <c r="C617" i="117"/>
  <c r="C521" i="117"/>
  <c r="C458" i="117"/>
  <c r="C436" i="117"/>
  <c r="C336" i="117"/>
  <c r="C254" i="117"/>
  <c r="C153" i="117"/>
  <c r="C519" i="117"/>
  <c r="C455" i="117"/>
  <c r="C435" i="117"/>
  <c r="C333" i="117"/>
  <c r="C272" i="117"/>
  <c r="C252" i="117"/>
  <c r="C171" i="117"/>
  <c r="C123" i="119"/>
  <c r="C127" i="119" s="1"/>
  <c r="C162" i="75"/>
  <c r="C170" i="75" s="1"/>
  <c r="C533" i="117"/>
  <c r="C430" i="117"/>
  <c r="C347" i="117"/>
  <c r="C246" i="117"/>
  <c r="C147" i="117"/>
  <c r="C59" i="117"/>
  <c r="D12" i="120"/>
  <c r="C203" i="119"/>
  <c r="C624" i="117"/>
  <c r="C592" i="117"/>
  <c r="C631" i="117" s="1"/>
  <c r="C531" i="117"/>
  <c r="C499" i="117"/>
  <c r="C538" i="117" s="1"/>
  <c r="C359" i="117"/>
  <c r="C341" i="117"/>
  <c r="C241" i="117"/>
  <c r="C162" i="117"/>
  <c r="C56" i="117"/>
  <c r="C92" i="112"/>
  <c r="B38" i="113"/>
  <c r="AA65" i="63"/>
  <c r="D341" i="75"/>
  <c r="D425" i="75"/>
  <c r="D323" i="75"/>
  <c r="D374" i="75"/>
  <c r="D220" i="75"/>
  <c r="D450" i="75"/>
  <c r="D399" i="75"/>
  <c r="D426" i="75"/>
  <c r="D400" i="75"/>
  <c r="D342" i="75"/>
  <c r="D375" i="75"/>
  <c r="D82" i="75"/>
  <c r="D423" i="75"/>
  <c r="D28" i="75"/>
  <c r="D45" i="75"/>
  <c r="D448" i="75"/>
  <c r="D397" i="75"/>
  <c r="D502" i="75"/>
  <c r="D525" i="75"/>
  <c r="D496" i="75"/>
  <c r="D90" i="75"/>
  <c r="D514" i="75"/>
  <c r="D372" i="75"/>
  <c r="D415" i="120"/>
  <c r="D418" i="120"/>
  <c r="D338" i="120" a="1"/>
  <c r="D338" i="120" s="1"/>
  <c r="D341" i="120" a="1"/>
  <c r="D341" i="120" s="1"/>
  <c r="D79" i="86"/>
  <c r="D54" i="86"/>
  <c r="D74" i="86"/>
  <c r="D64" i="119"/>
  <c r="D15" i="119"/>
  <c r="D181" i="119"/>
  <c r="D29" i="119"/>
  <c r="D57" i="119"/>
  <c r="D60" i="119"/>
  <c r="D155" i="119"/>
  <c r="D107" i="119"/>
  <c r="D103" i="119"/>
  <c r="D111" i="119"/>
  <c r="F5" i="120"/>
  <c r="D130" i="120"/>
  <c r="D240" i="120"/>
  <c r="D267" i="120"/>
  <c r="C294" i="120"/>
  <c r="C84" i="119" s="1"/>
  <c r="C64" i="117"/>
  <c r="C150" i="117"/>
  <c r="C205" i="119"/>
  <c r="C86" i="116"/>
  <c r="C71" i="116"/>
  <c r="C319" i="120"/>
  <c r="C317" i="120"/>
  <c r="C322" i="120"/>
  <c r="C312" i="120"/>
  <c r="C320" i="120"/>
  <c r="C310" i="120"/>
  <c r="D77" i="75"/>
  <c r="D92" i="75"/>
  <c r="D52" i="75"/>
  <c r="D46" i="75"/>
  <c r="D60" i="75"/>
  <c r="D275" i="75"/>
  <c r="D330" i="75"/>
  <c r="D291" i="75"/>
  <c r="D351" i="75"/>
  <c r="D98" i="86"/>
  <c r="D108" i="85"/>
  <c r="D149" i="75"/>
  <c r="D142" i="75"/>
  <c r="D202" i="119"/>
  <c r="D212" i="119"/>
  <c r="D173" i="119"/>
  <c r="D175" i="119"/>
  <c r="D204" i="120"/>
  <c r="D241" i="120"/>
  <c r="C297" i="120"/>
  <c r="C314" i="120"/>
  <c r="D351" i="120" a="1"/>
  <c r="D351" i="120" s="1"/>
  <c r="C65" i="117"/>
  <c r="C151" i="117"/>
  <c r="C343" i="117"/>
  <c r="C215" i="112"/>
  <c r="D343" i="120"/>
  <c r="D60" i="113"/>
  <c r="D59" i="113"/>
  <c r="E101" i="112"/>
  <c r="D191" i="120"/>
  <c r="B121" i="116"/>
  <c r="B120" i="116"/>
  <c r="C210" i="112"/>
  <c r="B42" i="116"/>
  <c r="D164" i="86"/>
  <c r="D208" i="85"/>
  <c r="C97" i="112"/>
  <c r="O120" i="63"/>
  <c r="R129" i="63"/>
  <c r="D113" i="119"/>
  <c r="D105" i="119"/>
  <c r="D109" i="119"/>
  <c r="F11" i="120"/>
  <c r="C74" i="120"/>
  <c r="D256" i="120"/>
  <c r="D283" i="120"/>
  <c r="C315" i="120"/>
  <c r="D332" i="120" a="1"/>
  <c r="D332" i="120" s="1"/>
  <c r="D345" i="120" a="1"/>
  <c r="D345" i="120" s="1"/>
  <c r="D352" i="120"/>
  <c r="C66" i="117"/>
  <c r="C152" i="117"/>
  <c r="C266" i="117"/>
  <c r="C348" i="117"/>
  <c r="C426" i="117"/>
  <c r="C183" i="75"/>
  <c r="C42" i="63"/>
  <c r="D90" i="112" s="1"/>
  <c r="D138" i="85"/>
  <c r="D45" i="85"/>
  <c r="D94" i="86"/>
  <c r="D104" i="85"/>
  <c r="D50" i="85"/>
  <c r="D46" i="86"/>
  <c r="D124" i="86"/>
  <c r="D57" i="85"/>
  <c r="D133" i="86"/>
  <c r="C87" i="112"/>
  <c r="D360" i="120"/>
  <c r="C99" i="119"/>
  <c r="D12" i="85"/>
  <c r="C176" i="85" s="1"/>
  <c r="C305" i="120"/>
  <c r="C295" i="120"/>
  <c r="C87" i="119" s="1"/>
  <c r="C269" i="120"/>
  <c r="C303" i="120"/>
  <c r="C293" i="120"/>
  <c r="C81" i="119" s="1"/>
  <c r="C308" i="120"/>
  <c r="C298" i="120"/>
  <c r="C306" i="120"/>
  <c r="C296" i="120"/>
  <c r="C90" i="119" s="1"/>
  <c r="C270" i="120"/>
  <c r="C281" i="120" s="1"/>
  <c r="E95" i="112"/>
  <c r="D147" i="120"/>
  <c r="D477" i="75"/>
  <c r="D487" i="75"/>
  <c r="D326" i="75" a="1"/>
  <c r="D326" i="75" s="1"/>
  <c r="D249" i="75" a="1"/>
  <c r="D249" i="75" s="1"/>
  <c r="D266" i="75" a="1"/>
  <c r="D266" i="75" s="1"/>
  <c r="D345" i="75" a="1"/>
  <c r="D345" i="75" s="1"/>
  <c r="D144" i="86"/>
  <c r="D119" i="86" a="1"/>
  <c r="D119" i="86" s="1"/>
  <c r="F137" i="63"/>
  <c r="D136" i="86"/>
  <c r="D129" i="86"/>
  <c r="D76" i="85"/>
  <c r="D97" i="85"/>
  <c r="D102" i="85"/>
  <c r="D146" i="85"/>
  <c r="D88" i="85"/>
  <c r="D211" i="85"/>
  <c r="D113" i="85"/>
  <c r="D198" i="85"/>
  <c r="D184" i="85"/>
  <c r="D201" i="119"/>
  <c r="D152" i="119"/>
  <c r="D161" i="119"/>
  <c r="D142" i="119"/>
  <c r="D96" i="119"/>
  <c r="D69" i="119"/>
  <c r="D50" i="119"/>
  <c r="D151" i="119"/>
  <c r="D61" i="119"/>
  <c r="D169" i="119"/>
  <c r="D162" i="119"/>
  <c r="D58" i="119"/>
  <c r="D77" i="119"/>
  <c r="D211" i="119"/>
  <c r="F12" i="120"/>
  <c r="C381" i="120" s="1"/>
  <c r="D276" i="120"/>
  <c r="C300" i="120"/>
  <c r="C316" i="120"/>
  <c r="C220" i="117"/>
  <c r="C259" i="117" s="1"/>
  <c r="C268" i="117"/>
  <c r="C432" i="117"/>
  <c r="C191" i="75"/>
  <c r="D451" i="75"/>
  <c r="D52" i="119"/>
  <c r="D154" i="119"/>
  <c r="D59" i="119" a="1"/>
  <c r="D59" i="119" s="1"/>
  <c r="D108" i="119"/>
  <c r="D104" i="119"/>
  <c r="D285" i="120" a="1"/>
  <c r="D285" i="120" s="1"/>
  <c r="C301" i="120"/>
  <c r="C318" i="120"/>
  <c r="C433" i="117"/>
  <c r="C103" i="75"/>
  <c r="D281" i="75"/>
  <c r="D127" i="116"/>
  <c r="D40" i="116"/>
  <c r="D147" i="113"/>
  <c r="E93" i="112"/>
  <c r="D43" i="113"/>
  <c r="I324" i="87"/>
  <c r="G40" i="112"/>
  <c r="D92" i="113"/>
  <c r="H39" i="112"/>
  <c r="D79" i="113"/>
  <c r="D109" i="113"/>
  <c r="E121" i="112"/>
  <c r="D114" i="113"/>
  <c r="E126" i="112"/>
  <c r="I472" i="87"/>
  <c r="D229" i="112" s="1"/>
  <c r="AE37" i="63"/>
  <c r="AA64" i="63"/>
  <c r="AA70" i="63"/>
  <c r="D97" i="86"/>
  <c r="D134" i="86"/>
  <c r="D139" i="85"/>
  <c r="D126" i="86"/>
  <c r="D107" i="85"/>
  <c r="D369" i="120"/>
  <c r="D280" i="75"/>
  <c r="D305" i="75"/>
  <c r="D216" i="75"/>
  <c r="D159" i="75"/>
  <c r="D226" i="75"/>
  <c r="D215" i="75"/>
  <c r="D132" i="75"/>
  <c r="D225" i="75"/>
  <c r="D235" i="75"/>
  <c r="D168" i="75"/>
  <c r="D148" i="75"/>
  <c r="D516" i="75"/>
  <c r="D486" i="75"/>
  <c r="D140" i="75"/>
  <c r="D151" i="75"/>
  <c r="D234" i="75"/>
  <c r="D476" i="75"/>
  <c r="D227" i="75"/>
  <c r="D154" i="75"/>
  <c r="D273" i="75"/>
  <c r="D119" i="75"/>
  <c r="D147" i="75"/>
  <c r="D125" i="75"/>
  <c r="D313" i="75"/>
  <c r="D530" i="75"/>
  <c r="D298" i="75"/>
  <c r="D262" i="75"/>
  <c r="D246" i="75"/>
  <c r="D504" i="75"/>
  <c r="O119" i="63"/>
  <c r="D459" i="75"/>
  <c r="D434" i="75"/>
  <c r="D408" i="75"/>
  <c r="D105" i="85"/>
  <c r="D59" i="85"/>
  <c r="D110" i="85"/>
  <c r="D134" i="85"/>
  <c r="C28" i="120"/>
  <c r="C88" i="120"/>
  <c r="D197" i="120"/>
  <c r="D277" i="120"/>
  <c r="C302" i="120"/>
  <c r="C321" i="120"/>
  <c r="D370" i="120"/>
  <c r="D405" i="120"/>
  <c r="C242" i="117"/>
  <c r="D141" i="75"/>
  <c r="C204" i="75"/>
  <c r="D288" i="75"/>
  <c r="E210" i="112"/>
  <c r="D42" i="116"/>
  <c r="D129" i="116"/>
  <c r="F450" i="87"/>
  <c r="D113" i="112" s="1"/>
  <c r="F455" i="87"/>
  <c r="D118" i="112" s="1"/>
  <c r="I461" i="87"/>
  <c r="D218" i="112" s="1"/>
  <c r="I467" i="87"/>
  <c r="D224" i="112" s="1"/>
  <c r="D115" i="86"/>
  <c r="E204" i="112"/>
  <c r="D142" i="86"/>
  <c r="E100" i="112"/>
  <c r="D189" i="120"/>
  <c r="C209" i="112"/>
  <c r="B37" i="116"/>
  <c r="D518" i="75"/>
  <c r="D517" i="75"/>
  <c r="AA60" i="63"/>
  <c r="D290" i="120"/>
  <c r="D232" i="120"/>
  <c r="C93" i="112"/>
  <c r="B43" i="113"/>
  <c r="D114" i="116"/>
  <c r="D67" i="116"/>
  <c r="D84" i="75"/>
  <c r="D381" i="75"/>
  <c r="D432" i="75"/>
  <c r="D406" i="75"/>
  <c r="D457" i="75"/>
  <c r="D187" i="85"/>
  <c r="D233" i="120"/>
  <c r="D87" i="86" a="1"/>
  <c r="D87" i="86" s="1"/>
  <c r="D114" i="86"/>
  <c r="D92" i="86"/>
  <c r="D149" i="86"/>
  <c r="D141" i="86"/>
  <c r="D52" i="85"/>
  <c r="D124" i="85"/>
  <c r="L175" i="63"/>
  <c r="D320" i="108" s="1"/>
  <c r="D354" i="117"/>
  <c r="D168" i="117"/>
  <c r="D447" i="117"/>
  <c r="D540" i="117"/>
  <c r="D75" i="117"/>
  <c r="C36" i="120"/>
  <c r="D97" i="120"/>
  <c r="D124" i="120"/>
  <c r="D149" i="120"/>
  <c r="D187" i="120"/>
  <c r="C304" i="120"/>
  <c r="C323" i="120"/>
  <c r="D348" i="120" a="1"/>
  <c r="D348" i="120" s="1"/>
  <c r="D354" i="120" a="1"/>
  <c r="D354" i="120" s="1"/>
  <c r="C78" i="117"/>
  <c r="C248" i="117"/>
  <c r="C365" i="117"/>
  <c r="B139" i="113"/>
  <c r="B138" i="113"/>
  <c r="E94" i="112"/>
  <c r="D145" i="120"/>
  <c r="D402" i="75"/>
  <c r="D453" i="75"/>
  <c r="D377" i="75"/>
  <c r="D278" i="75"/>
  <c r="D428" i="75"/>
  <c r="D303" i="75"/>
  <c r="C165" i="112"/>
  <c r="C140" i="112"/>
  <c r="D291" i="120"/>
  <c r="D361" i="120"/>
  <c r="D368" i="120"/>
  <c r="D127" i="85"/>
  <c r="D71" i="85"/>
  <c r="D92" i="85"/>
  <c r="D150" i="85"/>
  <c r="C307" i="120"/>
  <c r="C324" i="120"/>
  <c r="D335" i="120" a="1"/>
  <c r="D335" i="120" s="1"/>
  <c r="D379" i="120"/>
  <c r="C127" i="117"/>
  <c r="C166" i="117" s="1"/>
  <c r="C250" i="117"/>
  <c r="C532" i="117"/>
  <c r="C372" i="75"/>
  <c r="C45" i="75"/>
  <c r="C502" i="75"/>
  <c r="C496" i="75"/>
  <c r="C90" i="75"/>
  <c r="C397" i="75"/>
  <c r="C525" i="75"/>
  <c r="C448" i="75"/>
  <c r="C423" i="75"/>
  <c r="C514" i="75"/>
  <c r="C28" i="75"/>
  <c r="C82" i="75"/>
  <c r="D53" i="85"/>
  <c r="D46" i="85" a="1"/>
  <c r="D46" i="85" s="1"/>
  <c r="D122" i="85"/>
  <c r="D140" i="85"/>
  <c r="D112" i="85"/>
  <c r="D133" i="85"/>
  <c r="D106" i="85"/>
  <c r="D91" i="119" a="1"/>
  <c r="D91" i="119" s="1"/>
  <c r="D85" i="119" a="1"/>
  <c r="D85" i="119" s="1"/>
  <c r="D88" i="119" a="1"/>
  <c r="D88" i="119" s="1"/>
  <c r="C166" i="86"/>
  <c r="D166" i="86" s="1"/>
  <c r="D165" i="86"/>
  <c r="C210" i="85"/>
  <c r="D210" i="85" s="1"/>
  <c r="D209" i="85"/>
  <c r="C185" i="108" l="1"/>
  <c r="E185" i="65"/>
  <c r="C542" i="109"/>
  <c r="C548" i="109"/>
  <c r="C281" i="115"/>
  <c r="C336" i="115" s="1"/>
  <c r="C121" i="109"/>
  <c r="D11" i="115"/>
  <c r="E220" i="115"/>
  <c r="C368" i="120"/>
  <c r="C361" i="120"/>
  <c r="C186" i="85"/>
  <c r="C66" i="85"/>
  <c r="C50" i="109"/>
  <c r="C76" i="109"/>
  <c r="B184" i="75"/>
  <c r="B182" i="75"/>
  <c r="B190" i="75"/>
  <c r="B180" i="75"/>
  <c r="B183" i="75"/>
  <c r="B191" i="75"/>
  <c r="B177" i="75"/>
  <c r="B187" i="75"/>
  <c r="B186" i="75"/>
  <c r="B176" i="75"/>
  <c r="B189" i="75"/>
  <c r="B188" i="75"/>
  <c r="B185" i="75"/>
  <c r="B181" i="75"/>
  <c r="B179" i="75"/>
  <c r="B178" i="75"/>
  <c r="C83" i="119"/>
  <c r="C102" i="119"/>
  <c r="C333" i="120"/>
  <c r="F20" i="112" a="1"/>
  <c r="F20" i="112" s="1"/>
  <c r="F45" i="112"/>
  <c r="C175" i="119"/>
  <c r="C81" i="95"/>
  <c r="C39" i="95"/>
  <c r="C76" i="95"/>
  <c r="C58" i="95"/>
  <c r="D193" i="85"/>
  <c r="C193" i="85"/>
  <c r="C35" i="95"/>
  <c r="C96" i="95"/>
  <c r="C21" i="95"/>
  <c r="C51" i="95"/>
  <c r="C20" i="95"/>
  <c r="C90" i="95"/>
  <c r="C94" i="95"/>
  <c r="C45" i="95"/>
  <c r="C44" i="95"/>
  <c r="U11" i="63"/>
  <c r="D45" i="95" s="1"/>
  <c r="U9" i="63"/>
  <c r="U21" i="63"/>
  <c r="U33" i="63"/>
  <c r="U10" i="63"/>
  <c r="AA61" i="63"/>
  <c r="C19" i="95" s="1"/>
  <c r="U14" i="63"/>
  <c r="U12" i="63"/>
  <c r="U8" i="63"/>
  <c r="U17" i="63"/>
  <c r="U13" i="63"/>
  <c r="D96" i="95" s="1"/>
  <c r="U16" i="63"/>
  <c r="C149" i="113"/>
  <c r="C45" i="113"/>
  <c r="C391" i="108"/>
  <c r="C555" i="108"/>
  <c r="C569" i="108"/>
  <c r="C342" i="115"/>
  <c r="C305" i="108"/>
  <c r="C65" i="113" s="1"/>
  <c r="C278" i="120"/>
  <c r="C291" i="120"/>
  <c r="C279" i="120"/>
  <c r="C253" i="120"/>
  <c r="C260" i="120"/>
  <c r="C238" i="120"/>
  <c r="C230" i="120"/>
  <c r="C248" i="120"/>
  <c r="C277" i="120"/>
  <c r="C262" i="75"/>
  <c r="C530" i="75"/>
  <c r="C298" i="75"/>
  <c r="C147" i="75"/>
  <c r="C119" i="75"/>
  <c r="C504" i="75"/>
  <c r="C288" i="75"/>
  <c r="C125" i="75"/>
  <c r="C246" i="75"/>
  <c r="C227" i="75"/>
  <c r="C154" i="75"/>
  <c r="C313" i="75"/>
  <c r="C273" i="75"/>
  <c r="C67" i="95"/>
  <c r="C66" i="95"/>
  <c r="C52" i="95"/>
  <c r="C68" i="95"/>
  <c r="C136" i="86"/>
  <c r="C129" i="86"/>
  <c r="B208" i="75"/>
  <c r="B198" i="75"/>
  <c r="B206" i="75"/>
  <c r="B196" i="75"/>
  <c r="B204" i="75"/>
  <c r="B194" i="75"/>
  <c r="B195" i="75"/>
  <c r="B203" i="75"/>
  <c r="B207" i="75"/>
  <c r="B205" i="75"/>
  <c r="B197" i="75"/>
  <c r="B193" i="75"/>
  <c r="B202" i="75"/>
  <c r="B201" i="75"/>
  <c r="B200" i="75"/>
  <c r="B199" i="75"/>
  <c r="F141" i="112"/>
  <c r="I315" i="87"/>
  <c r="AA99" i="63"/>
  <c r="I72" i="54"/>
  <c r="J72" i="54"/>
  <c r="H72" i="54"/>
  <c r="C409" i="115"/>
  <c r="C307" i="115"/>
  <c r="C291" i="115"/>
  <c r="C299" i="115"/>
  <c r="C283" i="115"/>
  <c r="C256" i="115"/>
  <c r="C268" i="108"/>
  <c r="C84" i="113" s="1"/>
  <c r="C365" i="108"/>
  <c r="C91" i="113" s="1"/>
  <c r="C252" i="108"/>
  <c r="C70" i="113" s="1"/>
  <c r="C225" i="108"/>
  <c r="C260" i="108"/>
  <c r="C77" i="113" s="1"/>
  <c r="C111" i="119"/>
  <c r="C107" i="119"/>
  <c r="C284" i="120"/>
  <c r="C103" i="119"/>
  <c r="C340" i="120"/>
  <c r="C344" i="120"/>
  <c r="C334" i="120"/>
  <c r="C347" i="120"/>
  <c r="C353" i="120"/>
  <c r="C331" i="120"/>
  <c r="C350" i="120"/>
  <c r="C337" i="120"/>
  <c r="C283" i="120"/>
  <c r="C280" i="120"/>
  <c r="C79" i="116"/>
  <c r="C106" i="113"/>
  <c r="C104" i="113"/>
  <c r="C111" i="113"/>
  <c r="C103" i="113"/>
  <c r="C110" i="113"/>
  <c r="C116" i="113"/>
  <c r="C108" i="113"/>
  <c r="C87" i="113"/>
  <c r="D87" i="113" s="1"/>
  <c r="C114" i="113"/>
  <c r="C113" i="113"/>
  <c r="C112" i="113"/>
  <c r="C107" i="113"/>
  <c r="C72" i="113"/>
  <c r="C105" i="113"/>
  <c r="C102" i="113"/>
  <c r="C115" i="113"/>
  <c r="C101" i="113"/>
  <c r="C80" i="113"/>
  <c r="C109" i="113"/>
  <c r="C293" i="115"/>
  <c r="C275" i="115"/>
  <c r="C265" i="115"/>
  <c r="C305" i="115"/>
  <c r="C274" i="115"/>
  <c r="C264" i="115"/>
  <c r="C304" i="115"/>
  <c r="C289" i="115"/>
  <c r="C273" i="115"/>
  <c r="C263" i="115"/>
  <c r="C285" i="115"/>
  <c r="C270" i="115"/>
  <c r="C258" i="115"/>
  <c r="C414" i="115"/>
  <c r="C313" i="115"/>
  <c r="C269" i="115"/>
  <c r="C257" i="115"/>
  <c r="C413" i="115"/>
  <c r="C312" i="115"/>
  <c r="C297" i="115"/>
  <c r="C268" i="115"/>
  <c r="C411" i="115"/>
  <c r="C311" i="115"/>
  <c r="C296" i="115"/>
  <c r="C267" i="115"/>
  <c r="C367" i="108"/>
  <c r="C94" i="113" s="1"/>
  <c r="C272" i="115"/>
  <c r="C370" i="108"/>
  <c r="C96" i="113" s="1"/>
  <c r="C270" i="108"/>
  <c r="C258" i="108"/>
  <c r="C74" i="113" s="1"/>
  <c r="C243" i="108"/>
  <c r="C233" i="108"/>
  <c r="C309" i="115"/>
  <c r="C271" i="115"/>
  <c r="C369" i="108"/>
  <c r="C95" i="113" s="1"/>
  <c r="C257" i="108"/>
  <c r="C75" i="113" s="1"/>
  <c r="C242" i="108"/>
  <c r="C232" i="108"/>
  <c r="C303" i="115"/>
  <c r="C266" i="115"/>
  <c r="C256" i="108"/>
  <c r="C71" i="113" s="1"/>
  <c r="C241" i="108"/>
  <c r="C231" i="108"/>
  <c r="C301" i="115"/>
  <c r="C262" i="115"/>
  <c r="C366" i="108"/>
  <c r="C92" i="113" s="1"/>
  <c r="C266" i="108"/>
  <c r="C254" i="108"/>
  <c r="C240" i="108"/>
  <c r="C230" i="108"/>
  <c r="C261" i="115"/>
  <c r="C265" i="108"/>
  <c r="C239" i="108"/>
  <c r="C227" i="108"/>
  <c r="C295" i="115"/>
  <c r="C238" i="108"/>
  <c r="C226" i="108"/>
  <c r="C288" i="115"/>
  <c r="C274" i="108"/>
  <c r="C89" i="113" s="1"/>
  <c r="C264" i="108"/>
  <c r="C78" i="113" s="1"/>
  <c r="C237" i="108"/>
  <c r="C287" i="115"/>
  <c r="C273" i="108"/>
  <c r="C88" i="113" s="1"/>
  <c r="C262" i="108"/>
  <c r="C236" i="108"/>
  <c r="C410" i="115"/>
  <c r="C245" i="108"/>
  <c r="C235" i="108"/>
  <c r="C276" i="115"/>
  <c r="C272" i="108"/>
  <c r="C85" i="113" s="1"/>
  <c r="C244" i="108"/>
  <c r="C234" i="108"/>
  <c r="C105" i="85"/>
  <c r="C59" i="85"/>
  <c r="C140" i="75"/>
  <c r="C486" i="75"/>
  <c r="C234" i="75"/>
  <c r="C168" i="75"/>
  <c r="C516" i="75"/>
  <c r="C159" i="75"/>
  <c r="C476" i="75"/>
  <c r="C215" i="75"/>
  <c r="C132" i="75"/>
  <c r="C226" i="75"/>
  <c r="C225" i="75"/>
  <c r="C216" i="75"/>
  <c r="C106" i="85"/>
  <c r="C122" i="85"/>
  <c r="C140" i="85"/>
  <c r="C133" i="85"/>
  <c r="C224" i="120"/>
  <c r="C231" i="120"/>
  <c r="C113" i="119"/>
  <c r="C105" i="119"/>
  <c r="C109" i="119"/>
  <c r="B116" i="113"/>
  <c r="B106" i="113"/>
  <c r="B114" i="113"/>
  <c r="B104" i="113"/>
  <c r="B112" i="113"/>
  <c r="B102" i="113"/>
  <c r="B111" i="113"/>
  <c r="B109" i="113"/>
  <c r="B107" i="113"/>
  <c r="B103" i="113"/>
  <c r="B115" i="113"/>
  <c r="B113" i="113"/>
  <c r="B110" i="113"/>
  <c r="B105" i="113"/>
  <c r="B108" i="113"/>
  <c r="B101" i="113"/>
  <c r="C396" i="120"/>
  <c r="C405" i="120"/>
  <c r="C89" i="119"/>
  <c r="C110" i="119"/>
  <c r="C339" i="120"/>
  <c r="C111" i="120"/>
  <c r="C527" i="108"/>
  <c r="C504" i="108"/>
  <c r="C572" i="108" a="1"/>
  <c r="C572" i="108" s="1"/>
  <c r="C497" i="108"/>
  <c r="C480" i="108"/>
  <c r="C521" i="108"/>
  <c r="C511" i="108" a="1"/>
  <c r="C511" i="108" s="1"/>
  <c r="C478" i="108"/>
  <c r="C502" i="108" a="1"/>
  <c r="C502" i="108" s="1"/>
  <c r="C476" i="108"/>
  <c r="C485" i="108"/>
  <c r="C500" i="108"/>
  <c r="AA98" i="63"/>
  <c r="AA97" i="63"/>
  <c r="J71" i="54"/>
  <c r="I71" i="54"/>
  <c r="H71" i="54"/>
  <c r="G71" i="54"/>
  <c r="C229" i="119"/>
  <c r="C57" i="119"/>
  <c r="C29" i="119"/>
  <c r="C181" i="119"/>
  <c r="C64" i="119"/>
  <c r="C35" i="119"/>
  <c r="C655" i="117"/>
  <c r="C600" i="117"/>
  <c r="C584" i="117"/>
  <c r="C574" i="117"/>
  <c r="C515" i="117"/>
  <c r="C487" i="117"/>
  <c r="C475" i="117"/>
  <c r="C418" i="117"/>
  <c r="C400" i="117"/>
  <c r="C390" i="117"/>
  <c r="C374" i="117"/>
  <c r="C319" i="117"/>
  <c r="C303" i="117"/>
  <c r="C293" i="117"/>
  <c r="C206" i="117"/>
  <c r="C190" i="117"/>
  <c r="C653" i="117"/>
  <c r="C598" i="117"/>
  <c r="C582" i="117"/>
  <c r="C572" i="117"/>
  <c r="C485" i="117"/>
  <c r="C469" i="117"/>
  <c r="C414" i="117"/>
  <c r="C398" i="117"/>
  <c r="C388" i="117"/>
  <c r="C329" i="117"/>
  <c r="C301" i="117"/>
  <c r="C289" i="117"/>
  <c r="C232" i="117"/>
  <c r="C214" i="117"/>
  <c r="C204" i="117"/>
  <c r="C188" i="117"/>
  <c r="C133" i="117"/>
  <c r="C117" i="117"/>
  <c r="C107" i="117"/>
  <c r="C608" i="117"/>
  <c r="C580" i="117"/>
  <c r="C568" i="117"/>
  <c r="C511" i="117"/>
  <c r="C493" i="117"/>
  <c r="C483" i="117"/>
  <c r="C467" i="117"/>
  <c r="C412" i="117"/>
  <c r="C396" i="117"/>
  <c r="C386" i="117"/>
  <c r="C299" i="117"/>
  <c r="C283" i="117"/>
  <c r="C228" i="117"/>
  <c r="C212" i="117"/>
  <c r="C202" i="117"/>
  <c r="C604" i="117"/>
  <c r="C581" i="117"/>
  <c r="C561" i="117"/>
  <c r="C505" i="117"/>
  <c r="C486" i="117"/>
  <c r="C389" i="117"/>
  <c r="C328" i="117"/>
  <c r="C307" i="117"/>
  <c r="C294" i="117"/>
  <c r="C235" i="117"/>
  <c r="C213" i="117"/>
  <c r="C197" i="117"/>
  <c r="C122" i="117"/>
  <c r="C111" i="117"/>
  <c r="C93" i="117"/>
  <c r="C49" i="117"/>
  <c r="C21" i="117"/>
  <c r="C546" i="120"/>
  <c r="C529" i="120"/>
  <c r="C512" i="120"/>
  <c r="C583" i="117"/>
  <c r="C560" i="117"/>
  <c r="C494" i="117"/>
  <c r="C479" i="117"/>
  <c r="C413" i="117"/>
  <c r="C392" i="117"/>
  <c r="C325" i="117"/>
  <c r="C304" i="117"/>
  <c r="C281" i="117"/>
  <c r="C203" i="117"/>
  <c r="C142" i="117"/>
  <c r="C121" i="117"/>
  <c r="C109" i="117"/>
  <c r="C41" i="117"/>
  <c r="C24" i="117"/>
  <c r="C11" i="117"/>
  <c r="C573" i="117"/>
  <c r="C506" i="117"/>
  <c r="C654" i="117"/>
  <c r="C587" i="117"/>
  <c r="C569" i="117"/>
  <c r="C503" i="117"/>
  <c r="C482" i="117"/>
  <c r="C395" i="117"/>
  <c r="C375" i="117"/>
  <c r="C308" i="117"/>
  <c r="C290" i="117"/>
  <c r="C227" i="117"/>
  <c r="C208" i="117"/>
  <c r="C113" i="117"/>
  <c r="C95" i="117"/>
  <c r="C46" i="117"/>
  <c r="C27" i="117"/>
  <c r="C16" i="117"/>
  <c r="C560" i="120"/>
  <c r="C550" i="120"/>
  <c r="C651" i="117"/>
  <c r="C586" i="117"/>
  <c r="C421" i="117"/>
  <c r="C393" i="117"/>
  <c r="C210" i="117"/>
  <c r="C139" i="117"/>
  <c r="C116" i="117"/>
  <c r="C96" i="117"/>
  <c r="C17" i="117"/>
  <c r="C518" i="120"/>
  <c r="C585" i="117"/>
  <c r="C492" i="117"/>
  <c r="C468" i="117"/>
  <c r="C420" i="117"/>
  <c r="C391" i="117"/>
  <c r="C282" i="117"/>
  <c r="C236" i="117"/>
  <c r="C209" i="117"/>
  <c r="C115" i="117"/>
  <c r="C29" i="117"/>
  <c r="C15" i="117"/>
  <c r="C579" i="117"/>
  <c r="C491" i="117"/>
  <c r="C465" i="117"/>
  <c r="C387" i="117"/>
  <c r="C306" i="117"/>
  <c r="C279" i="117"/>
  <c r="C234" i="117"/>
  <c r="C207" i="117"/>
  <c r="C135" i="117"/>
  <c r="C114" i="117"/>
  <c r="C50" i="117"/>
  <c r="C28" i="117"/>
  <c r="C14" i="117"/>
  <c r="C545" i="120"/>
  <c r="C526" i="120"/>
  <c r="C578" i="117"/>
  <c r="C490" i="117"/>
  <c r="C410" i="117"/>
  <c r="C383" i="117"/>
  <c r="C305" i="117"/>
  <c r="C205" i="117"/>
  <c r="C134" i="117"/>
  <c r="C607" i="117"/>
  <c r="C577" i="117"/>
  <c r="C489" i="117"/>
  <c r="C382" i="117"/>
  <c r="C302" i="117"/>
  <c r="C226" i="117"/>
  <c r="C201" i="117"/>
  <c r="C599" i="117"/>
  <c r="C481" i="117"/>
  <c r="C399" i="117"/>
  <c r="C372" i="117"/>
  <c r="C321" i="117"/>
  <c r="C297" i="117"/>
  <c r="C120" i="117"/>
  <c r="C103" i="117"/>
  <c r="C40" i="117"/>
  <c r="C20" i="117"/>
  <c r="C561" i="120"/>
  <c r="C552" i="120"/>
  <c r="C510" i="120"/>
  <c r="C558" i="117"/>
  <c r="C476" i="117"/>
  <c r="C422" i="117"/>
  <c r="C394" i="117"/>
  <c r="C317" i="117"/>
  <c r="C295" i="117"/>
  <c r="C211" i="117"/>
  <c r="C186" i="117"/>
  <c r="C141" i="117"/>
  <c r="C118" i="117"/>
  <c r="C97" i="117"/>
  <c r="C18" i="117"/>
  <c r="C558" i="120"/>
  <c r="C538" i="120"/>
  <c r="C520" i="120"/>
  <c r="C606" i="117"/>
  <c r="C376" i="117"/>
  <c r="C19" i="117"/>
  <c r="C553" i="120"/>
  <c r="C514" i="117"/>
  <c r="C300" i="117"/>
  <c r="C48" i="117"/>
  <c r="C10" i="117"/>
  <c r="C528" i="120"/>
  <c r="C514" i="120"/>
  <c r="C596" i="117"/>
  <c r="C513" i="117"/>
  <c r="C298" i="117"/>
  <c r="C119" i="117"/>
  <c r="C507" i="117"/>
  <c r="C296" i="117"/>
  <c r="C224" i="117"/>
  <c r="C112" i="117"/>
  <c r="C42" i="117"/>
  <c r="C562" i="120"/>
  <c r="C537" i="120"/>
  <c r="C513" i="120"/>
  <c r="C576" i="117"/>
  <c r="C110" i="117"/>
  <c r="C38" i="117"/>
  <c r="C536" i="120"/>
  <c r="C575" i="117"/>
  <c r="C488" i="117"/>
  <c r="C108" i="117"/>
  <c r="C534" i="120"/>
  <c r="C522" i="120"/>
  <c r="C562" i="117"/>
  <c r="C484" i="117"/>
  <c r="C215" i="117"/>
  <c r="C104" i="117"/>
  <c r="C26" i="117"/>
  <c r="C480" i="117"/>
  <c r="C401" i="117"/>
  <c r="C327" i="117"/>
  <c r="C200" i="117"/>
  <c r="C25" i="117"/>
  <c r="C544" i="120"/>
  <c r="C521" i="120"/>
  <c r="C397" i="117"/>
  <c r="C196" i="117"/>
  <c r="C143" i="117"/>
  <c r="C23" i="117"/>
  <c r="C554" i="120"/>
  <c r="C542" i="120"/>
  <c r="C320" i="117"/>
  <c r="C189" i="117"/>
  <c r="C131" i="117"/>
  <c r="C22" i="117"/>
  <c r="C530" i="120"/>
  <c r="B33" i="123"/>
  <c r="B22" i="123"/>
  <c r="B29" i="123"/>
  <c r="B25" i="123"/>
  <c r="B21" i="123"/>
  <c r="B47" i="123"/>
  <c r="B28" i="123"/>
  <c r="B24" i="123"/>
  <c r="B20" i="123"/>
  <c r="B45" i="123"/>
  <c r="B39" i="123"/>
  <c r="B44" i="123"/>
  <c r="B23" i="123"/>
  <c r="B42" i="123"/>
  <c r="B27" i="123"/>
  <c r="B32" i="123"/>
  <c r="B37" i="123"/>
  <c r="B41" i="123"/>
  <c r="B36" i="123"/>
  <c r="B26" i="123"/>
  <c r="B31" i="123"/>
  <c r="B40" i="123"/>
  <c r="B35" i="123"/>
  <c r="B30" i="123"/>
  <c r="B46" i="123"/>
  <c r="B43" i="123"/>
  <c r="B38" i="123"/>
  <c r="B34" i="123"/>
  <c r="C98" i="119"/>
  <c r="C80" i="119"/>
  <c r="C330" i="120"/>
  <c r="C213" i="65" a="1"/>
  <c r="C141" i="115" a="1"/>
  <c r="C243" i="119"/>
  <c r="C242" i="119"/>
  <c r="C231" i="119"/>
  <c r="C232" i="119"/>
  <c r="C95" i="86"/>
  <c r="C48" i="86" a="1"/>
  <c r="C48" i="86" s="1"/>
  <c r="C167" i="86"/>
  <c r="C103" i="86" a="1"/>
  <c r="C103" i="86" s="1"/>
  <c r="E137" i="112"/>
  <c r="D353" i="65"/>
  <c r="C292" i="65"/>
  <c r="C282" i="65"/>
  <c r="C287" i="65"/>
  <c r="C277" i="65"/>
  <c r="C272" i="65"/>
  <c r="C447" i="109"/>
  <c r="C504" i="109"/>
  <c r="C479" i="109"/>
  <c r="C483" i="109"/>
  <c r="C474" i="109"/>
  <c r="C458" i="109"/>
  <c r="C451" i="109"/>
  <c r="C131" i="116"/>
  <c r="C44" i="116"/>
  <c r="C536" i="109"/>
  <c r="C550" i="109"/>
  <c r="C353" i="109"/>
  <c r="C534" i="109"/>
  <c r="C386" i="120"/>
  <c r="C367" i="120"/>
  <c r="C391" i="120"/>
  <c r="C375" i="120"/>
  <c r="C398" i="120"/>
  <c r="C212" i="119"/>
  <c r="C202" i="119"/>
  <c r="C211" i="85"/>
  <c r="C113" i="85"/>
  <c r="D445" i="108"/>
  <c r="D406" i="109"/>
  <c r="D389" i="109"/>
  <c r="D372" i="109"/>
  <c r="D428" i="108"/>
  <c r="D411" i="108"/>
  <c r="C426" i="115"/>
  <c r="C430" i="115"/>
  <c r="D391" i="120"/>
  <c r="D375" i="120"/>
  <c r="D398" i="120"/>
  <c r="D386" i="120"/>
  <c r="C126" i="116"/>
  <c r="C39" i="116"/>
  <c r="C352" i="109"/>
  <c r="C549" i="109"/>
  <c r="C524" i="109"/>
  <c r="C123" i="85"/>
  <c r="C197" i="85"/>
  <c r="C63" i="85"/>
  <c r="C154" i="85"/>
  <c r="C183" i="85"/>
  <c r="C163" i="85"/>
  <c r="C161" i="85"/>
  <c r="C61" i="119"/>
  <c r="C129" i="85"/>
  <c r="C173" i="85"/>
  <c r="C412" i="120"/>
  <c r="C395" i="120"/>
  <c r="C223" i="120"/>
  <c r="C241" i="119"/>
  <c r="C264" i="120"/>
  <c r="C413" i="120"/>
  <c r="C392" i="120"/>
  <c r="C289" i="120"/>
  <c r="C402" i="120"/>
  <c r="C257" i="120"/>
  <c r="C228" i="120"/>
  <c r="C275" i="120"/>
  <c r="C254" i="120"/>
  <c r="C285" i="109"/>
  <c r="C291" i="109"/>
  <c r="C296" i="109"/>
  <c r="M259" i="87"/>
  <c r="C143" i="113"/>
  <c r="C39" i="113"/>
  <c r="C537" i="108"/>
  <c r="C386" i="108"/>
  <c r="C562" i="108"/>
  <c r="C535" i="108"/>
  <c r="E295" i="65"/>
  <c r="E294" i="65"/>
  <c r="E293" i="65"/>
  <c r="D204" i="112"/>
  <c r="O90" i="63"/>
  <c r="D357" i="75"/>
  <c r="D335" i="75"/>
  <c r="D317" i="75"/>
  <c r="D301" i="75"/>
  <c r="C128" i="86"/>
  <c r="C135" i="86"/>
  <c r="C96" i="86" a="1"/>
  <c r="C96" i="86" s="1"/>
  <c r="C198" i="85"/>
  <c r="C184" i="85"/>
  <c r="C65" i="85"/>
  <c r="C188" i="85"/>
  <c r="C87" i="86" a="1"/>
  <c r="C87" i="86" s="1"/>
  <c r="C141" i="86"/>
  <c r="C114" i="86"/>
  <c r="C92" i="86"/>
  <c r="C149" i="86"/>
  <c r="O263" i="87"/>
  <c r="E138" i="112"/>
  <c r="D360" i="65"/>
  <c r="C126" i="85"/>
  <c r="C490" i="109"/>
  <c r="C337" i="109"/>
  <c r="C494" i="109"/>
  <c r="C465" i="109"/>
  <c r="C340" i="109"/>
  <c r="C344" i="109"/>
  <c r="C38" i="116"/>
  <c r="C125" i="116"/>
  <c r="C543" i="109"/>
  <c r="C518" i="109"/>
  <c r="C347" i="109"/>
  <c r="D316" i="75"/>
  <c r="D356" i="75"/>
  <c r="D300" i="75"/>
  <c r="D334" i="75"/>
  <c r="C351" i="120" a="1"/>
  <c r="C351" i="120" s="1"/>
  <c r="C335" i="120" a="1"/>
  <c r="C335" i="120" s="1"/>
  <c r="C338" i="120" a="1"/>
  <c r="C338" i="120" s="1"/>
  <c r="C341" i="120" a="1"/>
  <c r="C341" i="120" s="1"/>
  <c r="C354" i="120"/>
  <c r="C348" i="120" a="1"/>
  <c r="C348" i="120" s="1"/>
  <c r="C285" i="120"/>
  <c r="C332" i="120" a="1"/>
  <c r="C332" i="120" s="1"/>
  <c r="C345" i="120" a="1"/>
  <c r="C345" i="120" s="1"/>
  <c r="D274" i="75"/>
  <c r="D289" i="75"/>
  <c r="D247" i="75"/>
  <c r="D314" i="75"/>
  <c r="D263" i="75"/>
  <c r="D299" i="75"/>
  <c r="D238" i="120"/>
  <c r="D279" i="120"/>
  <c r="D253" i="120"/>
  <c r="D260" i="120"/>
  <c r="D248" i="120"/>
  <c r="C52" i="119"/>
  <c r="C59" i="119"/>
  <c r="C176" i="119"/>
  <c r="C153" i="119"/>
  <c r="C182" i="119" s="1"/>
  <c r="C241" i="75"/>
  <c r="C194" i="119"/>
  <c r="C376" i="75"/>
  <c r="C237" i="75"/>
  <c r="C252" i="75"/>
  <c r="C184" i="119"/>
  <c r="C217" i="75"/>
  <c r="C174" i="119"/>
  <c r="C58" i="120"/>
  <c r="C172" i="119"/>
  <c r="C324" i="75"/>
  <c r="C85" i="120"/>
  <c r="C59" i="120"/>
  <c r="C23" i="75"/>
  <c r="C17" i="120"/>
  <c r="C60" i="120"/>
  <c r="C114" i="120" s="1"/>
  <c r="C356" i="115"/>
  <c r="C265" i="109"/>
  <c r="C355" i="115"/>
  <c r="C365" i="115"/>
  <c r="C352" i="115"/>
  <c r="C271" i="109"/>
  <c r="C272" i="109" s="1"/>
  <c r="C512" i="109"/>
  <c r="C270" i="109"/>
  <c r="C350" i="115"/>
  <c r="C269" i="109"/>
  <c r="C268" i="109"/>
  <c r="B19" i="123"/>
  <c r="B12" i="123"/>
  <c r="C366" i="115"/>
  <c r="C310" i="108"/>
  <c r="C354" i="115"/>
  <c r="C353" i="115"/>
  <c r="C316" i="108"/>
  <c r="C317" i="108" s="1"/>
  <c r="C282" i="109"/>
  <c r="F126" i="63" s="1"/>
  <c r="C315" i="108"/>
  <c r="C281" i="109"/>
  <c r="F125" i="63" s="1"/>
  <c r="C314" i="108"/>
  <c r="C313" i="108"/>
  <c r="C112" i="119"/>
  <c r="C108" i="119"/>
  <c r="C100" i="119"/>
  <c r="C104" i="119"/>
  <c r="C169" i="119"/>
  <c r="C58" i="119"/>
  <c r="C162" i="119"/>
  <c r="C152" i="119"/>
  <c r="C77" i="119"/>
  <c r="C161" i="119"/>
  <c r="C151" i="119"/>
  <c r="C201" i="119"/>
  <c r="C69" i="119"/>
  <c r="C50" i="119"/>
  <c r="C96" i="119"/>
  <c r="C211" i="119"/>
  <c r="C142" i="119"/>
  <c r="C71" i="119"/>
  <c r="B325" i="120"/>
  <c r="B315" i="120"/>
  <c r="B323" i="120"/>
  <c r="B313" i="120"/>
  <c r="B318" i="120"/>
  <c r="B316" i="120"/>
  <c r="B322" i="120"/>
  <c r="B321" i="120"/>
  <c r="B320" i="120"/>
  <c r="B319" i="120"/>
  <c r="B317" i="120"/>
  <c r="B314" i="120"/>
  <c r="B312" i="120"/>
  <c r="B311" i="120"/>
  <c r="B324" i="120"/>
  <c r="B310" i="120"/>
  <c r="C432" i="75"/>
  <c r="C15" i="75"/>
  <c r="C457" i="75"/>
  <c r="C406" i="75"/>
  <c r="C381" i="75"/>
  <c r="C30" i="75"/>
  <c r="B301" i="120"/>
  <c r="B299" i="120"/>
  <c r="B304" i="120"/>
  <c r="B294" i="120"/>
  <c r="B302" i="120"/>
  <c r="B293" i="120"/>
  <c r="B306" i="120"/>
  <c r="B305" i="120"/>
  <c r="B303" i="120"/>
  <c r="B300" i="120"/>
  <c r="B298" i="120"/>
  <c r="B297" i="120"/>
  <c r="B296" i="120"/>
  <c r="B295" i="120"/>
  <c r="B308" i="120"/>
  <c r="B307" i="120"/>
  <c r="F167" i="112"/>
  <c r="F166" i="112"/>
  <c r="C482" i="108"/>
  <c r="C474" i="108"/>
  <c r="C43" i="116"/>
  <c r="C130" i="116"/>
  <c r="C530" i="109"/>
  <c r="C348" i="109"/>
  <c r="C544" i="109"/>
  <c r="C170" i="119" l="1"/>
  <c r="C175" i="85"/>
  <c r="C174" i="85"/>
  <c r="C191" i="85"/>
  <c r="C92" i="75"/>
  <c r="C52" i="75"/>
  <c r="C60" i="75"/>
  <c r="C46" i="75"/>
  <c r="C77" i="75"/>
  <c r="C481" i="109" a="1"/>
  <c r="C481" i="109" s="1"/>
  <c r="C555" i="109"/>
  <c r="C492" i="109" a="1"/>
  <c r="C492" i="109" s="1"/>
  <c r="C197" i="120"/>
  <c r="C124" i="120"/>
  <c r="C155" i="120"/>
  <c r="C142" i="120"/>
  <c r="C163" i="120"/>
  <c r="C136" i="120"/>
  <c r="C184" i="120"/>
  <c r="C112" i="120"/>
  <c r="C204" i="120"/>
  <c r="C130" i="120"/>
  <c r="C178" i="120"/>
  <c r="C452" i="75"/>
  <c r="C427" i="75"/>
  <c r="C401" i="75"/>
  <c r="C42" i="116"/>
  <c r="C129" i="116"/>
  <c r="C190" i="85"/>
  <c r="C189" i="85"/>
  <c r="C165" i="85"/>
  <c r="C164" i="85"/>
  <c r="C192" i="85"/>
  <c r="C234" i="120"/>
  <c r="D81" i="95"/>
  <c r="D39" i="95"/>
  <c r="D76" i="95"/>
  <c r="D51" i="95"/>
  <c r="D94" i="95"/>
  <c r="D90" i="95"/>
  <c r="D58" i="95"/>
  <c r="D44" i="95"/>
  <c r="D35" i="95"/>
  <c r="C37" i="116"/>
  <c r="C124" i="116"/>
  <c r="C415" i="120"/>
  <c r="C418" i="120"/>
  <c r="C81" i="116"/>
  <c r="C82" i="113"/>
  <c r="C303" i="75"/>
  <c r="C377" i="75"/>
  <c r="C278" i="75"/>
  <c r="C428" i="75"/>
  <c r="C342" i="75"/>
  <c r="C375" i="75"/>
  <c r="C426" i="75"/>
  <c r="C75" i="109"/>
  <c r="C49" i="109"/>
  <c r="C377" i="115"/>
  <c r="C156" i="119"/>
  <c r="C193" i="119"/>
  <c r="J79" i="54"/>
  <c r="I79" i="54"/>
  <c r="L27" i="54"/>
  <c r="H79" i="54"/>
  <c r="G79" i="54"/>
  <c r="J27" i="54" s="1"/>
  <c r="J28" i="54" s="1"/>
  <c r="M27" i="54"/>
  <c r="K27" i="54"/>
  <c r="C171" i="119"/>
  <c r="C239" i="75"/>
  <c r="C425" i="75"/>
  <c r="C220" i="75"/>
  <c r="C341" i="75"/>
  <c r="C238" i="75"/>
  <c r="C374" i="75"/>
  <c r="C323" i="75"/>
  <c r="C103" i="120"/>
  <c r="C263" i="75"/>
  <c r="C289" i="75"/>
  <c r="C299" i="75"/>
  <c r="C274" i="75"/>
  <c r="C247" i="75"/>
  <c r="C314" i="75"/>
  <c r="C235" i="75"/>
  <c r="C154" i="115"/>
  <c r="C144" i="115"/>
  <c r="C153" i="115"/>
  <c r="C143" i="115"/>
  <c r="C152" i="115"/>
  <c r="C142" i="115"/>
  <c r="C149" i="115"/>
  <c r="C148" i="115"/>
  <c r="C147" i="115"/>
  <c r="C156" i="115"/>
  <c r="C146" i="115"/>
  <c r="C155" i="115"/>
  <c r="C151" i="115"/>
  <c r="C150" i="115"/>
  <c r="C145" i="115"/>
  <c r="C141" i="115"/>
  <c r="C223" i="65"/>
  <c r="C226" i="65"/>
  <c r="C216" i="65"/>
  <c r="C224" i="65"/>
  <c r="C222" i="65"/>
  <c r="C221" i="65"/>
  <c r="C220" i="65"/>
  <c r="C219" i="65"/>
  <c r="C218" i="65"/>
  <c r="C217" i="65"/>
  <c r="C228" i="65"/>
  <c r="C215" i="65"/>
  <c r="C227" i="65"/>
  <c r="C214" i="65"/>
  <c r="C225" i="65"/>
  <c r="C213" i="65"/>
  <c r="C80" i="116"/>
  <c r="C81" i="113"/>
  <c r="K28" i="54" l="1"/>
  <c r="R8" i="54" a="1"/>
  <c r="R8" i="54" s="1"/>
  <c r="M28" i="54"/>
  <c r="R15" i="54"/>
  <c r="L28" i="54"/>
  <c r="R16" i="54"/>
  <c r="R17" i="54" l="1"/>
  <c r="R18" i="54" s="1"/>
  <c r="R19" i="54" s="1"/>
  <c r="R20" i="54" s="1"/>
  <c r="R21" i="54" s="1"/>
  <c r="R10" i="54"/>
  <c r="R9" i="54"/>
</calcChain>
</file>

<file path=xl/sharedStrings.xml><?xml version="1.0" encoding="utf-8"?>
<sst xmlns="http://schemas.openxmlformats.org/spreadsheetml/2006/main" count="13811" uniqueCount="4099">
  <si>
    <t>Prerequisite Checklist</t>
  </si>
  <si>
    <t>The following pre-requisites need to be completed before proceeding with deployments</t>
  </si>
  <si>
    <t>Hardware (Management Domain)</t>
  </si>
  <si>
    <t>Server Component</t>
  </si>
  <si>
    <t>Minimum Requirements</t>
  </si>
  <si>
    <t>Notes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</si>
  <si>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</si>
  <si>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</si>
  <si>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</si>
  <si>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CPU</t>
  </si>
  <si>
    <t>Supported Configurations</t>
  </si>
  <si>
    <t>None</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</si>
  <si>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</si>
  <si>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</si>
  <si>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</si>
  <si>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</si>
  <si>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</si>
  <si>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</si>
  <si>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</si>
  <si>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</si>
  <si>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</si>
  <si>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</si>
  <si>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</si>
  <si>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</si>
  <si>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</si>
  <si>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</si>
  <si>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</si>
  <si>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</si>
  <si>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</si>
  <si>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</si>
  <si>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</si>
  <si>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</si>
  <si>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</si>
  <si>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</si>
  <si>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</si>
  <si>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</si>
  <si>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</si>
  <si>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Configuration</t>
  </si>
  <si>
    <t>Feature</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</si>
  <si>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</si>
  <si>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</si>
  <si>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</si>
  <si>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</si>
  <si>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</si>
  <si>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</si>
  <si>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</si>
  <si>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</si>
  <si>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</si>
  <si>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</si>
  <si>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</si>
  <si>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</si>
  <si>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</si>
  <si>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</si>
  <si>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</si>
  <si>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</si>
  <si>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</si>
  <si>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VCF-SDDC-Manager-Appliance-9.0.x.0.xxxxxxxx</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</si>
  <si>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</si>
  <si>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</si>
  <si>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</si>
  <si>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</si>
  <si>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</si>
  <si>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</si>
  <si>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</si>
  <si>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</si>
  <si>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</si>
  <si>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</si>
  <si>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</si>
  <si>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</si>
  <si>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</si>
  <si>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</si>
  <si>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</si>
  <si>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</si>
  <si>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</si>
  <si>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Rainpole</t>
  </si>
  <si>
    <t>Active Directory Forest Configuration</t>
  </si>
  <si>
    <t>Parent Active Directory</t>
  </si>
  <si>
    <t>rainpole.io</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</si>
  <si>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</si>
  <si>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</si>
  <si>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</si>
  <si>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</si>
  <si>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</si>
  <si>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</si>
  <si>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</si>
  <si>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</si>
  <si>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</si>
  <si>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</si>
  <si>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DNS</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</si>
  <si>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</si>
  <si>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</si>
  <si>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</si>
  <si>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</si>
  <si>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</si>
  <si>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</si>
  <si>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</si>
  <si>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</si>
  <si>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</si>
  <si>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</si>
  <si>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</si>
  <si>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NTP</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</si>
  <si>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</si>
  <si>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</si>
  <si>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</si>
  <si>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</si>
  <si>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</si>
  <si>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</si>
  <si>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</si>
  <si>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</si>
  <si>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</si>
  <si>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Certificate Authority</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</si>
  <si>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</si>
  <si>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</si>
  <si>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SFTP Server</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</si>
  <si>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</si>
  <si>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</si>
  <si>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</si>
  <si>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</si>
  <si>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</si>
  <si>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</si>
  <si>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</si>
  <si>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Version</t>
  </si>
  <si>
    <t>VMware Cloud Foundation</t>
  </si>
  <si>
    <t>Deployment Type</t>
  </si>
  <si>
    <t>Select Option</t>
  </si>
  <si>
    <t>Final Result</t>
  </si>
  <si>
    <t>Information</t>
  </si>
  <si>
    <t>9.0.0.0</t>
  </si>
  <si>
    <t xml:space="preserve">Deployment Specification </t>
  </si>
  <si>
    <t>First Instance</t>
  </si>
  <si>
    <t>Instance to perform operation on</t>
  </si>
  <si>
    <t>Deploy a new VCF fleet</t>
  </si>
  <si>
    <t>Operation to be performed</t>
  </si>
  <si>
    <t xml:space="preserve">        VMware Cloud Foundation Management Domain Sizing Inputs</t>
  </si>
  <si>
    <t>Management Domain Assumptions</t>
  </si>
  <si>
    <t>Management Domain Virtual Machine Requirement Summary</t>
  </si>
  <si>
    <t>Host Requirement Summary</t>
  </si>
  <si>
    <t>Component</t>
  </si>
  <si>
    <t>Value</t>
  </si>
  <si>
    <t>Nodes</t>
  </si>
  <si>
    <t>vCPU</t>
  </si>
  <si>
    <t>RAM (GB)</t>
  </si>
  <si>
    <t>Disk (GB)</t>
  </si>
  <si>
    <t>Management Hosts</t>
  </si>
  <si>
    <t>Number of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</si>
  <si>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</si>
  <si>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</si>
  <si>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SDDC Manager</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</si>
  <si>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</si>
  <si>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</si>
  <si>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</si>
  <si>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</si>
  <si>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</si>
  <si>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</si>
  <si>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</si>
  <si>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</si>
  <si>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</si>
  <si>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</si>
  <si>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</si>
  <si>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</si>
  <si>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</si>
  <si>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</si>
  <si>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FC</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</si>
  <si>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</si>
  <si>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</si>
  <si>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</si>
  <si>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</si>
  <si>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</si>
  <si>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</si>
  <si>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</si>
  <si>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</si>
  <si>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</si>
  <si>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</si>
  <si>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</si>
  <si>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</si>
  <si>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</si>
  <si>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</si>
  <si>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</si>
  <si>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</si>
  <si>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</si>
  <si>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</si>
  <si>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</si>
  <si>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</si>
  <si>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</si>
  <si>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VCF Operations</t>
  </si>
  <si>
    <t>Extra Small</t>
  </si>
  <si>
    <t>VMware Cloud Foundation Operations collector</t>
  </si>
  <si>
    <t>Storage per Host (based on N-1 hosts)</t>
  </si>
  <si>
    <t>VCF Operations collector</t>
  </si>
  <si>
    <t>Small</t>
  </si>
  <si>
    <t>VMware Cloud Foundation Automation</t>
  </si>
  <si>
    <t>VCF Automation</t>
  </si>
  <si>
    <t xml:space="preserve">VMware Cloud Foundation Operations for logs </t>
  </si>
  <si>
    <t>VCF Operations for logs</t>
  </si>
  <si>
    <t>VMware Cloud Foundation Operations for networks</t>
  </si>
  <si>
    <t>VCF Operations for networks</t>
  </si>
  <si>
    <t>VMware Cloud Foundation Operations for networks collector</t>
  </si>
  <si>
    <t>VCF Operations for networks collector</t>
  </si>
  <si>
    <t>Identity Broker</t>
  </si>
  <si>
    <t>Validated Solution Requirements</t>
  </si>
  <si>
    <t>Totals</t>
  </si>
  <si>
    <t>Management Domain</t>
  </si>
  <si>
    <t>Domain</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</si>
  <si>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</si>
  <si>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</si>
  <si>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</si>
  <si>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</si>
  <si>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</si>
  <si>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</si>
  <si>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</si>
  <si>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</si>
  <si>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</si>
  <si>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</si>
  <si>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</si>
  <si>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Medium</t>
  </si>
  <si>
    <t>Default</t>
  </si>
  <si>
    <t>Excluded</t>
  </si>
  <si>
    <t>Workload Domains</t>
  </si>
  <si>
    <t>vCenter                CPUs : RAM</t>
  </si>
  <si>
    <t>vCenter          Disk</t>
  </si>
  <si>
    <t>NSX LM                 CPU : RAM : Disk</t>
  </si>
  <si>
    <t>Federation</t>
  </si>
  <si>
    <t>NSX GM                  CPU : RAM : Disk</t>
  </si>
  <si>
    <t>Site Protection DR                   CPU : RAM : Disk</t>
  </si>
  <si>
    <t>SSP                       CPU : RAM : Disk</t>
  </si>
  <si>
    <t>w01</t>
  </si>
  <si>
    <t>Mandatory - HA Cluster</t>
  </si>
  <si>
    <t>Large</t>
  </si>
  <si>
    <t>Exclude</t>
  </si>
  <si>
    <t>w02</t>
  </si>
  <si>
    <t>Dedicated - HA Cluster</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</si>
  <si>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</si>
  <si>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</si>
  <si>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</si>
  <si>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</si>
  <si>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</si>
  <si>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</si>
  <si>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</si>
  <si>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</si>
  <si>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</si>
  <si>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</si>
  <si>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</si>
  <si>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</si>
  <si>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</si>
  <si>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</si>
  <si>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</si>
  <si>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</si>
  <si>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</si>
  <si>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</si>
  <si>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</si>
  <si>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</si>
  <si>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</si>
  <si>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</si>
  <si>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</si>
  <si>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</si>
  <si>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</si>
  <si>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</si>
  <si>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</si>
  <si>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</si>
  <si>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Name</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</si>
  <si>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</si>
  <si>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</si>
  <si>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</si>
  <si>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</si>
  <si>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</si>
  <si>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</si>
  <si>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</si>
  <si>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Standard</t>
  </si>
  <si>
    <t xml:space="preserve">Cloud-Based Ransomware Recovery </t>
  </si>
  <si>
    <t>VMware Live Cyber Recovery Connector Appliance Size</t>
  </si>
  <si>
    <t>Cross Cloud Mobility  for VMware Cloud Foundation</t>
  </si>
  <si>
    <t>HCX Connector Appliance Size</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</si>
  <si>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</si>
  <si>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</si>
  <si>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</si>
  <si>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</si>
  <si>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Sample</t>
  </si>
  <si>
    <t>Your Value</t>
  </si>
  <si>
    <t>Depot Type</t>
  </si>
  <si>
    <t>Online</t>
  </si>
  <si>
    <t>Offline Depot - Hostname</t>
  </si>
  <si>
    <t>my-offline-depot.rainpole.io</t>
  </si>
  <si>
    <t xml:space="preserve">Offline Depot - Port </t>
  </si>
  <si>
    <t>Download Token</t>
  </si>
  <si>
    <t>rqkOYDQRWJJbO7FIxdMgfgcKFOzPZRg4</t>
  </si>
  <si>
    <t>Enable Proxy Server</t>
  </si>
  <si>
    <t>Unselected</t>
  </si>
  <si>
    <t>VCF Fleet</t>
  </si>
  <si>
    <t>Protocol</t>
  </si>
  <si>
    <t>HTTPS</t>
  </si>
  <si>
    <t>Proxy Address</t>
  </si>
  <si>
    <t>internet-proxy.rainpole.io</t>
  </si>
  <si>
    <t xml:space="preserve">Proxy Port </t>
  </si>
  <si>
    <t>Authenticated</t>
  </si>
  <si>
    <t>Username</t>
  </si>
  <si>
    <t>my_proxy_username@rainpole.io</t>
  </si>
  <si>
    <t>Password</t>
  </si>
  <si>
    <t>VMw@re1!VMw@re1!</t>
  </si>
  <si>
    <t>Deploy</t>
  </si>
  <si>
    <t>vCenter</t>
  </si>
  <si>
    <t>NSX Manager</t>
  </si>
  <si>
    <t>Deployment Wizard</t>
  </si>
  <si>
    <t>vSphere Cluster</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</si>
  <si>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</si>
  <si>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</si>
  <si>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</si>
  <si>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</si>
  <si>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</si>
  <si>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</si>
  <si>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General Information</t>
  </si>
  <si>
    <t>Enter the general configuration details for this deployment</t>
  </si>
  <si>
    <t>VCF Instance Name</t>
  </si>
  <si>
    <t>Minimum 3 Characters</t>
  </si>
  <si>
    <t>Management domain name</t>
  </si>
  <si>
    <t>Advanced: Custom networking for VCF Operations and VCF Automation</t>
  </si>
  <si>
    <t xml:space="preserve">Deployment model </t>
  </si>
  <si>
    <t>High Availability (Three-node)</t>
  </si>
  <si>
    <t>This selection applies to newly deployed appliances of VCF Operations, VCF Automation and NSX Manager.</t>
  </si>
  <si>
    <t>Domain name</t>
  </si>
  <si>
    <t>Server #1</t>
  </si>
  <si>
    <t>Server #2</t>
  </si>
  <si>
    <t>Auto-generate passwords for newly installed appliances</t>
  </si>
  <si>
    <t>Enable Customer Experience Improvement Program (CEIP)</t>
  </si>
  <si>
    <t>Selected</t>
  </si>
  <si>
    <t>Enter the configuration details for the VCF Operations appliances.</t>
  </si>
  <si>
    <t>Operations Appliance Size</t>
  </si>
  <si>
    <t>Operations primary FQDN</t>
  </si>
  <si>
    <t>Operations replica FQDN</t>
  </si>
  <si>
    <t>Operations data node FQDN</t>
  </si>
  <si>
    <t>Administrator Password</t>
  </si>
  <si>
    <t>Root Password</t>
  </si>
  <si>
    <t>Load Balancer</t>
  </si>
  <si>
    <t>Load Balancer FQDN</t>
  </si>
  <si>
    <t>Optional: For a high availability deployment, you can connect an external load balancer.</t>
  </si>
  <si>
    <t>Fleet management appliance</t>
  </si>
  <si>
    <t>Appliance FQDN</t>
  </si>
  <si>
    <t>Use same password as VCF Operations</t>
  </si>
  <si>
    <t>Root password</t>
  </si>
  <si>
    <t>Operations Collector Appliance</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</si>
  <si>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</si>
  <si>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</si>
  <si>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</si>
  <si>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</si>
  <si>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</si>
  <si>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</si>
  <si>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</si>
  <si>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</si>
  <si>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Internal Cluster CIDR</t>
  </si>
  <si>
    <t>198.18.0.0/15</t>
  </si>
  <si>
    <t>Enter the configuration details for the management domain vCenter.</t>
  </si>
  <si>
    <t>Appliance Size</t>
  </si>
  <si>
    <t>Appliance Storage Size</t>
  </si>
  <si>
    <t>Datacenter Name</t>
  </si>
  <si>
    <t>Cluster Name</t>
  </si>
  <si>
    <t>Domain Name</t>
  </si>
  <si>
    <t>vsphere.local</t>
  </si>
  <si>
    <t>SSO Username</t>
  </si>
  <si>
    <t>administrator@vsphere.local</t>
  </si>
  <si>
    <t>Enter configuration details for the NSX Manager to be deployed.</t>
  </si>
  <si>
    <t>Cluster FQDN</t>
  </si>
  <si>
    <t>Appliance 1 FQDN</t>
  </si>
  <si>
    <t>Appliance 2 FQDN</t>
  </si>
  <si>
    <t>Appliance 3 FQDN</t>
  </si>
  <si>
    <t>Audit Password</t>
  </si>
  <si>
    <t>Enable Edge cluster sync and import NSX Edge node VMs</t>
  </si>
  <si>
    <t>Storage</t>
  </si>
  <si>
    <t>Select your desired storage type and fill out the corresponding fields</t>
  </si>
  <si>
    <t>vSAN Architecture</t>
  </si>
  <si>
    <t>vSAN-ESA</t>
  </si>
  <si>
    <t>Datastore Name</t>
  </si>
  <si>
    <t>Failures to Tolerate</t>
  </si>
  <si>
    <t>1</t>
  </si>
  <si>
    <t>Enable vSAN Deduplication and Compression</t>
  </si>
  <si>
    <t>Path to NFS Share</t>
  </si>
  <si>
    <t>NFS Server IP Address</t>
  </si>
  <si>
    <t>NFS Datastore with datastore bound to vmknic</t>
  </si>
  <si>
    <t>Hosts</t>
  </si>
  <si>
    <t>Add Hosts</t>
  </si>
  <si>
    <t>ESX Root Password</t>
  </si>
  <si>
    <t>VMw@re1!</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</si>
  <si>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</si>
  <si>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</si>
  <si>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</si>
  <si>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</si>
  <si>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</si>
  <si>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</si>
  <si>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</si>
  <si>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</si>
  <si>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</si>
  <si>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</si>
  <si>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</si>
  <si>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</si>
  <si>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</si>
  <si>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</si>
  <si>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</si>
  <si>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</si>
  <si>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</si>
  <si>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ESX Management Network</t>
  </si>
  <si>
    <t>VLAN ID</t>
  </si>
  <si>
    <t>Gateway</t>
  </si>
  <si>
    <t>CIDR Notation</t>
  </si>
  <si>
    <t>MTU</t>
  </si>
  <si>
    <t>VM Management Network</t>
  </si>
  <si>
    <t>Use same inputs from Management Network</t>
  </si>
  <si>
    <t>vMotion Network</t>
  </si>
  <si>
    <t>vMotion IP Address Range - Start</t>
  </si>
  <si>
    <t>vMotion IP Address Range - End</t>
  </si>
  <si>
    <t>vSAN Network</t>
  </si>
  <si>
    <t>vSAN IP Address Range - Start</t>
  </si>
  <si>
    <t>vSAN IP Address Range - End</t>
  </si>
  <si>
    <t>NFS Network</t>
  </si>
  <si>
    <t>NFS IP Address Range - Start</t>
  </si>
  <si>
    <t>NFS IP Address Range - End</t>
  </si>
  <si>
    <t>Distributed Switch</t>
  </si>
  <si>
    <t>Provide the vSphere Distributed Switch configuration to be applied to the hosts in the cluster.</t>
  </si>
  <si>
    <t>Selected Profile</t>
  </si>
  <si>
    <t>Distributed Switch Configuration</t>
  </si>
  <si>
    <t>Primary Distributed Switch</t>
  </si>
  <si>
    <t>Distributed Switch Name</t>
  </si>
  <si>
    <t>VDS Uplinks</t>
  </si>
  <si>
    <t>LAG Name</t>
  </si>
  <si>
    <t>LACP Mode</t>
  </si>
  <si>
    <t>Active</t>
  </si>
  <si>
    <t>LAG Load Balancing</t>
  </si>
  <si>
    <t>Source and destination IP and TCP/UDP port and vLAN</t>
  </si>
  <si>
    <t>LACP Time Out</t>
  </si>
  <si>
    <t>Slow</t>
  </si>
  <si>
    <t>Number of Uplinks</t>
  </si>
  <si>
    <t>vmnic0</t>
  </si>
  <si>
    <t>vmnic1</t>
  </si>
  <si>
    <t>Secondary Distributed Switch Name</t>
  </si>
  <si>
    <t>vmnic2</t>
  </si>
  <si>
    <t>vmnic3</t>
  </si>
  <si>
    <t>Tertiary Distributed Switch Name</t>
  </si>
  <si>
    <t>vmnic4</t>
  </si>
  <si>
    <t>vmnic5</t>
  </si>
  <si>
    <t>Network Traffic: ESX Management Network</t>
  </si>
  <si>
    <t>Distributed PortGroup Name</t>
  </si>
  <si>
    <t>Load Balancing</t>
  </si>
  <si>
    <t>Route Based on Physical NIC Load</t>
  </si>
  <si>
    <t>uplink1</t>
  </si>
  <si>
    <t>uplink2</t>
  </si>
  <si>
    <t>Network Traffic: VM Management</t>
  </si>
  <si>
    <t>Network Traffic: vMotion</t>
  </si>
  <si>
    <t>Network Traffic: vSAN</t>
  </si>
  <si>
    <t>Network Traffic: NFS</t>
  </si>
  <si>
    <t>Network Traffic: NSX</t>
  </si>
  <si>
    <t>Apply default operation mode configured in NSX Manager</t>
  </si>
  <si>
    <t xml:space="preserve">Leaving this as selected enables Enhanced Datapath Standard by default. </t>
  </si>
  <si>
    <t>Operational Mode</t>
  </si>
  <si>
    <t>Enhanced Datapath Standard</t>
  </si>
  <si>
    <t>Route Based on the Source of the Port ID</t>
  </si>
  <si>
    <t>Transport Zones</t>
  </si>
  <si>
    <t>Transport Zone Name</t>
  </si>
  <si>
    <t>IP Assignment (TEP)</t>
  </si>
  <si>
    <t>IP Pool</t>
  </si>
  <si>
    <t>Pool name</t>
  </si>
  <si>
    <t>Description</t>
  </si>
  <si>
    <t>ESX Host Overlay TEP IP Pool</t>
  </si>
  <si>
    <t>CIDR</t>
  </si>
  <si>
    <t>IP Range Start:</t>
  </si>
  <si>
    <t>IP Range End:</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</si>
  <si>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</si>
  <si>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</si>
  <si>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</si>
  <si>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</si>
  <si>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</si>
  <si>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Host Overlay Network</t>
  </si>
  <si>
    <t xml:space="preserve">Use this additional table to capture IP addressed required for each appliance being deployed </t>
  </si>
  <si>
    <t xml:space="preserve">VCF Fleet Management </t>
  </si>
  <si>
    <t>Reference IP Address</t>
  </si>
  <si>
    <t>Your IP Address</t>
  </si>
  <si>
    <t xml:space="preserve">VCF Operations </t>
  </si>
  <si>
    <t>n/a</t>
  </si>
  <si>
    <t>vCenter | VCF installer | SDDC Manager</t>
  </si>
  <si>
    <t>NSX</t>
  </si>
  <si>
    <t>ESX</t>
  </si>
  <si>
    <t>Management IP (ESX Host 1)</t>
  </si>
  <si>
    <t>Management IP (ESX Host 2)</t>
  </si>
  <si>
    <t>Management IP (ESX Host 3)</t>
  </si>
  <si>
    <t>Management IP (ESX Host 4)</t>
  </si>
  <si>
    <t>Management IP (ESX Host 5)</t>
  </si>
  <si>
    <t>Management IP (ESX Host 6)</t>
  </si>
  <si>
    <t>Management IP (ESX Host 7)</t>
  </si>
  <si>
    <t>Management IP (ESX Host 8)</t>
  </si>
  <si>
    <t>Management IP (ESX Host 9)</t>
  </si>
  <si>
    <t>Management IP (ESX Host 10)</t>
  </si>
  <si>
    <t>Management IP (ESX Host 11)</t>
  </si>
  <si>
    <t>Management IP (ESX Host 12)</t>
  </si>
  <si>
    <t>Management IP (ESX Host 13)</t>
  </si>
  <si>
    <t>Management IP (ESX Host 14)</t>
  </si>
  <si>
    <t>Management IP (ESX Host 15)</t>
  </si>
  <si>
    <t>Management IP (ESX Host 16)</t>
  </si>
  <si>
    <t xml:space="preserve">Possible Advanced Settings  </t>
  </si>
  <si>
    <t>FIPS</t>
  </si>
  <si>
    <t>EVC Setting</t>
  </si>
  <si>
    <t>N/A</t>
  </si>
  <si>
    <t>Resource Pool SDDC Management</t>
  </si>
  <si>
    <t>Resource Pool SDDC Edge</t>
  </si>
  <si>
    <t>Resource Pool User Edge</t>
  </si>
  <si>
    <t>Resource Pool User VM</t>
  </si>
  <si>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</si>
  <si>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</si>
  <si>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</si>
  <si>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</si>
  <si>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</si>
  <si>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</si>
  <si>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vSAN Stretched Cluster</t>
  </si>
  <si>
    <t>NSX Federation for Management Domain</t>
  </si>
  <si>
    <t>Management Domain: Post-Deployment Options</t>
  </si>
  <si>
    <t>NSX Network Connectivity for MGMT Workload Domain</t>
  </si>
  <si>
    <t>Configure SFTP Backups for SDDC Manager and NSX {VCF Operations}</t>
  </si>
  <si>
    <t>Configure SFTP Settings</t>
  </si>
  <si>
    <t xml:space="preserve">Host FQDN or IP </t>
  </si>
  <si>
    <t>20.10.5.10</t>
  </si>
  <si>
    <t>SFTP server for NSX Backups</t>
  </si>
  <si>
    <t>Port</t>
  </si>
  <si>
    <t>Transfer Protocol</t>
  </si>
  <si>
    <t>SFTP</t>
  </si>
  <si>
    <t>svc-vcf-bck</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</si>
  <si>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</si>
  <si>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</si>
  <si>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</si>
  <si>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</si>
  <si>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</si>
  <si>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</si>
  <si>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</si>
  <si>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</si>
  <si>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</si>
  <si>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</si>
  <si>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</si>
  <si>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</si>
  <si>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</si>
  <si>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</si>
  <si>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</si>
  <si>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</si>
  <si>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</si>
  <si>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</si>
  <si>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</si>
  <si>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</si>
  <si>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</si>
  <si>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</si>
  <si>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Microsoft</t>
  </si>
  <si>
    <t>Installing Microsoft CA-Signed Certificates using VCF Operations</t>
  </si>
  <si>
    <t>Algorithm</t>
  </si>
  <si>
    <t>RSA</t>
  </si>
  <si>
    <t>Organization</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</si>
  <si>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</si>
  <si>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</si>
  <si>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</si>
  <si>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</si>
  <si>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</si>
  <si>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</si>
  <si>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</si>
  <si>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</si>
  <si>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</si>
  <si>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</si>
  <si>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</si>
  <si>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</si>
  <si>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</si>
  <si>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</si>
  <si>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</si>
  <si>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</si>
  <si>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</si>
  <si>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</si>
  <si>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</si>
  <si>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</si>
  <si>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</si>
  <si>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</si>
  <si>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</si>
  <si>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Centralized Connectivity</t>
  </si>
  <si>
    <t>External Network Connectivity</t>
  </si>
  <si>
    <t>Gateway CIDR IPv4</t>
  </si>
  <si>
    <t>10.11.98.1/24</t>
  </si>
  <si>
    <t>Edge Cluster</t>
  </si>
  <si>
    <t>Edge Cluster Name</t>
  </si>
  <si>
    <t>Tunnel Endpoint MTU</t>
  </si>
  <si>
    <t xml:space="preserve">Is configured as part of the Global Fabric setting </t>
  </si>
  <si>
    <t>Edge Form Factor</t>
  </si>
  <si>
    <t>Edge Node 1</t>
  </si>
  <si>
    <t>Edge Node 1: Edge Node Name (FQDN)</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</si>
  <si>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</si>
  <si>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</si>
  <si>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</si>
  <si>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</si>
  <si>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</si>
  <si>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</si>
  <si>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</si>
  <si>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</si>
  <si>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</si>
  <si>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</si>
  <si>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</si>
  <si>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</si>
  <si>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</si>
  <si>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</si>
  <si>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</si>
  <si>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</si>
  <si>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</si>
  <si>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</si>
  <si>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</si>
  <si>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Standby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</si>
  <si>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</si>
  <si>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</si>
  <si>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</si>
  <si>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</si>
  <si>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</si>
  <si>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</si>
  <si>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</si>
  <si>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</si>
  <si>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</si>
  <si>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</si>
  <si>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</si>
  <si>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</si>
  <si>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</si>
  <si>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</si>
  <si>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</si>
  <si>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</si>
  <si>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</si>
  <si>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</si>
  <si>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</si>
  <si>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</si>
  <si>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</si>
  <si>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</si>
  <si>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</si>
  <si>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</si>
  <si>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Edge Admin Password</t>
  </si>
  <si>
    <t>Workload Domain Connectivity</t>
  </si>
  <si>
    <t>Skip Gateway and Routing configurations for now</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</si>
  <si>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</si>
  <si>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</si>
  <si>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</si>
  <si>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</si>
  <si>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</si>
  <si>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</si>
  <si>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</si>
  <si>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</si>
  <si>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</si>
  <si>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</si>
  <si>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</si>
  <si>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</si>
  <si>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</si>
  <si>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</si>
  <si>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</si>
  <si>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</si>
  <si>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</si>
  <si>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</si>
  <si>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</si>
  <si>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</si>
  <si>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</si>
  <si>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</si>
  <si>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</si>
  <si>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</si>
  <si>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</si>
  <si>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</si>
  <si>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</si>
  <si>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</si>
  <si>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</si>
  <si>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</si>
  <si>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</si>
  <si>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</si>
  <si>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</si>
  <si>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</si>
  <si>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</si>
  <si>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</si>
  <si>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</si>
  <si>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System generated PortGroup names are used unless NSX Edges are deployed using API</t>
  </si>
  <si>
    <t>Uplink 2 Network</t>
  </si>
  <si>
    <t>Edge Overlay Network</t>
  </si>
  <si>
    <t>AVI Load Balancer  {SDDC}</t>
  </si>
  <si>
    <t>Deploy Advanced Load Balancer</t>
  </si>
  <si>
    <t>Select 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</si>
  <si>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</si>
  <si>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</si>
  <si>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</si>
  <si>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</si>
  <si>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</si>
  <si>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</si>
  <si>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</si>
  <si>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</si>
  <si>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</si>
  <si>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</si>
  <si>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</si>
  <si>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</si>
  <si>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</si>
  <si>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 xml:space="preserve">vSAN Stretched Cluster </t>
  </si>
  <si>
    <t>Initial Host Configuration</t>
  </si>
  <si>
    <t>Host 1</t>
  </si>
  <si>
    <t>Host 2</t>
  </si>
  <si>
    <t>Host 3</t>
  </si>
  <si>
    <t>Host 4</t>
  </si>
  <si>
    <t>Host 5</t>
  </si>
  <si>
    <t>Host 6</t>
  </si>
  <si>
    <t>Host 7</t>
  </si>
  <si>
    <t>Host 8</t>
  </si>
  <si>
    <t>Host 9</t>
  </si>
  <si>
    <t>Host 10</t>
  </si>
  <si>
    <t>Host 11</t>
  </si>
  <si>
    <t>Host 12</t>
  </si>
  <si>
    <t>Host 13</t>
  </si>
  <si>
    <t>Host 14</t>
  </si>
  <si>
    <t>Host 15</t>
  </si>
  <si>
    <t>Host 16</t>
  </si>
  <si>
    <t>Create Network Pool {vCenter}</t>
  </si>
  <si>
    <t xml:space="preserve">VCF Network Pool  Type </t>
  </si>
  <si>
    <t>Create a new VCF Network Pool</t>
  </si>
  <si>
    <t>Network Pool Name</t>
  </si>
  <si>
    <t>Network</t>
  </si>
  <si>
    <t>Subnet Mask</t>
  </si>
  <si>
    <t>Default Gateway</t>
  </si>
  <si>
    <t>Commission Hosts {vCenter}</t>
  </si>
  <si>
    <t xml:space="preserve">Commission Hosts </t>
  </si>
  <si>
    <t>Reference Value</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</si>
  <si>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</si>
  <si>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</si>
  <si>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</si>
  <si>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</si>
  <si>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</si>
  <si>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</si>
  <si>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</si>
  <si>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</si>
  <si>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</si>
  <si>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</si>
  <si>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</si>
  <si>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</si>
  <si>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</si>
  <si>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</si>
  <si>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</si>
  <si>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</si>
  <si>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</si>
  <si>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</si>
  <si>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</si>
  <si>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</si>
  <si>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</si>
  <si>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</si>
  <si>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</si>
  <si>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</si>
  <si>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</si>
  <si>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</si>
  <si>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</si>
  <si>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</si>
  <si>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</si>
  <si>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</si>
  <si>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</si>
  <si>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</si>
  <si>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</si>
  <si>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</si>
  <si>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</si>
  <si>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</si>
  <si>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</si>
  <si>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</si>
  <si>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vSAN cluster using the SDDC Manager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</si>
  <si>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</si>
  <si>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</si>
  <si>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</si>
  <si>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</si>
  <si>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</si>
  <si>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</si>
  <si>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</si>
  <si>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</si>
  <si>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</si>
  <si>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</si>
  <si>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</si>
  <si>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</si>
  <si>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</si>
  <si>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</si>
  <si>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</si>
  <si>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</si>
  <si>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</si>
  <si>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</si>
  <si>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</si>
  <si>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</si>
  <si>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</si>
  <si>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</si>
  <si>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</si>
  <si>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</si>
  <si>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</si>
  <si>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</si>
  <si>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</si>
  <si>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</si>
  <si>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</si>
  <si>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</si>
  <si>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</si>
  <si>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</si>
  <si>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</si>
  <si>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</si>
  <si>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</si>
  <si>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</si>
  <si>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</si>
  <si>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</si>
  <si>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</si>
  <si>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</si>
  <si>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</si>
  <si>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</si>
  <si>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</si>
  <si>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</si>
  <si>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</si>
  <si>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</si>
  <si>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</si>
  <si>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</si>
  <si>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</si>
  <si>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</si>
  <si>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NSX Configuration for Availability Zone 2</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</si>
  <si>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</si>
  <si>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</si>
  <si>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</si>
  <si>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</si>
  <si>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</si>
  <si>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</si>
  <si>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</si>
  <si>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</si>
  <si>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</si>
  <si>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</si>
  <si>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</si>
  <si>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</si>
  <si>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</si>
  <si>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</si>
  <si>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</si>
  <si>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</si>
  <si>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</si>
  <si>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</si>
  <si>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</si>
  <si>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</si>
  <si>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</si>
  <si>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</si>
  <si>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</si>
  <si>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</si>
  <si>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</si>
  <si>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</si>
  <si>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</si>
  <si>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</si>
  <si>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</si>
  <si>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</si>
  <si>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</si>
  <si>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</si>
  <si>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</si>
  <si>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</si>
  <si>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</si>
  <si>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</si>
  <si>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</si>
  <si>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</si>
  <si>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</si>
  <si>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</si>
  <si>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</si>
  <si>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</si>
  <si>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</si>
  <si>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</si>
  <si>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</si>
  <si>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</si>
  <si>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</si>
  <si>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</si>
  <si>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</si>
  <si>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</si>
  <si>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</si>
  <si>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</si>
  <si>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</si>
  <si>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</si>
  <si>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</si>
  <si>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</si>
  <si>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</si>
  <si>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</si>
  <si>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</si>
  <si>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</si>
  <si>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</si>
  <si>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</si>
  <si>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</si>
  <si>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</si>
  <si>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</si>
  <si>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</si>
  <si>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</si>
  <si>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</si>
  <si>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</si>
  <si>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</si>
  <si>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</si>
  <si>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</si>
  <si>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</si>
  <si>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</si>
  <si>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</si>
  <si>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</si>
  <si>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</si>
  <si>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</si>
  <si>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</si>
  <si>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</si>
  <si>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</si>
  <si>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</si>
  <si>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</si>
  <si>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</si>
  <si>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</si>
  <si>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</si>
  <si>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</si>
  <si>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</si>
  <si>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</si>
  <si>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</si>
  <si>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</si>
  <si>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</si>
  <si>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</si>
  <si>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</si>
  <si>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</si>
  <si>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</si>
  <si>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</si>
  <si>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</si>
  <si>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</si>
  <si>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</si>
  <si>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</si>
  <si>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</si>
  <si>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</si>
  <si>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</si>
  <si>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</si>
  <si>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</si>
  <si>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</si>
  <si>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</si>
  <si>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</si>
  <si>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</si>
  <si>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</si>
  <si>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</si>
  <si>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</si>
  <si>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</si>
  <si>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</si>
  <si>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</si>
  <si>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</si>
  <si>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</si>
  <si>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</si>
  <si>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</si>
  <si>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</si>
  <si>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</si>
  <si>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</si>
  <si>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</si>
  <si>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</si>
  <si>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</si>
  <si>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</si>
  <si>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</si>
  <si>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</si>
  <si>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</si>
  <si>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</si>
  <si>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</si>
  <si>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</si>
  <si>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</si>
  <si>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</si>
  <si>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</si>
  <si>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</si>
  <si>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</si>
  <si>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</si>
  <si>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</si>
  <si>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</si>
  <si>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</si>
  <si>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</si>
  <si>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</si>
  <si>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</si>
  <si>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</si>
  <si>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</si>
  <si>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</si>
  <si>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</si>
  <si>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</si>
  <si>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</si>
  <si>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</si>
  <si>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</si>
  <si>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</si>
  <si>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</si>
  <si>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</si>
  <si>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</si>
  <si>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</si>
  <si>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</si>
  <si>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</si>
  <si>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</si>
  <si>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</si>
  <si>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</si>
  <si>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</si>
  <si>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</si>
  <si>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</si>
  <si>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</si>
  <si>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</si>
  <si>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</si>
  <si>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</si>
  <si>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</si>
  <si>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</si>
  <si>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</si>
  <si>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</si>
  <si>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</si>
  <si>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</si>
  <si>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</si>
  <si>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</si>
  <si>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</si>
  <si>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</si>
  <si>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</si>
  <si>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</si>
  <si>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</si>
  <si>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</si>
  <si>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</si>
  <si>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</si>
  <si>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</si>
  <si>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</si>
  <si>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</si>
  <si>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</si>
  <si>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</si>
  <si>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</si>
  <si>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</si>
  <si>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</si>
  <si>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</si>
  <si>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Load Balancer IP</t>
  </si>
  <si>
    <t>Operation primary IP</t>
  </si>
  <si>
    <t>Operations replica IP</t>
  </si>
  <si>
    <t>Operations data node IP</t>
  </si>
  <si>
    <t>applianceSize</t>
  </si>
  <si>
    <t>VCF OPS Collector</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</si>
  <si>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</si>
  <si>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</si>
  <si>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</si>
  <si>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</si>
  <si>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</si>
  <si>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</si>
  <si>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</si>
  <si>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</si>
  <si>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</si>
  <si>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</si>
  <si>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</si>
  <si>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</si>
  <si>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</si>
  <si>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</si>
  <si>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</si>
  <si>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</si>
  <si>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</si>
  <si>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</si>
  <si>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</si>
  <si>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</si>
  <si>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</si>
  <si>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</si>
  <si>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</si>
  <si>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</si>
  <si>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</si>
  <si>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</si>
  <si>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</si>
  <si>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</si>
  <si>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</si>
  <si>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</si>
  <si>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</si>
  <si>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</si>
  <si>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</si>
  <si>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</si>
  <si>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</si>
  <si>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</si>
  <si>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</si>
  <si>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</si>
  <si>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</si>
  <si>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</si>
  <si>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</si>
  <si>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</si>
  <si>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</si>
  <si>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</si>
  <si>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</si>
  <si>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</si>
  <si>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</si>
  <si>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</si>
  <si>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</si>
  <si>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</si>
  <si>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</si>
  <si>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</si>
  <si>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</si>
  <si>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</si>
  <si>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</si>
  <si>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</si>
  <si>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</si>
  <si>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</si>
  <si>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</si>
  <si>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</si>
  <si>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</si>
  <si>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192.18.0.0/15</t>
  </si>
  <si>
    <t>Additional VIPs</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</si>
  <si>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</si>
  <si>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</si>
  <si>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</si>
  <si>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</si>
  <si>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</si>
  <si>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</si>
  <si>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</si>
  <si>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</si>
  <si>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</si>
  <si>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</si>
  <si>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</si>
  <si>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</si>
  <si>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</si>
  <si>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</si>
  <si>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</si>
  <si>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</si>
  <si>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</si>
  <si>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</si>
  <si>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</si>
  <si>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</si>
  <si>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</si>
  <si>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</si>
  <si>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</si>
  <si>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</si>
  <si>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</si>
  <si>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</si>
  <si>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</si>
  <si>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</si>
  <si>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</si>
  <si>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</si>
  <si>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</si>
  <si>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</si>
  <si>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</si>
  <si>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</si>
  <si>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</si>
  <si>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</si>
  <si>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</si>
  <si>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</si>
  <si>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</si>
  <si>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</si>
  <si>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</si>
  <si>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</si>
  <si>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</si>
  <si>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</si>
  <si>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</si>
  <si>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</si>
  <si>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</si>
  <si>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</si>
  <si>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</si>
  <si>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</si>
  <si>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</si>
  <si>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</si>
  <si>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</si>
  <si>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</si>
  <si>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</si>
  <si>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</si>
  <si>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</si>
  <si>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</si>
  <si>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</si>
  <si>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</si>
  <si>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</si>
  <si>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</si>
  <si>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</si>
  <si>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</si>
  <si>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</si>
  <si>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</si>
  <si>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</si>
  <si>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</si>
  <si>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</si>
  <si>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</si>
  <si>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</si>
  <si>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</si>
  <si>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</si>
  <si>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</si>
  <si>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</si>
  <si>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</si>
  <si>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</si>
  <si>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</si>
  <si>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</si>
  <si>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</si>
  <si>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</si>
  <si>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</si>
  <si>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</si>
  <si>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</si>
  <si>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</si>
  <si>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</si>
  <si>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</si>
  <si>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</si>
  <si>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</si>
  <si>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</si>
  <si>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</si>
  <si>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</si>
  <si>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</si>
  <si>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</si>
  <si>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</si>
  <si>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</si>
  <si>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</si>
  <si>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</si>
  <si>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</si>
  <si>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</si>
  <si>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</si>
  <si>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</si>
  <si>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</si>
  <si>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</si>
  <si>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</si>
  <si>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</si>
  <si>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</si>
  <si>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</si>
  <si>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</si>
  <si>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</si>
  <si>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</si>
  <si>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</si>
  <si>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</si>
  <si>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</si>
  <si>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</si>
  <si>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</si>
  <si>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</si>
  <si>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</si>
  <si>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</si>
  <si>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</si>
  <si>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</si>
  <si>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</si>
  <si>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</si>
  <si>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</si>
  <si>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</si>
  <si>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</si>
  <si>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</si>
  <si>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</si>
  <si>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</si>
  <si>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</si>
  <si>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</si>
  <si>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</si>
  <si>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</si>
  <si>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</si>
  <si>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</si>
  <si>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</si>
  <si>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</si>
  <si>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</si>
  <si>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</si>
  <si>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</si>
  <si>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</si>
  <si>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</si>
  <si>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Provide details about the networking to use with this workload domain.</t>
  </si>
  <si>
    <t>NSX Manager Instance Options</t>
  </si>
  <si>
    <t>Create new NSX Manager Instance</t>
  </si>
  <si>
    <t>Deployment Size</t>
  </si>
  <si>
    <t>NSX Management Cluster</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</si>
  <si>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</si>
  <si>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</si>
  <si>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</si>
  <si>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</si>
  <si>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</si>
  <si>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</si>
  <si>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</si>
  <si>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</si>
  <si>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</si>
  <si>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</si>
  <si>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</si>
  <si>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</si>
  <si>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</si>
  <si>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</si>
  <si>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</si>
  <si>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</si>
  <si>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</si>
  <si>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</si>
  <si>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</si>
  <si>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</si>
  <si>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</si>
  <si>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</si>
  <si>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</si>
  <si>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</si>
  <si>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</si>
  <si>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</si>
  <si>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</si>
  <si>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</si>
  <si>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</si>
  <si>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</si>
  <si>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</si>
  <si>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</si>
  <si>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</si>
  <si>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</si>
  <si>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</si>
  <si>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must be in the same subnet as the VM Management Network for the Management Workload Domain</t>
  </si>
  <si>
    <t>IP Address 2</t>
  </si>
  <si>
    <t>IP Address 3</t>
  </si>
  <si>
    <t>Cluster IP</t>
  </si>
  <si>
    <t>Configure Network Connectivity and VPC External IP Blocks</t>
  </si>
  <si>
    <t>Gateway CIDR IPv4 Address</t>
  </si>
  <si>
    <t>External IP Block</t>
  </si>
  <si>
    <t>172.24.0.0/16</t>
  </si>
  <si>
    <t>Private - Transit Gateway IP Block</t>
  </si>
  <si>
    <t>Storage Selection</t>
  </si>
  <si>
    <t>Enable vSAN ESA</t>
  </si>
  <si>
    <t>Select the cluster type and review the storage configuration.</t>
  </si>
  <si>
    <t xml:space="preserve">vSAN Storage Type </t>
  </si>
  <si>
    <t xml:space="preserve">vSAN HCI </t>
  </si>
  <si>
    <t xml:space="preserve">Workflow will auto generate the Datastore name. Datastore can be changed to the desired value post deployment. </t>
  </si>
  <si>
    <t>vSAN Storage Client Network</t>
  </si>
  <si>
    <t>vSAN: Deduplication and Compression</t>
  </si>
  <si>
    <t>VMFS on FC: Datastore Name</t>
  </si>
  <si>
    <t>NFS: Datastore Name</t>
  </si>
  <si>
    <t>NFS: Share Path</t>
  </si>
  <si>
    <t>NFS: Address of NFS Server</t>
  </si>
  <si>
    <t xml:space="preserve">Host Selection </t>
  </si>
  <si>
    <t>Provide the VDS configuration to be applied to the hosts in the cluster.</t>
  </si>
  <si>
    <t xml:space="preserve">Copy From Preconfigured Profile </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</si>
  <si>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</si>
  <si>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Primary Distributed Switch Name</t>
  </si>
  <si>
    <t>Primary vSphere Distributed Switch</t>
  </si>
  <si>
    <t>Fast</t>
  </si>
  <si>
    <t>Physical Network Adapters Used</t>
  </si>
  <si>
    <t>vmnic0,vmnic1</t>
  </si>
  <si>
    <t>Supported Traffic Type</t>
  </si>
  <si>
    <t>Management,vMotion,vSan,Overlay</t>
  </si>
  <si>
    <t>Secondary vSphere Distributed Switch</t>
  </si>
  <si>
    <t>vmnic2,vmnic3</t>
  </si>
  <si>
    <t>Tertiary vSphere Distributed Switch</t>
  </si>
  <si>
    <t>vmnic4,vmnic5</t>
  </si>
  <si>
    <t>NSX-Overlay</t>
  </si>
  <si>
    <t>Network Traffic: Management</t>
  </si>
  <si>
    <t>Portgroup will be created on Primary Distributed Switch</t>
  </si>
  <si>
    <t>Should be created manually on Primary Distributed Switch post Deployment. Used for NSX Edge MGMT Interface.</t>
  </si>
  <si>
    <t>Network Traffic: vSAN Storage Client</t>
  </si>
  <si>
    <t>Transport Zone Type: NSX-Overlay</t>
  </si>
  <si>
    <t>Transport Zone Type: NSX-VLAN</t>
  </si>
  <si>
    <t>Static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</si>
  <si>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</si>
  <si>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</si>
  <si>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</si>
  <si>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</si>
  <si>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</si>
  <si>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</si>
  <si>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</si>
  <si>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</si>
  <si>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</si>
  <si>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</si>
  <si>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</si>
  <si>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</si>
  <si>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</si>
  <si>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</si>
  <si>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</si>
  <si>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</si>
  <si>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</si>
  <si>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</si>
  <si>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</si>
  <si>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</si>
  <si>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</si>
  <si>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</si>
  <si>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</si>
  <si>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</si>
  <si>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</si>
  <si>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</si>
  <si>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</si>
  <si>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</si>
  <si>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</si>
  <si>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</si>
  <si>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</si>
  <si>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</si>
  <si>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 xml:space="preserve">VM Management Network can be used for NSX Edge Node Management Interface </t>
  </si>
  <si>
    <t>10.13.12.101</t>
  </si>
  <si>
    <t>10.13.12.116</t>
  </si>
  <si>
    <t>10.13.13.101</t>
  </si>
  <si>
    <t>10.13.13.116</t>
  </si>
  <si>
    <t>Hostnames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</si>
  <si>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</si>
  <si>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</si>
  <si>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</si>
  <si>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</si>
  <si>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</si>
  <si>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</si>
  <si>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</si>
  <si>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</si>
  <si>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</si>
  <si>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</si>
  <si>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</si>
  <si>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</si>
  <si>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</si>
  <si>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</si>
  <si>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</si>
  <si>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</si>
  <si>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</si>
  <si>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Added Stuff</t>
  </si>
  <si>
    <t>pnp_version_history</t>
  </si>
  <si>
    <t>Fleet Deployment CIDR</t>
  </si>
  <si>
    <t>Fleet Deployment Network</t>
  </si>
  <si>
    <t>Fleet Deployment Gateway IP</t>
  </si>
  <si>
    <t>Use VM management network</t>
  </si>
  <si>
    <t>Fleet Deployment Mask</t>
  </si>
  <si>
    <t xml:space="preserve">sample </t>
  </si>
  <si>
    <t>input</t>
  </si>
  <si>
    <t>name</t>
  </si>
  <si>
    <t>Fleet Deployment MTU</t>
  </si>
  <si>
    <t xml:space="preserve">VCF Automation VCF Installer </t>
  </si>
  <si>
    <t>Fleet Deployment VLANID</t>
  </si>
  <si>
    <t>Moved Stuff</t>
  </si>
  <si>
    <t xml:space="preserve">Deploy VCF Automation  {SDDC Manager} </t>
  </si>
  <si>
    <t>Child DNS Zone</t>
  </si>
  <si>
    <t>vSAN Witness DNS Zone</t>
  </si>
  <si>
    <t>DNS Server 1 (Cross-Instance Components)</t>
  </si>
  <si>
    <t>DNS Server 2 (Cross-Instance Components)</t>
  </si>
  <si>
    <t>Domain Controller</t>
  </si>
  <si>
    <t>SMTP Server</t>
  </si>
  <si>
    <t>smtp.rainpole.io</t>
  </si>
  <si>
    <t xml:space="preserve">NSX Edge Clusters </t>
  </si>
  <si>
    <t>SMTP Server Port</t>
  </si>
  <si>
    <t>NTP Server 1 (Cross-Instance Components)</t>
  </si>
  <si>
    <t>NTP Server 2 (Cross-Instance Components)</t>
  </si>
  <si>
    <t>Fleet Components Ips</t>
  </si>
  <si>
    <t xml:space="preserve">License </t>
  </si>
  <si>
    <t>Services Runtime</t>
  </si>
  <si>
    <t xml:space="preserve">instance components </t>
  </si>
  <si>
    <t xml:space="preserve">fleet component </t>
  </si>
  <si>
    <t>auto services runtime</t>
  </si>
  <si>
    <t xml:space="preserve">not required for 9.0 </t>
  </si>
  <si>
    <t>Fleet Components FQDNs</t>
  </si>
  <si>
    <t>flt-vcfa-sr01.rainpole.io</t>
  </si>
  <si>
    <t>Deploy VCF Automation Node Range</t>
  </si>
  <si>
    <t>IPv4 address Range from</t>
  </si>
  <si>
    <t>IPv4 address Range To</t>
  </si>
  <si>
    <t>Deploy VCF MS Node Range</t>
  </si>
  <si>
    <t>MGMT Exisitng NSX-GM</t>
  </si>
  <si>
    <t xml:space="preserve">Cross instance Tier 0 </t>
  </si>
  <si>
    <t>Rack2</t>
  </si>
  <si>
    <t>Input</t>
  </si>
  <si>
    <t>Rack3</t>
  </si>
  <si>
    <t>Rack4</t>
  </si>
  <si>
    <t>Rack5</t>
  </si>
  <si>
    <t>Rack6</t>
  </si>
  <si>
    <t>Rack8</t>
  </si>
  <si>
    <t>VLAN Uplink1</t>
  </si>
  <si>
    <t>VLAN Uplink2</t>
  </si>
  <si>
    <t>VLAN Edge Overlay</t>
  </si>
  <si>
    <t>Rack7</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</si>
  <si>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</si>
  <si>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</si>
  <si>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</si>
  <si>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</si>
  <si>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</si>
  <si>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</si>
  <si>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</si>
  <si>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</si>
  <si>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</si>
  <si>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</si>
  <si>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</si>
  <si>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</si>
  <si>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</si>
  <si>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</si>
  <si>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</si>
  <si>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</si>
  <si>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</si>
  <si>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</si>
  <si>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</si>
  <si>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</si>
  <si>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</si>
  <si>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</si>
  <si>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Create an NSX-T Edge Cluster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</si>
  <si>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</si>
  <si>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</si>
  <si>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</si>
  <si>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</si>
  <si>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</si>
  <si>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</si>
  <si>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</si>
  <si>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</si>
  <si>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</si>
  <si>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</si>
  <si>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</si>
  <si>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</si>
  <si>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</si>
  <si>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</si>
  <si>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</si>
  <si>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</si>
  <si>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</si>
  <si>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</si>
  <si>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</si>
  <si>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</si>
  <si>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</si>
  <si>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</si>
  <si>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</si>
  <si>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</si>
  <si>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</si>
  <si>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</si>
  <si>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vSAN Stretched Cluster {API}</t>
  </si>
  <si>
    <t>WLD Domain VLAN and IP Subnet Requirements (vSAN Witness Zone)</t>
  </si>
  <si>
    <t>Deploy and Configure vSAN Witness Host  {vCenter}</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</si>
  <si>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</si>
  <si>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</si>
  <si>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</si>
  <si>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</si>
  <si>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</si>
  <si>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</si>
  <si>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</si>
  <si>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</si>
  <si>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</si>
  <si>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</si>
  <si>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</si>
  <si>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</si>
  <si>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</si>
  <si>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</si>
  <si>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</si>
  <si>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</si>
  <si>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</si>
  <si>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</si>
  <si>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</si>
  <si>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</si>
  <si>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</si>
  <si>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</si>
  <si>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</si>
  <si>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</si>
  <si>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</si>
  <si>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</si>
  <si>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</si>
  <si>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</si>
  <si>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</si>
  <si>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</si>
  <si>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</si>
  <si>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</si>
  <si>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</si>
  <si>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</si>
  <si>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</si>
  <si>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</si>
  <si>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</si>
  <si>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</si>
  <si>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</si>
  <si>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</si>
  <si>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</si>
  <si>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</si>
  <si>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</si>
  <si>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</si>
  <si>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</si>
  <si>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</si>
  <si>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</si>
  <si>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</si>
  <si>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</si>
  <si>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</si>
  <si>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</si>
  <si>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</si>
  <si>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</si>
  <si>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</si>
  <si>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</si>
  <si>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</si>
  <si>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</si>
  <si>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</si>
  <si>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</si>
  <si>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</si>
  <si>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</si>
  <si>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</si>
  <si>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</si>
  <si>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</si>
  <si>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</si>
  <si>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</si>
  <si>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</si>
  <si>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</si>
  <si>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</si>
  <si>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</si>
  <si>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</si>
  <si>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</si>
  <si>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</si>
  <si>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</si>
  <si>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</si>
  <si>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</si>
  <si>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</si>
  <si>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</si>
  <si>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</si>
  <si>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</si>
  <si>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</si>
  <si>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</si>
  <si>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</si>
  <si>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</si>
  <si>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</si>
  <si>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</si>
  <si>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</si>
  <si>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</si>
  <si>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</si>
  <si>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</si>
  <si>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</si>
  <si>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</si>
  <si>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</si>
  <si>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</si>
  <si>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</si>
  <si>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</si>
  <si>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</si>
  <si>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</si>
  <si>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</si>
  <si>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</si>
  <si>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</si>
  <si>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</si>
  <si>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</si>
  <si>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</si>
  <si>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</si>
  <si>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Preconfigured Profiles</t>
  </si>
  <si>
    <t>Portgroup should be created manually on Primary Distributed Switch post Deployment. Used for NSX Edge MGMT Interface.</t>
  </si>
  <si>
    <t>Transport Zone Type: NSX- Overlay</t>
  </si>
  <si>
    <t>Re-use an existing Pool</t>
  </si>
  <si>
    <t xml:space="preserve">Description </t>
  </si>
  <si>
    <t>NSX Transport Node Profile Settings</t>
  </si>
  <si>
    <t>Active uplink1</t>
  </si>
  <si>
    <t>Active uplink2</t>
  </si>
  <si>
    <t>Stretched Cluster</t>
  </si>
  <si>
    <t>Commission Hosts  {vCenter}</t>
  </si>
  <si>
    <t>vSAN Compute Site Network Toplogy</t>
  </si>
  <si>
    <t>Symmetric</t>
  </si>
  <si>
    <t>vSAN Compute Cluster Fault Domain Mapping</t>
  </si>
  <si>
    <t>Primary</t>
  </si>
  <si>
    <t>New</t>
  </si>
  <si>
    <t>Old</t>
  </si>
  <si>
    <t>input_vvs_dr_ntp1_server</t>
  </si>
  <si>
    <t>input_vvs_dr_ntp1_ip</t>
  </si>
  <si>
    <t>cluster_vsan_type_chosen</t>
  </si>
  <si>
    <t>input_cluster_vsan_type</t>
  </si>
  <si>
    <t>flt_vidb_chosen</t>
  </si>
  <si>
    <t>input_flt_vidb_deployment_mode</t>
  </si>
  <si>
    <t>mgmt_vns_chosen</t>
  </si>
  <si>
    <t>input_mgmt_ec_gateway_type</t>
  </si>
  <si>
    <t>wld_cl01_vsan_client_network_chosen</t>
  </si>
  <si>
    <t>input_wld_cl01_vsan_client_network_chosen</t>
  </si>
  <si>
    <t>vvs_dr_flt_logs_nodea_hostname</t>
  </si>
  <si>
    <t>input_xreg_logs_nodea_hostname</t>
  </si>
  <si>
    <t>vvs_dr_flt_logs_nodeb_hostname</t>
  </si>
  <si>
    <t>input_xreg_logs_nodeb_hostname</t>
  </si>
  <si>
    <t>vvs_dr_flt_logs_nodec_hostname</t>
  </si>
  <si>
    <t>input_xreg_logs_nodec_hostname</t>
  </si>
  <si>
    <t>vvs_dr_flt_net_nodea_hostname</t>
  </si>
  <si>
    <t>input_xreg_net_nodea_hostname</t>
  </si>
  <si>
    <t>vvs_dr_flt_net_nodeb_hostname</t>
  </si>
  <si>
    <t>input_xreg_net_nodeb_hostname</t>
  </si>
  <si>
    <t>input_xreg_net_nodec_hostname</t>
  </si>
  <si>
    <t>vvs_dr_flt_fleet_manager_hostname</t>
  </si>
  <si>
    <t>input_xreg_vrops_flt_hostname</t>
  </si>
  <si>
    <t>wld_multirack_calc</t>
  </si>
  <si>
    <t>wld_multirack_chosen</t>
  </si>
  <si>
    <t>cluster_vsan_type</t>
  </si>
  <si>
    <t>wld_cl01_vsan_client_network</t>
  </si>
  <si>
    <t>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</si>
  <si>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</si>
  <si>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</si>
  <si>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</si>
  <si>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</si>
  <si>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</si>
  <si>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</si>
  <si>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</si>
  <si>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</si>
  <si>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</si>
  <si>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</si>
  <si>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</si>
  <si>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</si>
  <si>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</si>
  <si>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</si>
  <si>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</si>
  <si>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</si>
  <si>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</si>
  <si>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</si>
  <si>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</si>
  <si>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</si>
  <si>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</si>
  <si>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</si>
  <si>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wld_nsxt_ip</t>
  </si>
  <si>
    <t>sample_flt_vidb_vip_fqdn</t>
  </si>
  <si>
    <t>sample_flt_vidb_fqdn</t>
  </si>
  <si>
    <t>input_flt_vidb_vip_fqdn</t>
  </si>
  <si>
    <t>input_flt_vidb_fqdn</t>
  </si>
  <si>
    <t>flt_vidb_vip_fqdn</t>
  </si>
  <si>
    <t>flt_vidb_fqdn</t>
  </si>
  <si>
    <t>mgmt_nsxt_appliance_size_chosen</t>
  </si>
  <si>
    <t>sizing_m01_nsxt_model_chosen</t>
  </si>
  <si>
    <t>wld_nsxt_appliance_size_chosen</t>
  </si>
  <si>
    <t xml:space="preserve">sizing_wld_nsxt_model_chosen </t>
  </si>
  <si>
    <t>mgmt_vcenter_appliance_size_chosen</t>
  </si>
  <si>
    <t xml:space="preserve">sizing_m01_vcenter_appliance_size_chosen </t>
  </si>
  <si>
    <t>mgmt_vcenter_appliance_storage_size_chosen</t>
  </si>
  <si>
    <t>sizing_m01_vcenter_storage_size_chosen</t>
  </si>
  <si>
    <t>mgmt_vcfops_appliance_size_chosen</t>
  </si>
  <si>
    <t>xreg_vrops_appliance_size_chosen</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</si>
  <si>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</si>
  <si>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</si>
  <si>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</si>
  <si>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</si>
  <si>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</si>
  <si>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</si>
  <si>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</si>
  <si>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</si>
  <si>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</si>
  <si>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</si>
  <si>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</si>
  <si>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</si>
  <si>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</si>
  <si>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</si>
  <si>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</si>
  <si>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</si>
  <si>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</si>
  <si>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</si>
  <si>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</si>
  <si>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</si>
  <si>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</si>
  <si>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</si>
  <si>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</si>
  <si>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Secondary Storage Network (NFS)</t>
  </si>
  <si>
    <t>Internet Proxy Chosen</t>
  </si>
  <si>
    <t>NSX Edge Uplink 1</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</si>
  <si>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</si>
  <si>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</si>
  <si>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</si>
  <si>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</si>
  <si>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</si>
  <si>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</si>
  <si>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</si>
  <si>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</si>
  <si>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</si>
  <si>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</si>
  <si>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</si>
  <si>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</si>
  <si>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</si>
  <si>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</si>
  <si>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</si>
  <si>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</si>
  <si>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</si>
  <si>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</si>
  <si>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</si>
  <si>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</si>
  <si>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</si>
  <si>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</si>
  <si>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</si>
  <si>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</si>
  <si>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</si>
  <si>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</si>
  <si>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</si>
  <si>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</si>
  <si>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</si>
  <si>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</si>
  <si>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</si>
  <si>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</si>
  <si>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</si>
  <si>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</si>
  <si>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</si>
  <si>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</si>
  <si>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</si>
  <si>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</si>
  <si>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</si>
  <si>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</si>
  <si>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</si>
  <si>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</si>
  <si>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</si>
  <si>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</si>
  <si>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</si>
  <si>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</si>
  <si>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</si>
  <si>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</si>
  <si>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</si>
  <si>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Principal Storage Network (vSAN-ESA)</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</si>
  <si>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</si>
  <si>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</si>
  <si>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</si>
  <si>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</si>
  <si>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</si>
  <si>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</si>
  <si>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</si>
  <si>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</si>
  <si>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</si>
  <si>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</si>
  <si>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</si>
  <si>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</si>
  <si>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</si>
  <si>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</si>
  <si>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</si>
  <si>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</si>
  <si>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</si>
  <si>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</si>
  <si>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</si>
  <si>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</si>
  <si>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</si>
  <si>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</si>
  <si>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</si>
  <si>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</si>
  <si>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</si>
  <si>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</si>
  <si>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</si>
  <si>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</si>
  <si>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</si>
  <si>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</si>
  <si>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</si>
  <si>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</si>
  <si>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</si>
  <si>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</si>
  <si>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</si>
  <si>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</si>
  <si>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</si>
  <si>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</si>
  <si>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</si>
  <si>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</si>
  <si>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</si>
  <si>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</si>
  <si>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</si>
  <si>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</si>
  <si>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</si>
  <si>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</si>
  <si>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</si>
  <si>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</si>
  <si>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</si>
  <si>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</si>
  <si>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</si>
  <si>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</si>
  <si>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</si>
  <si>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</si>
  <si>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</si>
  <si>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</si>
  <si>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</si>
  <si>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</si>
  <si>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</si>
  <si>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</si>
  <si>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</si>
  <si>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</si>
  <si>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</si>
  <si>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</si>
  <si>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</si>
  <si>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</si>
  <si>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</si>
  <si>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</si>
  <si>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</si>
  <si>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</si>
  <si>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</si>
  <si>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</si>
  <si>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</si>
  <si>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</si>
  <si>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</si>
  <si>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</si>
  <si>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</si>
  <si>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</si>
  <si>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</si>
  <si>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</si>
  <si>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</si>
  <si>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</si>
  <si>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</si>
  <si>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</si>
  <si>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</si>
  <si>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</si>
  <si>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</si>
  <si>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</si>
  <si>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</si>
  <si>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</si>
  <si>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</si>
  <si>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</si>
  <si>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</si>
  <si>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</si>
  <si>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</si>
  <si>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</si>
  <si>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</si>
  <si>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</si>
  <si>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</si>
  <si>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</si>
  <si>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</si>
  <si>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</si>
  <si>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</si>
  <si>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</si>
  <si>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</si>
  <si>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</si>
  <si>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</si>
  <si>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</si>
  <si>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</si>
  <si>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</si>
  <si>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</si>
  <si>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</si>
  <si>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</si>
  <si>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</si>
  <si>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</si>
  <si>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</si>
  <si>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</si>
  <si>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</si>
  <si>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</si>
  <si>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</si>
  <si>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</si>
  <si>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</si>
  <si>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</si>
  <si>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</si>
  <si>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</si>
  <si>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</si>
  <si>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</si>
  <si>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</si>
  <si>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</si>
  <si>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</si>
  <si>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</si>
  <si>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</si>
  <si>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</si>
  <si>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</si>
  <si>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</si>
  <si>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</si>
  <si>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</si>
  <si>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</si>
  <si>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</si>
  <si>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</si>
  <si>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</si>
  <si>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</si>
  <si>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</si>
  <si>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</si>
  <si>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</si>
  <si>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</si>
  <si>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</si>
  <si>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</si>
  <si>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</si>
  <si>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</si>
  <si>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</si>
  <si>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</si>
  <si>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</si>
  <si>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</si>
  <si>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</si>
  <si>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</si>
  <si>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</si>
  <si>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</si>
  <si>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</si>
  <si>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</si>
  <si>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</si>
  <si>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</si>
  <si>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</si>
  <si>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</si>
  <si>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</si>
  <si>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</si>
  <si>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</si>
  <si>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</si>
  <si>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</si>
  <si>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</si>
  <si>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</si>
  <si>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</si>
  <si>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</si>
  <si>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</si>
  <si>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</si>
  <si>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</si>
  <si>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</si>
  <si>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</si>
  <si>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</si>
  <si>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</si>
  <si>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</si>
  <si>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</si>
  <si>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</si>
  <si>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</si>
  <si>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</si>
  <si>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</si>
  <si>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</si>
  <si>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</si>
  <si>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</si>
  <si>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</si>
  <si>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</si>
  <si>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</si>
  <si>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</si>
  <si>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</si>
  <si>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</si>
  <si>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</si>
  <si>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</si>
  <si>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</si>
  <si>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</si>
  <si>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</si>
  <si>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</si>
  <si>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</si>
  <si>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</si>
  <si>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</si>
  <si>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</si>
  <si>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</si>
  <si>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</si>
  <si>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</si>
  <si>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</si>
  <si>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</si>
  <si>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</si>
  <si>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</si>
  <si>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</si>
  <si>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</si>
  <si>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</si>
  <si>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</si>
  <si>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</si>
  <si>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</si>
  <si>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MGMT CIDR</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</si>
  <si>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</si>
  <si>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</si>
  <si>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</si>
  <si>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</si>
  <si>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</si>
  <si>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</si>
  <si>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</si>
  <si>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</si>
  <si>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</si>
  <si>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</si>
  <si>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</si>
  <si>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</si>
  <si>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</si>
  <si>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</si>
  <si>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</si>
  <si>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</si>
  <si>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</si>
  <si>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</si>
  <si>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</si>
  <si>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</si>
  <si>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</si>
  <si>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</si>
  <si>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</si>
  <si>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</si>
  <si>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</si>
  <si>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</si>
  <si>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</si>
  <si>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</si>
  <si>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</si>
  <si>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</si>
  <si>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</si>
  <si>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</si>
  <si>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</si>
  <si>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</si>
  <si>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</si>
  <si>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</si>
  <si>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</si>
  <si>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</si>
  <si>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</si>
  <si>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</si>
  <si>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</si>
  <si>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</si>
  <si>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</si>
  <si>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</si>
  <si>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</si>
  <si>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</si>
  <si>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</si>
  <si>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</si>
  <si>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</si>
  <si>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</si>
  <si>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</si>
  <si>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</si>
  <si>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</si>
  <si>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CA Administrator</t>
  </si>
  <si>
    <t>Cloud Foundation Management Domain Name</t>
  </si>
  <si>
    <t xml:space="preserve">Fleet Manager </t>
  </si>
  <si>
    <t>VI Workload Domain</t>
  </si>
  <si>
    <t>Local Instance Segment</t>
  </si>
  <si>
    <t>Cross Instance Datacenter Name</t>
  </si>
  <si>
    <t>VM Network (Initial ESXi Install)</t>
  </si>
  <si>
    <t xml:space="preserve">Sample Domain Name </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</si>
  <si>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</si>
  <si>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</si>
  <si>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</si>
  <si>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</si>
  <si>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</si>
  <si>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</si>
  <si>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</si>
  <si>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</si>
  <si>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</si>
  <si>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</si>
  <si>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</si>
  <si>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</si>
  <si>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</si>
  <si>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</si>
  <si>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</si>
  <si>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</si>
  <si>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</si>
  <si>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</si>
  <si>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</si>
  <si>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</si>
  <si>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</si>
  <si>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</si>
  <si>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</si>
  <si>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</si>
  <si>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</si>
  <si>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</si>
  <si>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</si>
  <si>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</si>
  <si>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</si>
  <si>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</si>
  <si>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</si>
  <si>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</si>
  <si>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</si>
  <si>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</si>
  <si>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</si>
  <si>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</si>
  <si>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</si>
  <si>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</si>
  <si>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</si>
  <si>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</si>
  <si>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</si>
  <si>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</si>
  <si>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</si>
  <si>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</si>
  <si>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</si>
  <si>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</si>
  <si>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</si>
  <si>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</si>
  <si>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</si>
  <si>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</si>
  <si>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</si>
  <si>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</si>
  <si>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</si>
  <si>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</si>
  <si>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</si>
  <si>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</si>
  <si>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</si>
  <si>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</si>
  <si>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</si>
  <si>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</si>
  <si>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</si>
  <si>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</si>
  <si>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</si>
  <si>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</si>
  <si>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</si>
  <si>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</si>
  <si>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</si>
  <si>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</si>
  <si>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</si>
  <si>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</si>
  <si>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</si>
  <si>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</si>
  <si>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</si>
  <si>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</si>
  <si>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</si>
  <si>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</si>
  <si>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</si>
  <si>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</si>
  <si>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</si>
  <si>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</si>
  <si>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</si>
  <si>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</si>
  <si>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</si>
  <si>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</si>
  <si>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</si>
  <si>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</si>
  <si>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</si>
  <si>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</si>
  <si>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</si>
  <si>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</si>
  <si>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</si>
  <si>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</si>
  <si>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</si>
  <si>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</si>
  <si>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</si>
  <si>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</si>
  <si>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</si>
  <si>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</si>
  <si>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</si>
  <si>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</si>
  <si>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</si>
  <si>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</si>
  <si>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</si>
  <si>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</si>
  <si>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</si>
  <si>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</si>
  <si>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</si>
  <si>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</si>
  <si>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</si>
  <si>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</si>
  <si>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</si>
  <si>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</si>
  <si>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</si>
  <si>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</si>
  <si>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</si>
  <si>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</si>
  <si>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</si>
  <si>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</si>
  <si>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</si>
  <si>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</si>
  <si>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</si>
  <si>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</si>
  <si>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</si>
  <si>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</si>
  <si>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</si>
  <si>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</si>
  <si>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</si>
  <si>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</si>
  <si>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</si>
  <si>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</si>
  <si>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</si>
  <si>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</si>
  <si>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</si>
  <si>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</si>
  <si>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</si>
  <si>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</si>
  <si>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</si>
  <si>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</si>
  <si>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</si>
  <si>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</si>
  <si>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</si>
  <si>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</si>
  <si>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</si>
  <si>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</si>
  <si>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</si>
  <si>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</si>
  <si>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</si>
  <si>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</si>
  <si>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</si>
  <si>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</si>
  <si>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</si>
  <si>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</si>
  <si>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</si>
  <si>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</si>
  <si>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</si>
  <si>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</si>
  <si>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</si>
  <si>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</si>
  <si>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</si>
  <si>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</si>
  <si>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</si>
  <si>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</si>
  <si>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</si>
  <si>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</si>
  <si>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</si>
  <si>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</si>
  <si>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</si>
  <si>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</si>
  <si>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</si>
  <si>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</si>
  <si>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</si>
  <si>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</si>
  <si>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</si>
  <si>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</si>
  <si>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</si>
  <si>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</si>
  <si>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</si>
  <si>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</si>
  <si>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</si>
  <si>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</si>
  <si>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</si>
  <si>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</si>
  <si>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</si>
  <si>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</si>
  <si>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</si>
  <si>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</si>
  <si>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</si>
  <si>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</si>
  <si>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</si>
  <si>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</si>
  <si>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</si>
  <si>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</si>
  <si>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</si>
  <si>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</si>
  <si>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</si>
  <si>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</si>
  <si>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</si>
  <si>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</si>
  <si>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</si>
  <si>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</si>
  <si>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</si>
  <si>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</si>
  <si>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</si>
  <si>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</si>
  <si>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</si>
  <si>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</si>
  <si>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</si>
  <si>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</si>
  <si>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</si>
  <si>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</si>
  <si>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</si>
  <si>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</si>
  <si>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</si>
  <si>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</si>
  <si>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</si>
  <si>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</si>
  <si>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</si>
  <si>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</si>
  <si>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</si>
  <si>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</si>
  <si>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</si>
  <si>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</si>
  <si>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</si>
  <si>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</si>
  <si>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</si>
  <si>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</si>
  <si>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</si>
  <si>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</si>
  <si>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</si>
  <si>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</si>
  <si>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</si>
  <si>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</si>
  <si>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</si>
  <si>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</si>
  <si>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</si>
  <si>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</si>
  <si>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</si>
  <si>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</si>
  <si>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</si>
  <si>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</si>
  <si>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</si>
  <si>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</si>
  <si>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</si>
  <si>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</si>
  <si>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</si>
  <si>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</si>
  <si>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</si>
  <si>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</si>
  <si>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</si>
  <si>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</si>
  <si>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</si>
  <si>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</si>
  <si>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</si>
  <si>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</si>
  <si>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</si>
  <si>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</si>
  <si>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</si>
  <si>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</si>
  <si>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</si>
  <si>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</si>
  <si>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</si>
  <si>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</si>
  <si>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</si>
  <si>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</si>
  <si>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</si>
  <si>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</si>
  <si>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</si>
  <si>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</si>
  <si>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</si>
  <si>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</si>
  <si>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</si>
  <si>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</si>
  <si>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</si>
  <si>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</si>
  <si>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</si>
  <si>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</si>
  <si>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</si>
  <si>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</si>
  <si>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</si>
  <si>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</si>
  <si>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</si>
  <si>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</si>
  <si>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</si>
  <si>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</si>
  <si>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</si>
  <si>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</si>
  <si>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</si>
  <si>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</si>
  <si>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</si>
  <si>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</si>
  <si>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</si>
  <si>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</si>
  <si>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</si>
  <si>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</si>
  <si>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</si>
  <si>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</si>
  <si>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</si>
  <si>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</si>
  <si>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</si>
  <si>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</si>
  <si>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</si>
  <si>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</si>
  <si>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</si>
  <si>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</si>
  <si>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</si>
  <si>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</si>
  <si>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</si>
  <si>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</si>
  <si>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</si>
  <si>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</si>
  <si>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</si>
  <si>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</si>
  <si>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</si>
  <si>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</si>
  <si>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</si>
  <si>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</si>
  <si>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Lag Name</t>
  </si>
  <si>
    <t>SRM: Initial Database Password</t>
  </si>
  <si>
    <t>Workload AZ2 VLAN Prefix</t>
  </si>
  <si>
    <t>Management Cluster Name</t>
  </si>
  <si>
    <t xml:space="preserve">VCF Operations Load Balancer </t>
  </si>
  <si>
    <t>SRM: Site Name</t>
  </si>
  <si>
    <t>Workload AZ2 CIDR Prefix</t>
  </si>
  <si>
    <t>Secondary vSphere Distributed Switch: Name</t>
  </si>
  <si>
    <t>VCF Operations primary</t>
  </si>
  <si>
    <t>SRM: Administrator Email Address</t>
  </si>
  <si>
    <t>Workload Stretched VLAN Prefix</t>
  </si>
  <si>
    <t>Secondary vSphere Distributed Switch: Uplinks Used</t>
  </si>
  <si>
    <t>RTEP NSX IP Pool Name</t>
  </si>
  <si>
    <t>VCF Operations replica</t>
  </si>
  <si>
    <t>SRM: P12 Cert Password</t>
  </si>
  <si>
    <t>Workload Stretched CIDR Prefix</t>
  </si>
  <si>
    <t>Secondary vSphere Distributed Switch: Number of Uplinks</t>
  </si>
  <si>
    <t>Active Directory Group OUs</t>
  </si>
  <si>
    <t>VCF Operations data node</t>
  </si>
  <si>
    <t xml:space="preserve">SRM: Appliance Size </t>
  </si>
  <si>
    <t>Workload Witness AZ VLAN Prefix</t>
  </si>
  <si>
    <t xml:space="preserve">Secondary vSphere Distributed Switch: MTU </t>
  </si>
  <si>
    <t>Recovery Point Objective</t>
  </si>
  <si>
    <t>Workload Witness AZ CIDR Prefix</t>
  </si>
  <si>
    <t>Secondary vSphere Distributed Switch: LBT</t>
  </si>
  <si>
    <t>SHA-256  NSX Local Manager Virtual Server</t>
  </si>
  <si>
    <t>Instances per Day</t>
  </si>
  <si>
    <t>Workload TOR ASN Prefix</t>
  </si>
  <si>
    <t>Primary Availability Zone Virtual Machine Group</t>
  </si>
  <si>
    <t>Secondary vSphere Distributed Switch: Traffic Type</t>
  </si>
  <si>
    <t>SHA-256  NSX Global Manager Virtual Server</t>
  </si>
  <si>
    <t xml:space="preserve">Intelligent Operations Management Hostnames													</t>
  </si>
  <si>
    <t>Days</t>
  </si>
  <si>
    <t>Kubernetes CIDR Prefix</t>
  </si>
  <si>
    <t>MGMT SSO Domain</t>
  </si>
  <si>
    <r>
      <t xml:space="preserve">Protection Group Name </t>
    </r>
    <r>
      <rPr>
        <i/>
        <sz val="12"/>
        <color theme="1"/>
        <rFont val="Arial"/>
        <family val="2"/>
      </rPr>
      <t>(vRSLCM &amp; Clustered WSA)</t>
    </r>
  </si>
  <si>
    <t>Other Region Management AZ1 CIDR Prefx</t>
  </si>
  <si>
    <t>MGMT SSO Domain Username</t>
  </si>
  <si>
    <t>Active Directory User OUs</t>
  </si>
  <si>
    <r>
      <t xml:space="preserve">Recovery Plan Name </t>
    </r>
    <r>
      <rPr>
        <i/>
        <sz val="12"/>
        <color theme="1"/>
        <rFont val="Arial"/>
        <family val="2"/>
      </rPr>
      <t>(vRSLCM &amp; Clustered WSA)</t>
    </r>
  </si>
  <si>
    <t>Portable Component Prefix</t>
  </si>
  <si>
    <t>flt</t>
  </si>
  <si>
    <t>Tertiary vSphere Distributed Switch: Name</t>
  </si>
  <si>
    <t>Protection Group Name (VMware Aria Operations)</t>
  </si>
  <si>
    <t>Other Instance Management Stretched CIDR Prefix</t>
  </si>
  <si>
    <t xml:space="preserve">Tertiary vSphere Distributed Switch: MTU </t>
  </si>
  <si>
    <t>Aria Operatons replica</t>
  </si>
  <si>
    <t>Recovery Plan Name (VMware Aria Operations)</t>
  </si>
  <si>
    <t>Other Workload Stretched CIDR Prefix</t>
  </si>
  <si>
    <t>MGMT Domain Switch Configuration Primary Cluster  VDS</t>
  </si>
  <si>
    <t>Tertiary vSphere Distributed Switch: Uplinks Used</t>
  </si>
  <si>
    <t>Aria Operatons data node</t>
  </si>
  <si>
    <t>Protection Group Name (VMware Aria Automation)</t>
  </si>
  <si>
    <t xml:space="preserve">Prefix FLT </t>
  </si>
  <si>
    <t>Tertiary vSphere Distributed Switch: Number of Uplinks</t>
  </si>
  <si>
    <t>Supervisor Namespace</t>
  </si>
  <si>
    <t>Recovery Plan Name (VMware Aria Automation)</t>
  </si>
  <si>
    <t>vSphere Distributed Switch Profile</t>
  </si>
  <si>
    <t>Tertiary vSphere Distributed Switch: LBT</t>
  </si>
  <si>
    <t xml:space="preserve">vVol Storage Protocol Type </t>
  </si>
  <si>
    <t>Active Directory Bind DNs</t>
  </si>
  <si>
    <t>Management Portgroup Name</t>
  </si>
  <si>
    <t>Existing: Recovery Site vCenter FQDN</t>
  </si>
  <si>
    <t>Tertiary vSphere Distributed Switch: Traffic Type</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</si>
  <si>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</si>
  <si>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</si>
  <si>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</si>
  <si>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</si>
  <si>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</si>
  <si>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</si>
  <si>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 xml:space="preserve">Cluster Name </t>
  </si>
  <si>
    <t>Existing: Recovery Site SDDC Manager Domain</t>
  </si>
  <si>
    <t xml:space="preserve">Primary vSphere Distributed Switch: Uplink #2 </t>
  </si>
  <si>
    <t xml:space="preserve">Workload Domain Storage Configuration Primary Cluster </t>
  </si>
  <si>
    <t>vLCM Image</t>
  </si>
  <si>
    <t>DNS 1</t>
  </si>
  <si>
    <t>Existing: Recovery Site NSX Location Name</t>
  </si>
  <si>
    <t>spr_mo_result</t>
  </si>
  <si>
    <t>Active Directory Parent Users</t>
  </si>
  <si>
    <t>DNS 2</t>
  </si>
  <si>
    <t>Existing: Recovery Site NSX Edge Cluster Name</t>
  </si>
  <si>
    <t>spr_wo_result</t>
  </si>
  <si>
    <t>vSAN: Datastore Name</t>
  </si>
  <si>
    <t>DNS Parent Zone</t>
  </si>
  <si>
    <t>Existing: Recovery Site vSphere Cluster Name</t>
  </si>
  <si>
    <t>spr_mw_result</t>
  </si>
  <si>
    <t>vSAN: Failures to Tolerate (FTT)</t>
  </si>
  <si>
    <t>svc-vrops-vsphere</t>
  </si>
  <si>
    <t>fleet manager fqdn</t>
  </si>
  <si>
    <t>Existing: Recovery Site Target Datastore</t>
  </si>
  <si>
    <t>protected_mgmt_result</t>
  </si>
  <si>
    <t>svc-vrops-vsan</t>
  </si>
  <si>
    <t>ops node fqdn</t>
  </si>
  <si>
    <t>Existing: Target vSphere Replication Network CIDR</t>
  </si>
  <si>
    <t>recovery_mgmt_result</t>
  </si>
  <si>
    <t>Storage Policy</t>
  </si>
  <si>
    <t>svc-vrops-nsx</t>
  </si>
  <si>
    <t>&lt;vcf_operations_replica_node_fqdn&gt;</t>
  </si>
  <si>
    <t>Site Protection &amp; DR IP Addreses (Management Domain)</t>
  </si>
  <si>
    <t>Existing: SSO Membership</t>
  </si>
  <si>
    <t>protected_wld_result</t>
  </si>
  <si>
    <t>Secondary vSphere Distributed Switch: Uplinks #1</t>
  </si>
  <si>
    <t>svc-vrops-vra</t>
  </si>
  <si>
    <t>&lt;vcf_operations_data_node_fqdn&gt;</t>
  </si>
  <si>
    <t>first_domain_mgmt_only_viable</t>
  </si>
  <si>
    <t>Secondary vSphere Distributed Switch: Uplinks #2</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</si>
  <si>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</si>
  <si>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</si>
  <si>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</si>
  <si>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</si>
  <si>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</si>
  <si>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</si>
  <si>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</si>
  <si>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</si>
  <si>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</si>
  <si>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</si>
  <si>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</si>
  <si>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</si>
  <si>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</si>
  <si>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Workload Domain Hostnames (Witness AZ)</t>
  </si>
  <si>
    <t>svc-vra-nsx</t>
  </si>
  <si>
    <t>&lt;vcf_operations_network_platform_node1_fqdn&gt;</t>
  </si>
  <si>
    <t>Recovery T1 Service Interface IP</t>
  </si>
  <si>
    <t>vi_only_viable</t>
  </si>
  <si>
    <t xml:space="preserve">Switch Configuration </t>
  </si>
  <si>
    <t>svc-vra-vcf</t>
  </si>
  <si>
    <t>&lt;vcf_operations_network_platform_node2_fqdn&gt;</t>
  </si>
  <si>
    <t>vcf_vi_wld_domain_count</t>
  </si>
  <si>
    <t>svc-vro-vsphere</t>
  </si>
  <si>
    <t>&lt;vcf_operations_network_platform_node3_fqdn&gt;</t>
  </si>
  <si>
    <t>Site Protection &amp; DR IP Addreses (Workload Domain)</t>
  </si>
  <si>
    <t>vcf_vi_isolated_domain_count</t>
  </si>
  <si>
    <t>Tertiary vSphere Distributed Switch: Uplinks #1</t>
  </si>
  <si>
    <t>svc-vra-vrops</t>
  </si>
  <si>
    <t xml:space="preserve">Automation FQDN </t>
  </si>
  <si>
    <t>mgmt_consolidated_result</t>
  </si>
  <si>
    <t>Tertiary vSphere Distributed Switch: Uplinks #2</t>
  </si>
  <si>
    <t xml:space="preserve">Workload Domain VI Inputs (Secondary Availability Zone)								</t>
  </si>
  <si>
    <t>Active Directory Passwords</t>
  </si>
  <si>
    <t xml:space="preserve">Cluster </t>
  </si>
  <si>
    <t>DLR FQDN</t>
  </si>
  <si>
    <t>ESXi Node 1 SDDC ID</t>
  </si>
  <si>
    <t>svc-vsphere-ad</t>
  </si>
  <si>
    <t>SSO Domain</t>
  </si>
  <si>
    <t>ESXi Node 2 SDDC ID</t>
  </si>
  <si>
    <t>svc-wsa-ad (child)</t>
  </si>
  <si>
    <t>Fleet Manager hostname</t>
  </si>
  <si>
    <t>Site Protection &amp; DR Hostnames (Management Domain)</t>
  </si>
  <si>
    <t>NSX Operational Mode</t>
  </si>
  <si>
    <t>ESXi Node 3 SDDC ID</t>
  </si>
  <si>
    <t>ops node hostname</t>
  </si>
  <si>
    <t xml:space="preserve">NSX Operation Mode Chosen </t>
  </si>
  <si>
    <t>ESXi Node 4 SDDC ID</t>
  </si>
  <si>
    <t>&lt;vcf_operations_replica_node_ hostname</t>
  </si>
  <si>
    <t>WLD Cluster SDDC ID</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</si>
  <si>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</si>
  <si>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</si>
  <si>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</si>
  <si>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</si>
  <si>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</si>
  <si>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</si>
  <si>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</si>
  <si>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 xml:space="preserve">Workload Domain VI Inputs (Witness Availability Zone)								</t>
  </si>
  <si>
    <t>&lt;vcf_operations_logs_worker_node2_ hostname</t>
  </si>
  <si>
    <t>&lt;vcf_operations_network_platform_node1_ hostname</t>
  </si>
  <si>
    <t>vSAN Datastore FTT</t>
  </si>
  <si>
    <t>&lt;vcf_operations_network_platform_node2_ hostname</t>
  </si>
  <si>
    <t>&lt;vcf_operations_network_platform_node3 hostname</t>
  </si>
  <si>
    <t xml:space="preserve">vSAN Datastore </t>
  </si>
  <si>
    <t>Site Protection &amp; DR FQDNs (Management Domain)</t>
  </si>
  <si>
    <t>Witness DNS</t>
  </si>
  <si>
    <t xml:space="preserve">Network Resource Pool </t>
  </si>
  <si>
    <t>NFS Server Bound To NIC</t>
  </si>
  <si>
    <t>Active Directory Child Users</t>
  </si>
  <si>
    <t>Log Resource Pool</t>
  </si>
  <si>
    <t xml:space="preserve">Witness NTP </t>
  </si>
  <si>
    <t xml:space="preserve">Recovery Port Group </t>
  </si>
  <si>
    <t>Cloud-Based Ransomware Recovery References</t>
  </si>
  <si>
    <t>Management</t>
  </si>
  <si>
    <t>Recobvery Network Gateway</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</si>
  <si>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</si>
  <si>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</si>
  <si>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</si>
  <si>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</si>
  <si>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</si>
  <si>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Workload Domain IP Addresses (Witness AZ)</t>
  </si>
  <si>
    <t xml:space="preserve">Site Pair </t>
  </si>
  <si>
    <t>Service Account Name</t>
  </si>
  <si>
    <t>Edge Form Factor Size</t>
  </si>
  <si>
    <t>Active Directory Groups</t>
  </si>
  <si>
    <t>vr username</t>
  </si>
  <si>
    <t>Service Account Password</t>
  </si>
  <si>
    <t>Edge Cluster MTU</t>
  </si>
  <si>
    <t>vr password</t>
  </si>
  <si>
    <r>
      <t xml:space="preserve">VM Folder </t>
    </r>
    <r>
      <rPr>
        <sz val="12"/>
        <color theme="1"/>
        <rFont val="Arial"/>
        <family val="2"/>
      </rPr>
      <t>(DRaaS Connectors)</t>
    </r>
  </si>
  <si>
    <t>MGMT Edge Cluster Resource Pool</t>
  </si>
  <si>
    <t>VM Management</t>
  </si>
  <si>
    <t>Recovery SDDC Name</t>
  </si>
  <si>
    <t>MGMT Host Group Affinity Host</t>
  </si>
  <si>
    <t>WLD Witness IP</t>
  </si>
  <si>
    <t xml:space="preserve">Intelligent Network Visibility IP Addresses													</t>
  </si>
  <si>
    <t>AWS Region</t>
  </si>
  <si>
    <t>MGMT Host Group Affinity Host name</t>
  </si>
  <si>
    <t>gg-wsa-admins (parent)</t>
  </si>
  <si>
    <t>Host Type</t>
  </si>
  <si>
    <t>WLD Witness MGMT CIDR</t>
  </si>
  <si>
    <t>gg-wsa-directory-admins (parent)</t>
  </si>
  <si>
    <t>VMware Aria Operations for Networks - Node A</t>
  </si>
  <si>
    <t xml:space="preserve">MGMT Edges Share host overaly </t>
  </si>
  <si>
    <t>WLD Witness MGMT Gatweway</t>
  </si>
  <si>
    <t>gg-wsa-read-only (parent)</t>
  </si>
  <si>
    <t>Proxy for Networks - Node A</t>
  </si>
  <si>
    <t>VPC</t>
  </si>
  <si>
    <t>MGMT DPG Seperation</t>
  </si>
  <si>
    <t>WLD Witness MGMT Mask</t>
  </si>
  <si>
    <t>gg-vrslcm-admins</t>
  </si>
  <si>
    <t>Subnet</t>
  </si>
  <si>
    <t xml:space="preserve">Gatway Routing Type </t>
  </si>
  <si>
    <t>WLD Witness MGMT Network</t>
  </si>
  <si>
    <t>gg-vrslcm-content-admins</t>
  </si>
  <si>
    <t xml:space="preserve">Intelligent Network Visibility Hostnames													</t>
  </si>
  <si>
    <t>Management Subnet</t>
  </si>
  <si>
    <t>IP Allocation MGMT</t>
  </si>
  <si>
    <t>VCF Automation Prefix</t>
  </si>
  <si>
    <t>gg-vrslcm-content-developers</t>
  </si>
  <si>
    <r>
      <t>Firewall Rule Name</t>
    </r>
    <r>
      <rPr>
        <i/>
        <sz val="12"/>
        <color theme="1"/>
        <rFont val="Arial"/>
        <family val="2"/>
      </rPr>
      <t xml:space="preserve"> (vCenter Server Inbound)</t>
    </r>
  </si>
  <si>
    <t>IP Allocation (TEP) Edge #1</t>
  </si>
  <si>
    <t xml:space="preserve">VROPS Collecter IP </t>
  </si>
  <si>
    <t>gg-vrops-admins</t>
  </si>
  <si>
    <t>On-Premises Site Name (VMware Cloud Disaster Recovery)</t>
  </si>
  <si>
    <t>IP Allocation (TEP) Edge #2</t>
  </si>
  <si>
    <t>vROPS Appliance Size</t>
  </si>
  <si>
    <t>gg-vrops-content-admins</t>
  </si>
  <si>
    <t>Timezone (VMware Cloud Disaster Recovery)</t>
  </si>
  <si>
    <t xml:space="preserve">Auto-generate Edge passwords </t>
  </si>
  <si>
    <t>gg-vrops-read-only</t>
  </si>
  <si>
    <r>
      <t xml:space="preserve">Hostname </t>
    </r>
    <r>
      <rPr>
        <i/>
        <sz val="12"/>
        <color theme="1"/>
        <rFont val="Arial"/>
        <family val="2"/>
      </rPr>
      <t>(DRaaS Connector)</t>
    </r>
  </si>
  <si>
    <t>Skip Tier-0 Configuration</t>
  </si>
  <si>
    <t xml:space="preserve">VI WLD SSO Domian </t>
  </si>
  <si>
    <t>gg-vrli-admins</t>
  </si>
  <si>
    <r>
      <t xml:space="preserve">IP Address </t>
    </r>
    <r>
      <rPr>
        <i/>
        <sz val="12"/>
        <color theme="1"/>
        <rFont val="Arial"/>
        <family val="2"/>
      </rPr>
      <t>(DRaaS Connector)</t>
    </r>
  </si>
  <si>
    <t>Create Password for Edge Cluster</t>
  </si>
  <si>
    <t>gg-vrli-users</t>
  </si>
  <si>
    <r>
      <t xml:space="preserve">Hostname </t>
    </r>
    <r>
      <rPr>
        <i/>
        <sz val="12"/>
        <color theme="1"/>
        <rFont val="Arial"/>
        <family val="2"/>
      </rPr>
      <t>(DRaaS Connector #2)</t>
    </r>
  </si>
  <si>
    <t>Isolated VI Workload Domain SSO Domain</t>
  </si>
  <si>
    <t>gg-vrli-viewers</t>
  </si>
  <si>
    <r>
      <t xml:space="preserve">IP Address </t>
    </r>
    <r>
      <rPr>
        <i/>
        <sz val="12"/>
        <color theme="1"/>
        <rFont val="Arial"/>
        <family val="2"/>
      </rPr>
      <t>(DRaaS Connector #2)</t>
    </r>
  </si>
  <si>
    <t xml:space="preserve">VCF Authetication </t>
  </si>
  <si>
    <t>Isolated VI Workload Domain SSO Password</t>
  </si>
  <si>
    <t>gg-vra-org-owners</t>
  </si>
  <si>
    <t>DRaaS OVA Download Link</t>
  </si>
  <si>
    <t>Isolated VI Workload Administrator</t>
  </si>
  <si>
    <t>vSAN Storage Client</t>
  </si>
  <si>
    <t>gg-vra-cloud-assembly-admins</t>
  </si>
  <si>
    <t>Orchestrator FQDN</t>
  </si>
  <si>
    <t>VCF Auth Version</t>
  </si>
  <si>
    <t>WLD Cluster 1 image Name</t>
  </si>
  <si>
    <t>gg-vra-cloud-assembly-users</t>
  </si>
  <si>
    <t>Passcode</t>
  </si>
  <si>
    <t xml:space="preserve">VCF Auth Deployment Type </t>
  </si>
  <si>
    <t>WLD Edge Connectivity Type - IAAS</t>
  </si>
  <si>
    <t>gg-vra-cloud-assembly-viewers</t>
  </si>
  <si>
    <t>Label</t>
  </si>
  <si>
    <t>VCF Auth Alias</t>
  </si>
  <si>
    <t>gg-vra-orchestrator-viewers</t>
  </si>
  <si>
    <r>
      <t xml:space="preserve">Anti-Affinity Rule </t>
    </r>
    <r>
      <rPr>
        <i/>
        <sz val="12"/>
        <color theme="1"/>
        <rFont val="Arial"/>
        <family val="2"/>
      </rPr>
      <t>(VMware Cloud Disaster Recovery)</t>
    </r>
  </si>
  <si>
    <t>VCF Auth Common Name (CN)</t>
  </si>
  <si>
    <t>NSX Admin Password</t>
  </si>
  <si>
    <t>gg-vra-project-admins-sample</t>
  </si>
  <si>
    <t>Email alert recipients</t>
  </si>
  <si>
    <t>VCF Auth Organisation</t>
  </si>
  <si>
    <t xml:space="preserve">NSX Deployment Type </t>
  </si>
  <si>
    <t>gg-vra-project-users-sample</t>
  </si>
  <si>
    <t>Sender email address</t>
  </si>
  <si>
    <t>VCF Auth Organisation OU</t>
  </si>
  <si>
    <t>WLD Edge Connectivity Type</t>
  </si>
  <si>
    <t>gg-vcf-admins</t>
  </si>
  <si>
    <t>Aria Operations for Logs - URL</t>
  </si>
  <si>
    <t>VCF Auth Country Code (C)</t>
  </si>
  <si>
    <t>WLD Edge Cluster Resource Pool</t>
  </si>
  <si>
    <t>gg-vcf-operators</t>
  </si>
  <si>
    <t>Aria Operations for Logs - Key</t>
  </si>
  <si>
    <t>VCF Auth Locality (L)</t>
  </si>
  <si>
    <t>WLD Host Group Affinity Host</t>
  </si>
  <si>
    <t>gg-vcf-viewers</t>
  </si>
  <si>
    <t>VCF Auth State (ST)</t>
  </si>
  <si>
    <t>WLD Host Group Affinity Host name en01</t>
  </si>
  <si>
    <t>gg-vc-admins</t>
  </si>
  <si>
    <t>Cross Cloud Mobility References</t>
  </si>
  <si>
    <t>VCF Auth Key Length</t>
  </si>
  <si>
    <t>WLD Host Group Affinity Host name en02</t>
  </si>
  <si>
    <t>gg-vc-read-only</t>
  </si>
  <si>
    <t>VCF Auth Select Folder</t>
  </si>
  <si>
    <t xml:space="preserve">WLD Edges Share host Overlay </t>
  </si>
  <si>
    <t>gg-sso-admins</t>
  </si>
  <si>
    <r>
      <t xml:space="preserve">vSphere Custom Role Role name </t>
    </r>
    <r>
      <rPr>
        <i/>
        <sz val="12"/>
        <color theme="1"/>
        <rFont val="Arial"/>
        <family val="2"/>
      </rPr>
      <t>(VMware HCX to vSphere)</t>
    </r>
  </si>
  <si>
    <t xml:space="preserve">WLD Gatway Routing Type </t>
  </si>
  <si>
    <t>gg-nsx-enterprise-admins</t>
  </si>
  <si>
    <r>
      <t xml:space="preserve">vSphere Service Account </t>
    </r>
    <r>
      <rPr>
        <i/>
        <sz val="12"/>
        <color theme="1"/>
        <rFont val="Arial"/>
        <family val="2"/>
      </rPr>
      <t>(VMware HCX to vSphere)</t>
    </r>
  </si>
  <si>
    <t>WLD NSX Operational Mode</t>
  </si>
  <si>
    <t>gg-nsx-network-admins</t>
  </si>
  <si>
    <r>
      <t xml:space="preserve">vSphere Service Account Password </t>
    </r>
    <r>
      <rPr>
        <i/>
        <sz val="12"/>
        <color theme="1"/>
        <rFont val="Arial"/>
        <family val="2"/>
      </rPr>
      <t>(VMware HCX to vSphere)</t>
    </r>
  </si>
  <si>
    <t>VCF Auth Select Resource Pool</t>
  </si>
  <si>
    <t>gg-nsx-auditors</t>
  </si>
  <si>
    <r>
      <t xml:space="preserve">VM Folder </t>
    </r>
    <r>
      <rPr>
        <sz val="12"/>
        <color theme="1"/>
        <rFont val="Arial"/>
        <family val="2"/>
      </rPr>
      <t>(HCX Connector)</t>
    </r>
  </si>
  <si>
    <t xml:space="preserve">Enhanced Datapath </t>
  </si>
  <si>
    <r>
      <t xml:space="preserve">VM Folder </t>
    </r>
    <r>
      <rPr>
        <i/>
        <sz val="12"/>
        <color theme="1"/>
        <rFont val="Arial"/>
        <family val="2"/>
      </rPr>
      <t>(HCX Appliances)</t>
    </r>
  </si>
  <si>
    <t>WLD Password Creation</t>
  </si>
  <si>
    <t>VM Group Names</t>
  </si>
  <si>
    <r>
      <t xml:space="preserve">Resource Pool </t>
    </r>
    <r>
      <rPr>
        <i/>
        <sz val="12"/>
        <color theme="1"/>
        <rFont val="Arial"/>
        <family val="2"/>
      </rPr>
      <t>(HCX Appliances)</t>
    </r>
  </si>
  <si>
    <t>WLD Edge #1 Overlay Ip Allocation</t>
  </si>
  <si>
    <t>VMware HCX to NSX Username</t>
  </si>
  <si>
    <t>WLD Edge #1 MGMT IP Allocation</t>
  </si>
  <si>
    <t>Clustered WSA Instances</t>
  </si>
  <si>
    <t>VMware HCX to NSX Password</t>
  </si>
  <si>
    <t xml:space="preserve">Auth mode </t>
  </si>
  <si>
    <t>WLD Edge #2 Overlay Ip Allocation</t>
  </si>
  <si>
    <t>AWS SDDC Name</t>
  </si>
  <si>
    <t>VCF Auth Identity Provider</t>
  </si>
  <si>
    <t>WLD Edge #2 MGMT IP Allocation</t>
  </si>
  <si>
    <t xml:space="preserve">Management </t>
  </si>
  <si>
    <t>VCF Auth Directory Name</t>
  </si>
  <si>
    <t>IAAS Service Chosen</t>
  </si>
  <si>
    <t>Witness vCenter FQDN</t>
  </si>
  <si>
    <t>VCF Auth Server Location</t>
  </si>
  <si>
    <t xml:space="preserve">Create new Static Pool </t>
  </si>
  <si>
    <t>Witness vCenter</t>
  </si>
  <si>
    <t xml:space="preserve">VCF Auth Global Catalogue </t>
  </si>
  <si>
    <t xml:space="preserve">Default NSX Operation Chosen </t>
  </si>
  <si>
    <t>Witness vCenter hostname</t>
  </si>
  <si>
    <t xml:space="preserve">VCF Auth Encrypted Connection </t>
  </si>
  <si>
    <t xml:space="preserve">vSAN Type </t>
  </si>
  <si>
    <t xml:space="preserve">MGMT Witness MTU </t>
  </si>
  <si>
    <t xml:space="preserve">VCF Auth Encryption Cert </t>
  </si>
  <si>
    <t xml:space="preserve">Copy vDS Profile </t>
  </si>
  <si>
    <t xml:space="preserve">MGMT Witness vLAN </t>
  </si>
  <si>
    <t>VCF Auth Primary Domain Controller</t>
  </si>
  <si>
    <t xml:space="preserve">MGMT Witness Port Group </t>
  </si>
  <si>
    <t>VCF Auth Primary Domain Controller Port</t>
  </si>
  <si>
    <t>Active  uplink1</t>
  </si>
  <si>
    <t xml:space="preserve">MGMT Witness Network </t>
  </si>
  <si>
    <r>
      <t xml:space="preserve">Firewall Rule Name </t>
    </r>
    <r>
      <rPr>
        <i/>
        <sz val="12"/>
        <color theme="1"/>
        <rFont val="Arial"/>
        <family val="2"/>
      </rPr>
      <t>(HCX Inbound)</t>
    </r>
  </si>
  <si>
    <t>VCF Auth Secondary Domain Controller</t>
  </si>
  <si>
    <r>
      <t>User Defined Group</t>
    </r>
    <r>
      <rPr>
        <i/>
        <sz val="12"/>
        <color theme="1"/>
        <rFont val="Arial"/>
        <family val="2"/>
      </rPr>
      <t xml:space="preserve"> (Firewall Access)</t>
    </r>
  </si>
  <si>
    <t xml:space="preserve">VCF Auth Secondary Domain Controller Port </t>
  </si>
  <si>
    <t>Witness Mask</t>
  </si>
  <si>
    <r>
      <t xml:space="preserve">IP Address(es) </t>
    </r>
    <r>
      <rPr>
        <i/>
        <sz val="12"/>
        <color theme="1"/>
        <rFont val="Arial"/>
        <family val="2"/>
      </rPr>
      <t>(Firewall Access)</t>
    </r>
  </si>
  <si>
    <t xml:space="preserve">VCF Auth Directory Search </t>
  </si>
  <si>
    <t>WLD NSX Admin Password</t>
  </si>
  <si>
    <t>Brownfield WLD Import</t>
  </si>
  <si>
    <t xml:space="preserve">Witness IP </t>
  </si>
  <si>
    <t>HCX License key</t>
  </si>
  <si>
    <t>VCF Auth Base DN</t>
  </si>
  <si>
    <t>WLD NSX Root Password</t>
  </si>
  <si>
    <t>Witness CIDR</t>
  </si>
  <si>
    <t>Datacenter Location</t>
  </si>
  <si>
    <t xml:space="preserve">VCF Auth Bind Username </t>
  </si>
  <si>
    <t>Workload Domain Edge Cluster MTU</t>
  </si>
  <si>
    <t>Witness Gateway</t>
  </si>
  <si>
    <r>
      <rPr>
        <b/>
        <sz val="12"/>
        <color theme="1"/>
        <rFont val="Arial"/>
        <family val="2"/>
      </rPr>
      <t>Hostname</t>
    </r>
    <r>
      <rPr>
        <i/>
        <sz val="12"/>
        <color theme="1"/>
        <rFont val="Arial"/>
        <family val="2"/>
      </rPr>
      <t xml:space="preserve"> (HCX Connector)</t>
    </r>
  </si>
  <si>
    <t>VCF Auth Bind Password</t>
  </si>
  <si>
    <t>SFTP Sever</t>
  </si>
  <si>
    <r>
      <t xml:space="preserve">CLI Admin Password </t>
    </r>
    <r>
      <rPr>
        <i/>
        <sz val="12"/>
        <color theme="1"/>
        <rFont val="Arial"/>
        <family val="2"/>
      </rPr>
      <t>(HCX Connector)</t>
    </r>
  </si>
  <si>
    <t>VCF Auth Username</t>
  </si>
  <si>
    <r>
      <t xml:space="preserve">Root Password </t>
    </r>
    <r>
      <rPr>
        <i/>
        <sz val="12"/>
        <color theme="1"/>
        <rFont val="Arial"/>
        <family val="2"/>
      </rPr>
      <t>(HCX Connector)</t>
    </r>
  </si>
  <si>
    <t>VCF Auth First Name</t>
  </si>
  <si>
    <t xml:space="preserve">VCF operations for Logs </t>
  </si>
  <si>
    <r>
      <t xml:space="preserve">IP Address </t>
    </r>
    <r>
      <rPr>
        <i/>
        <sz val="12"/>
        <color theme="1"/>
        <rFont val="Arial"/>
        <family val="2"/>
      </rPr>
      <t>(HCX Connector)</t>
    </r>
  </si>
  <si>
    <t>VCF Auth Last Name</t>
  </si>
  <si>
    <t>Remote HCX URL</t>
  </si>
  <si>
    <t>VCF Auth Distinguised Name</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</si>
  <si>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</si>
  <si>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</si>
  <si>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</si>
  <si>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</si>
  <si>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</si>
  <si>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</si>
  <si>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</si>
  <si>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</si>
  <si>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</si>
  <si>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</si>
  <si>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</si>
  <si>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</si>
  <si>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</si>
  <si>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</si>
  <si>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Server Domain / FQDN - Master</t>
  </si>
  <si>
    <t>Protected vCenter</t>
  </si>
  <si>
    <t>Server Domain / FQDN - Worker 1</t>
  </si>
  <si>
    <t>VLR Hostname</t>
  </si>
  <si>
    <t>Server Domain / FQDN - Worker 2</t>
  </si>
  <si>
    <t>VLR FQDN</t>
  </si>
  <si>
    <t xml:space="preserve">Management Domain VI Inputs (Secondary Availability Zone)								</t>
  </si>
  <si>
    <t>Storage Cluster</t>
  </si>
  <si>
    <t xml:space="preserve">Storage Cluster VDS </t>
  </si>
  <si>
    <t xml:space="preserve">Cluster Strecthed Cluster  							</t>
  </si>
  <si>
    <t>Node Port Group</t>
  </si>
  <si>
    <t>Node Gateway</t>
  </si>
  <si>
    <t>Node Subnet</t>
  </si>
  <si>
    <t xml:space="preserve">Management Domain VI Inputs (Witness Availability Zone)								</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</si>
  <si>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</si>
  <si>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</si>
  <si>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</si>
  <si>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</si>
  <si>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</si>
  <si>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</si>
  <si>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</si>
  <si>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</si>
  <si>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Node B Hostname</t>
  </si>
  <si>
    <t>Node C Hostname</t>
  </si>
  <si>
    <t>Management Domain Accounts and Passwords</t>
  </si>
  <si>
    <t>VIP IP</t>
  </si>
  <si>
    <t>Node A IP</t>
  </si>
  <si>
    <t>ESX Root Account</t>
  </si>
  <si>
    <t>Node B IP</t>
  </si>
  <si>
    <t>vMotion VLAN ID</t>
  </si>
  <si>
    <t>Node C IP</t>
  </si>
  <si>
    <t>Disk Mode</t>
  </si>
  <si>
    <t>VCF Automation Root Password</t>
  </si>
  <si>
    <t>AZ Network - vMotion</t>
  </si>
  <si>
    <t>VCF Operations Admin Password</t>
  </si>
  <si>
    <t xml:space="preserve">VCF Networks for Network </t>
  </si>
  <si>
    <t>VCF OPS Root Password</t>
  </si>
  <si>
    <t>Fleet Manager Admin Password</t>
  </si>
  <si>
    <t>Fleet Manager Root Password</t>
  </si>
  <si>
    <t>WLD administrator@vsphere.local Password</t>
  </si>
  <si>
    <t xml:space="preserve">vSAN Network </t>
  </si>
  <si>
    <t>MGMT NSX Admin Password</t>
  </si>
  <si>
    <t>vSAN VLAN ID</t>
  </si>
  <si>
    <t>Private Key</t>
  </si>
  <si>
    <t>MGMT NSX Root Password</t>
  </si>
  <si>
    <t xml:space="preserve">Certificate Chain </t>
  </si>
  <si>
    <t>MGMT VIDB VIPS</t>
  </si>
  <si>
    <t xml:space="preserve">AZ Network - Princpal Storage </t>
  </si>
  <si>
    <t>MGMT VIDB Node Prefix</t>
  </si>
  <si>
    <t>MGMT VIDB Password</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</si>
  <si>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</si>
  <si>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</si>
  <si>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</si>
  <si>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</si>
  <si>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</si>
  <si>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</si>
  <si>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</si>
  <si>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</si>
  <si>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</si>
  <si>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</si>
  <si>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FQDN - Proxy</t>
  </si>
  <si>
    <t>MGMT Edge Node 1 Uplink Mapping fp-eth0 uplink1</t>
  </si>
  <si>
    <t>MGMT Edge Node 1 Uplink Mapping fp-eth1 uplink0</t>
  </si>
  <si>
    <t>MGMT Edge Node 1 Uplink Mapping fp-eth1 uplink1</t>
  </si>
  <si>
    <t>MGMT Edge Node 2 Uplink Mapping fp-eth0 uplink0</t>
  </si>
  <si>
    <t>IP - Proxy</t>
  </si>
  <si>
    <t>MGMT Edge Node 2 Uplink Mapping fp-eth0 uplink1</t>
  </si>
  <si>
    <t>HOSTNAME - Platform Node #1</t>
  </si>
  <si>
    <t>MGMT Edge Node 2 Uplink Mapping fp-eth1 uplink0</t>
  </si>
  <si>
    <t>HOSTNAME - Platform Node #2</t>
  </si>
  <si>
    <t>MGMT Edge Node 2 Uplink Mapping fp-eth1 uplink1</t>
  </si>
  <si>
    <t>HOSTNAME - Platform Node #3</t>
  </si>
  <si>
    <t>HOSTNAME - Proxy</t>
  </si>
  <si>
    <t>WLD Edge Node 1 Uplink Mapping fp-eth0 uplink0</t>
  </si>
  <si>
    <t>WLD Edge Node 1 Uplink Mapping fp-eth0 uplink1</t>
  </si>
  <si>
    <t>WLD Edge Node 1 Uplink Mapping fp-eth1 uplink0</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</si>
  <si>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</si>
  <si>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</si>
  <si>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</si>
  <si>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</si>
  <si>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</si>
  <si>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</si>
  <si>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</si>
  <si>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</si>
  <si>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</si>
  <si>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</si>
  <si>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</si>
  <si>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OPS for Networks Node B Size</t>
  </si>
  <si>
    <t>OPS for Networks Node C Size</t>
  </si>
  <si>
    <t>OPS for Networks Proxy Size</t>
  </si>
  <si>
    <t>secondaryAzOverlayVlanId</t>
  </si>
  <si>
    <t>Configure VCF Operations and Automation  {SDDC Manager}</t>
  </si>
  <si>
    <t>Host  1 FQDN - AZ2</t>
  </si>
  <si>
    <t>Host 2 FQDN - AZ2</t>
  </si>
  <si>
    <t>Host 3 FQDN - AZ2</t>
  </si>
  <si>
    <t>Host 4 FQDN  - AZ2</t>
  </si>
  <si>
    <t>Host 5 FQDN - AZ2</t>
  </si>
  <si>
    <t>Host 6 FQDN - AZ2</t>
  </si>
  <si>
    <t>FQDN - LB</t>
  </si>
  <si>
    <t>Host 7 FQDN - AZ2</t>
  </si>
  <si>
    <t>VCF OPS FQDN - Master</t>
  </si>
  <si>
    <t>Host 8 FQDN - AZ2</t>
  </si>
  <si>
    <t>FQDN - Replica</t>
  </si>
  <si>
    <t>Host 9 FQDN - AZ2</t>
  </si>
  <si>
    <t>FQDN - Data</t>
  </si>
  <si>
    <t>Host 10 FQDN - AZ2</t>
  </si>
  <si>
    <t>IP Address - LB</t>
  </si>
  <si>
    <t>Host 11 FQDN - AZ2</t>
  </si>
  <si>
    <t>IP Address - Master</t>
  </si>
  <si>
    <t>Host 12 FQDN - AZ2</t>
  </si>
  <si>
    <t>IP Address - Replica</t>
  </si>
  <si>
    <t>Host 13 FQDN - AZ2</t>
  </si>
  <si>
    <t>IP Address - Data</t>
  </si>
  <si>
    <t>Host 14 FQDN - AZ2</t>
  </si>
  <si>
    <t>Host 15 FQDN - AZ2</t>
  </si>
  <si>
    <t>Host 16 FQDN - AZ2</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</si>
  <si>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</si>
  <si>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</si>
  <si>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</si>
  <si>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</si>
  <si>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</si>
  <si>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</si>
  <si>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</si>
  <si>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</si>
  <si>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</si>
  <si>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</si>
  <si>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</si>
  <si>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</si>
  <si>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</si>
  <si>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</si>
  <si>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</si>
  <si>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</si>
  <si>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</si>
  <si>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</si>
  <si>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</si>
  <si>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</si>
  <si>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</si>
  <si>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</si>
  <si>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</si>
  <si>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Yes / No</t>
  </si>
  <si>
    <t xml:space="preserve">Instance </t>
  </si>
  <si>
    <t>Additional Instance</t>
  </si>
  <si>
    <t>Yes</t>
  </si>
  <si>
    <t>Deploy a VCF Instance in an existing VCF fleet</t>
  </si>
  <si>
    <t>VMware vSphere Foundation Deployment</t>
  </si>
  <si>
    <t>XLarge</t>
  </si>
  <si>
    <t>Create VI Workload Domain</t>
  </si>
  <si>
    <t>vCenter Storage Size List</t>
  </si>
  <si>
    <t>Create Cluster</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</si>
  <si>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</si>
  <si>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</si>
  <si>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</si>
  <si>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</si>
  <si>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</si>
  <si>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</si>
  <si>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</si>
  <si>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</si>
  <si>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</si>
  <si>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</si>
  <si>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</si>
  <si>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</si>
  <si>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</si>
  <si>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</si>
  <si>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</si>
  <si>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</si>
  <si>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</si>
  <si>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</si>
  <si>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</si>
  <si>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</si>
  <si>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</si>
  <si>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</si>
  <si>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</si>
  <si>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</si>
  <si>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</si>
  <si>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</si>
  <si>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</si>
  <si>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</si>
  <si>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</si>
  <si>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</si>
  <si>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</si>
  <si>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</si>
  <si>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</si>
  <si>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</si>
  <si>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</si>
  <si>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</si>
  <si>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</si>
  <si>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</si>
  <si>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</si>
  <si>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</si>
  <si>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</si>
  <si>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</si>
  <si>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</si>
  <si>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</si>
  <si>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</si>
  <si>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</si>
  <si>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</si>
  <si>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</si>
  <si>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</si>
  <si>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</si>
  <si>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</si>
  <si>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</si>
  <si>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</si>
  <si>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</si>
  <si>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</si>
  <si>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</si>
  <si>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</si>
  <si>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</si>
  <si>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</si>
  <si>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</si>
  <si>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</si>
  <si>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</si>
  <si>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</si>
  <si>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</si>
  <si>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</si>
  <si>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</si>
  <si>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</si>
  <si>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</si>
  <si>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</si>
  <si>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</si>
  <si>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</si>
  <si>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</si>
  <si>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</si>
  <si>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</si>
  <si>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</si>
  <si>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</si>
  <si>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</si>
  <si>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</si>
  <si>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</si>
  <si>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</si>
  <si>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</si>
  <si>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</si>
  <si>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</si>
  <si>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</si>
  <si>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</si>
  <si>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</si>
  <si>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</si>
  <si>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</si>
  <si>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</si>
  <si>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</si>
  <si>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</si>
  <si>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</si>
  <si>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</si>
  <si>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</si>
  <si>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X-Large</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</si>
  <si>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</si>
  <si>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</si>
  <si>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</si>
  <si>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</si>
  <si>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</si>
  <si>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</si>
  <si>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</si>
  <si>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</si>
  <si>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</si>
  <si>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</si>
  <si>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</si>
  <si>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</si>
  <si>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</si>
  <si>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</si>
  <si>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</si>
  <si>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</si>
  <si>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</si>
  <si>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</si>
  <si>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</si>
  <si>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</si>
  <si>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</si>
  <si>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</si>
  <si>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</si>
  <si>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</si>
  <si>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</si>
  <si>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</si>
  <si>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</si>
  <si>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</si>
  <si>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</si>
  <si>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</si>
  <si>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</si>
  <si>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</si>
  <si>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</si>
  <si>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</si>
  <si>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</si>
  <si>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</si>
  <si>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</si>
  <si>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</si>
  <si>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</si>
  <si>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</si>
  <si>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</si>
  <si>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</si>
  <si>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</si>
  <si>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</si>
  <si>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</si>
  <si>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</si>
  <si>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</si>
  <si>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</si>
  <si>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</si>
  <si>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</si>
  <si>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</si>
  <si>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</si>
  <si>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</si>
  <si>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</si>
  <si>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</si>
  <si>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</si>
  <si>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</si>
  <si>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</si>
  <si>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</si>
  <si>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</si>
  <si>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</si>
  <si>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</si>
  <si>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</si>
  <si>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</si>
  <si>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</si>
  <si>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</si>
  <si>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</si>
  <si>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</si>
  <si>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</si>
  <si>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</si>
  <si>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</si>
  <si>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</si>
  <si>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</si>
  <si>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</si>
  <si>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</si>
  <si>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</si>
  <si>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</si>
  <si>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</si>
  <si>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</si>
  <si>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</si>
  <si>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</si>
  <si>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</si>
  <si>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</si>
  <si>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</si>
  <si>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</si>
  <si>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</si>
  <si>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</si>
  <si>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</si>
  <si>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</si>
  <si>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</si>
  <si>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</si>
  <si>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</si>
  <si>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</si>
  <si>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</si>
  <si>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</si>
  <si>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</si>
  <si>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</si>
  <si>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</si>
  <si>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</si>
  <si>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</si>
  <si>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</si>
  <si>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</si>
  <si>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</si>
  <si>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</si>
  <si>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</si>
  <si>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</si>
  <si>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</si>
  <si>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</si>
  <si>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</si>
  <si>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</si>
  <si>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</si>
  <si>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</si>
  <si>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Source MAC</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</si>
  <si>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</si>
  <si>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</si>
  <si>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</si>
  <si>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</si>
  <si>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</si>
  <si>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</si>
  <si>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</si>
  <si>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</si>
  <si>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</si>
  <si>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</si>
  <si>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Source and destination IP and TCP/UDP port</t>
  </si>
  <si>
    <t>Destination IP and TCP/UDP port and vLAN</t>
  </si>
  <si>
    <t>Source IP and TCP/UDP port and vLAN</t>
  </si>
  <si>
    <t>Destination IP</t>
  </si>
  <si>
    <t>Source IP</t>
  </si>
  <si>
    <t>Source and destination IP</t>
  </si>
  <si>
    <t>vLAN</t>
  </si>
  <si>
    <t>vLAN source port ID</t>
  </si>
  <si>
    <t>Site Protection and Disaster Recovery</t>
  </si>
  <si>
    <t>Group / Component</t>
  </si>
  <si>
    <t>Reference Hostname</t>
  </si>
  <si>
    <t>Your Hostname</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</si>
  <si>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</si>
  <si>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</si>
  <si>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</si>
  <si>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</si>
  <si>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</si>
  <si>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</si>
  <si>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</si>
  <si>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</si>
  <si>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</si>
  <si>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</si>
  <si>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</si>
  <si>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</si>
  <si>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</si>
  <si>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</si>
  <si>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</si>
  <si>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</si>
  <si>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</si>
  <si>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</si>
  <si>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</si>
  <si>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</si>
  <si>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</si>
  <si>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</si>
  <si>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</si>
  <si>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</si>
  <si>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</si>
  <si>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</si>
  <si>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</si>
  <si>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</si>
  <si>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</si>
  <si>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</si>
  <si>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</si>
  <si>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</si>
  <si>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</si>
  <si>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</si>
  <si>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</si>
  <si>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</si>
  <si>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</si>
  <si>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</si>
  <si>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</si>
  <si>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</si>
  <si>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</si>
  <si>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</si>
  <si>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</si>
  <si>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</si>
  <si>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</si>
  <si>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</si>
  <si>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</si>
  <si>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</si>
  <si>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</si>
  <si>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</si>
  <si>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</si>
  <si>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</si>
  <si>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</si>
  <si>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</si>
  <si>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</si>
  <si>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</si>
  <si>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</si>
  <si>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</si>
  <si>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</si>
  <si>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</si>
  <si>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</si>
  <si>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</si>
  <si>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</si>
  <si>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</si>
  <si>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</si>
  <si>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</si>
  <si>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</si>
  <si>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</si>
  <si>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</si>
  <si>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</si>
  <si>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</si>
  <si>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</si>
  <si>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</si>
  <si>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</si>
  <si>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</si>
  <si>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</si>
  <si>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</si>
  <si>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</si>
  <si>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</si>
  <si>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</si>
  <si>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</si>
  <si>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</si>
  <si>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</si>
  <si>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</si>
  <si>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</si>
  <si>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</si>
  <si>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</si>
  <si>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</si>
  <si>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</si>
  <si>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</si>
  <si>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</si>
  <si>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</si>
  <si>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</si>
  <si>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</si>
  <si>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</si>
  <si>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</si>
  <si>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</si>
  <si>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</si>
  <si>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</si>
  <si>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</si>
  <si>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</si>
  <si>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</si>
  <si>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</si>
  <si>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</si>
  <si>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</si>
  <si>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</si>
  <si>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</si>
  <si>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</si>
  <si>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</si>
  <si>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</si>
  <si>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</si>
  <si>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</si>
  <si>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</si>
  <si>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</si>
  <si>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</si>
  <si>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</si>
  <si>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</si>
  <si>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</si>
  <si>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</si>
  <si>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</si>
  <si>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</si>
  <si>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</si>
  <si>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</si>
  <si>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</si>
  <si>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</si>
  <si>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</si>
  <si>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</si>
  <si>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</si>
  <si>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</si>
  <si>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</si>
  <si>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</si>
  <si>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</si>
  <si>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</si>
  <si>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</si>
  <si>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</si>
  <si>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</si>
  <si>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</si>
  <si>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</si>
  <si>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</si>
  <si>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</si>
  <si>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</si>
  <si>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</si>
  <si>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</si>
  <si>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</si>
  <si>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</si>
  <si>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</si>
  <si>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</si>
  <si>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</si>
  <si>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</si>
  <si>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</si>
  <si>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</si>
  <si>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</si>
  <si>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</si>
  <si>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</si>
  <si>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</si>
  <si>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</si>
  <si>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</si>
  <si>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</si>
  <si>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</si>
  <si>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</si>
  <si>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</si>
  <si>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</si>
  <si>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</si>
  <si>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</si>
  <si>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</si>
  <si>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</si>
  <si>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</si>
  <si>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</si>
  <si>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</si>
  <si>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</si>
  <si>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</si>
  <si>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</si>
  <si>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</si>
  <si>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</si>
  <si>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</si>
  <si>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</si>
  <si>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</si>
  <si>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</si>
  <si>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</si>
  <si>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</si>
  <si>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</si>
  <si>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</si>
  <si>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</si>
  <si>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</si>
  <si>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</si>
  <si>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</si>
  <si>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</si>
  <si>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</si>
  <si>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</si>
  <si>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</si>
  <si>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</si>
  <si>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</si>
  <si>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</si>
  <si>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</si>
  <si>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</si>
  <si>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</si>
  <si>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</si>
  <si>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</si>
  <si>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</si>
  <si>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</si>
  <si>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</si>
  <si>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</si>
  <si>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</si>
  <si>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</si>
  <si>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</si>
  <si>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</si>
  <si>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</si>
  <si>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</si>
  <si>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</si>
  <si>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</si>
  <si>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</si>
  <si>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</si>
  <si>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</si>
  <si>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</si>
  <si>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</si>
  <si>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</si>
  <si>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</si>
  <si>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</si>
  <si>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</si>
  <si>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</si>
  <si>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</si>
  <si>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</si>
  <si>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</si>
  <si>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</si>
  <si>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</si>
  <si>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</si>
  <si>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</si>
  <si>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</si>
  <si>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</si>
  <si>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</si>
  <si>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</si>
  <si>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</si>
  <si>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</si>
  <si>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</si>
  <si>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</si>
  <si>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</si>
  <si>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</si>
  <si>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</si>
  <si>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</si>
  <si>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</si>
  <si>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</si>
  <si>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</si>
  <si>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</si>
  <si>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</si>
  <si>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</si>
  <si>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</si>
  <si>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</si>
  <si>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</si>
  <si>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</si>
  <si>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</si>
  <si>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</si>
  <si>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</si>
  <si>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</si>
  <si>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</si>
  <si>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</si>
  <si>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</si>
  <si>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</si>
  <si>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</si>
  <si>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</si>
  <si>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</si>
  <si>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</si>
  <si>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</si>
  <si>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</si>
  <si>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</si>
  <si>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</si>
  <si>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</si>
  <si>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</si>
  <si>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</si>
  <si>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</si>
  <si>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</si>
  <si>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</si>
  <si>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</si>
  <si>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</si>
  <si>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</si>
  <si>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</si>
  <si>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</si>
  <si>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</si>
  <si>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</si>
  <si>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</si>
  <si>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</si>
  <si>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</si>
  <si>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</si>
  <si>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</si>
  <si>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</si>
  <si>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</si>
  <si>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</si>
  <si>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</si>
  <si>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</si>
  <si>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</si>
  <si>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</si>
  <si>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</si>
  <si>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</si>
  <si>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</si>
  <si>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</si>
  <si>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</si>
  <si>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</si>
  <si>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</si>
  <si>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</si>
  <si>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</si>
  <si>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</si>
  <si>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</si>
  <si>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</si>
  <si>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</si>
  <si>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</si>
  <si>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</si>
  <si>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</si>
  <si>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</si>
  <si>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</si>
  <si>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</si>
  <si>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</si>
  <si>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</si>
  <si>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</si>
  <si>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</si>
  <si>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</si>
  <si>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</si>
  <si>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</si>
  <si>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</si>
  <si>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</si>
  <si>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</si>
  <si>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</si>
  <si>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</si>
  <si>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</si>
  <si>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</si>
  <si>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</si>
  <si>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</si>
  <si>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</si>
  <si>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</si>
  <si>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</si>
  <si>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</si>
  <si>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</si>
  <si>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</si>
  <si>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</si>
  <si>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</si>
  <si>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</si>
  <si>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</si>
  <si>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</si>
  <si>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</si>
  <si>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</si>
  <si>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</si>
  <si>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</si>
  <si>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</si>
  <si>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</si>
  <si>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</si>
  <si>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</si>
  <si>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</si>
  <si>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</si>
  <si>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</si>
  <si>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</si>
  <si>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</si>
  <si>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</si>
  <si>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</si>
  <si>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</si>
  <si>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</si>
  <si>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</si>
  <si>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</si>
  <si>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</si>
  <si>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</si>
  <si>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</si>
  <si>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</si>
  <si>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</si>
  <si>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</si>
  <si>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</si>
  <si>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</si>
  <si>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</si>
  <si>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</si>
  <si>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</si>
  <si>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</si>
  <si>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</si>
  <si>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</si>
  <si>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</si>
  <si>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</si>
  <si>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</si>
  <si>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</si>
  <si>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</si>
  <si>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</si>
  <si>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</si>
  <si>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</si>
  <si>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</si>
  <si>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</si>
  <si>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</si>
  <si>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</si>
  <si>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</si>
  <si>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</si>
  <si>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</si>
  <si>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</si>
  <si>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</si>
  <si>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</si>
  <si>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</si>
  <si>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</si>
  <si>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</si>
  <si>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</si>
  <si>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</si>
  <si>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</si>
  <si>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</si>
  <si>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</si>
  <si>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</si>
  <si>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</si>
  <si>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</si>
  <si>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</si>
  <si>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</si>
  <si>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</si>
  <si>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</si>
  <si>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</si>
  <si>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</si>
  <si>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</si>
  <si>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</si>
  <si>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</si>
  <si>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</si>
  <si>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</si>
  <si>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</si>
  <si>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</si>
  <si>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</si>
  <si>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</si>
  <si>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</si>
  <si>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</si>
  <si>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</si>
  <si>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</si>
  <si>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</si>
  <si>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</si>
  <si>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</si>
  <si>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</si>
  <si>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</si>
  <si>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</si>
  <si>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</si>
  <si>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</si>
  <si>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</si>
  <si>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</si>
  <si>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</si>
  <si>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</si>
  <si>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</si>
  <si>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</si>
  <si>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</si>
  <si>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</si>
  <si>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</si>
  <si>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</si>
  <si>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</si>
  <si>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</si>
  <si>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</si>
  <si>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</si>
  <si>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</si>
  <si>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</si>
  <si>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</si>
  <si>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</si>
  <si>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</si>
  <si>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</si>
  <si>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</si>
  <si>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</si>
  <si>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</si>
  <si>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</si>
  <si>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</si>
  <si>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</si>
  <si>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</si>
  <si>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</si>
  <si>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</si>
  <si>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</si>
  <si>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</si>
  <si>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</si>
  <si>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</si>
  <si>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</si>
  <si>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</si>
  <si>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</si>
  <si>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</si>
  <si>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</si>
  <si>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</si>
  <si>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</si>
  <si>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</si>
  <si>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</si>
  <si>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</si>
  <si>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</si>
  <si>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</si>
  <si>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</si>
  <si>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</si>
  <si>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</si>
  <si>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</si>
  <si>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</si>
  <si>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</si>
  <si>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</si>
  <si>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</si>
  <si>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</si>
  <si>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</si>
  <si>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</si>
  <si>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</si>
  <si>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</si>
  <si>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</si>
  <si>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</si>
  <si>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</si>
  <si>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</si>
  <si>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</si>
  <si>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</si>
  <si>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</si>
  <si>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</si>
  <si>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</si>
  <si>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</si>
  <si>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</si>
  <si>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</si>
  <si>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</si>
  <si>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</si>
  <si>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</si>
  <si>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</si>
  <si>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</si>
  <si>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</si>
  <si>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</si>
  <si>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</si>
  <si>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</si>
  <si>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</si>
  <si>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</si>
  <si>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</si>
  <si>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</si>
  <si>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</si>
  <si>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</si>
  <si>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</si>
  <si>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</si>
  <si>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</si>
  <si>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</si>
  <si>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</si>
  <si>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</si>
  <si>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</si>
  <si>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</si>
  <si>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</si>
  <si>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</si>
  <si>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</si>
  <si>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</si>
  <si>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</si>
  <si>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</si>
  <si>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</si>
  <si>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</si>
  <si>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</si>
  <si>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</si>
  <si>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</si>
  <si>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</si>
  <si>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</si>
  <si>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</si>
  <si>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</si>
  <si>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</si>
  <si>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</si>
  <si>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</si>
  <si>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</si>
  <si>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</si>
  <si>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</si>
  <si>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</si>
  <si>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</si>
  <si>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</si>
  <si>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</si>
  <si>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</si>
  <si>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</si>
  <si>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</si>
  <si>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</si>
  <si>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</si>
  <si>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</si>
  <si>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</si>
  <si>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</si>
  <si>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</si>
  <si>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</si>
  <si>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</si>
  <si>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</si>
  <si>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Network Connectivity for  Workload Domain Reference Sheet</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</si>
  <si>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</si>
  <si>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</si>
  <si>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</si>
  <si>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</si>
  <si>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</si>
  <si>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</si>
  <si>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</si>
  <si>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</si>
  <si>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</si>
  <si>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</si>
  <si>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</si>
  <si>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</si>
  <si>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</si>
  <si>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</si>
  <si>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</si>
  <si>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</si>
  <si>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</si>
  <si>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</si>
  <si>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</si>
  <si>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</si>
  <si>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</si>
  <si>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</si>
  <si>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</si>
  <si>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</si>
  <si>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</si>
  <si>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</si>
  <si>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</si>
  <si>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</si>
  <si>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</si>
  <si>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</si>
  <si>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</si>
  <si>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</si>
  <si>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</si>
  <si>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</si>
  <si>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</si>
  <si>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</si>
  <si>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</si>
  <si>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</si>
  <si>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</si>
  <si>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</si>
  <si>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</si>
  <si>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</si>
  <si>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</si>
  <si>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</si>
  <si>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</si>
  <si>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</si>
  <si>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</si>
  <si>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</si>
  <si>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</si>
  <si>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</si>
  <si>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</si>
  <si>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</si>
  <si>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</si>
  <si>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v1.9.0.007</t>
  </si>
  <si>
    <t>- Adding Additonal NSX Manager Sizing form factors to allow for Proof of Concept sizing 
- Updated the VCF Operations Unfied Cloud Proxy Appliance Sizes
- Added Support for LACP / VDS LAG in the Configure Managment Workload Domain 
- Added Support for LACP / VDS LAG in the Deploy Workload Domain 
- Added Support for LACP / VDS LAG in the Deploy Cluster 
- Added Storage Choice in Management Domain Sizing Tab</t>
  </si>
  <si>
    <t>v1.9.0.006</t>
  </si>
  <si>
    <t>Oct-1-2025</t>
  </si>
  <si>
    <t xml:space="preserve">-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</si>
  <si>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</si>
  <si>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</si>
  <si>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Corrected formulae for workload domain az2 fqdns</t>
  </si>
  <si>
    <t>v1.9.0.004</t>
  </si>
  <si>
    <t>- Fixed locked cells on 'Configure Management Domain' and 'Deploy Fleet Management Day-N' tabs</t>
  </si>
  <si>
    <t>v1.9.0.003</t>
  </si>
  <si>
    <t>Aug-04-2025</t>
  </si>
  <si>
    <t xml:space="preserve">-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</si>
  <si>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</si>
  <si>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</si>
  <si>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</si>
  <si>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</si>
  <si>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</si>
  <si>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</si>
  <si>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</si>
  <si>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</si>
  <si>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</si>
  <si>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</si>
  <si>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</si>
  <si>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</si>
  <si>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</si>
  <si>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</si>
  <si>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</si>
  <si>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</si>
  <si>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</si>
  <si>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</si>
  <si>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</si>
  <si>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</si>
  <si>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</si>
  <si>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</si>
  <si>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</si>
  <si>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</si>
  <si>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</si>
  <si>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</si>
  <si>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</si>
  <si>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</si>
  <si>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</si>
  <si>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</si>
  <si>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</si>
  <si>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</si>
  <si>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</si>
  <si>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</si>
  <si>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</si>
  <si>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</si>
  <si>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</si>
  <si>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</si>
  <si>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</si>
  <si>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</si>
  <si>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</si>
  <si>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</si>
  <si>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</si>
  <si>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</si>
  <si>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</si>
  <si>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</si>
  <si>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</si>
  <si>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</si>
  <si>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</si>
  <si>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</si>
  <si>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</si>
  <si>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</si>
  <si>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</si>
  <si>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</si>
  <si>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</si>
  <si>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</si>
  <si>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</si>
  <si>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</si>
  <si>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</si>
  <si>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</si>
  <si>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</si>
  <si>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</si>
  <si>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</si>
  <si>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</si>
  <si>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</si>
  <si>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</si>
  <si>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</si>
  <si>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</si>
  <si>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</si>
  <si>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</si>
  <si>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</si>
  <si>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</si>
  <si>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</si>
  <si>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</si>
  <si>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</si>
  <si>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</si>
  <si>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</si>
  <si>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</si>
  <si>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</si>
  <si>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</si>
  <si>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</si>
  <si>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</si>
  <si>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</si>
  <si>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</si>
  <si>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</si>
  <si>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</si>
  <si>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</si>
  <si>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</si>
  <si>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</si>
  <si>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</si>
  <si>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</si>
  <si>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</si>
  <si>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</si>
  <si>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</si>
  <si>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</si>
  <si>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</si>
  <si>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</si>
  <si>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</si>
  <si>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</si>
  <si>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</si>
  <si>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</si>
  <si>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</si>
  <si>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</si>
  <si>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</si>
  <si>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</si>
  <si>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</si>
  <si>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</si>
  <si>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</si>
  <si>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</si>
  <si>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</si>
  <si>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</si>
  <si>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</si>
  <si>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</si>
  <si>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</si>
  <si>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</si>
  <si>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</si>
  <si>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</si>
  <si>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</si>
  <si>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</si>
  <si>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</si>
  <si>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</si>
  <si>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</si>
  <si>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</si>
  <si>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</si>
  <si>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</si>
  <si>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</si>
  <si>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</si>
  <si>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</si>
  <si>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</si>
  <si>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</si>
  <si>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</si>
  <si>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</si>
  <si>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</si>
  <si>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</si>
  <si>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</si>
  <si>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</si>
  <si>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</si>
  <si>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</si>
  <si>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</si>
  <si>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</si>
  <si>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</si>
  <si>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</si>
  <si>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</si>
  <si>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</si>
  <si>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</si>
  <si>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</si>
  <si>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</si>
  <si>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</si>
  <si>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</si>
  <si>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</si>
  <si>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</si>
  <si>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</si>
  <si>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</si>
  <si>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</si>
  <si>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</si>
  <si>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</si>
  <si>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</si>
  <si>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</si>
  <si>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</si>
  <si>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</si>
  <si>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</si>
  <si>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</si>
  <si>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</si>
  <si>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</si>
  <si>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</si>
  <si>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</si>
  <si>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</si>
  <si>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</si>
  <si>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</si>
  <si>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</si>
  <si>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</si>
  <si>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</si>
  <si>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</si>
  <si>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</si>
  <si>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</si>
  <si>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</si>
  <si>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</si>
  <si>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</si>
  <si>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</si>
  <si>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</si>
  <si>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</si>
  <si>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</si>
  <si>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</si>
  <si>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</si>
  <si>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</si>
  <si>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</si>
  <si>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</si>
  <si>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</si>
  <si>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</si>
  <si>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</si>
  <si>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</si>
  <si>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</si>
  <si>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</si>
  <si>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</si>
  <si>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</si>
  <si>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</si>
  <si>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</si>
  <si>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</si>
  <si>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</si>
  <si>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</si>
  <si>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</si>
  <si>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</si>
  <si>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</si>
  <si>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</si>
  <si>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</si>
  <si>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</si>
  <si>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</si>
  <si>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</si>
  <si>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</si>
  <si>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</si>
  <si>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</si>
  <si>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</si>
  <si>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</si>
  <si>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</si>
  <si>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</si>
  <si>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</si>
  <si>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</si>
  <si>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</si>
  <si>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</si>
  <si>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</si>
  <si>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</si>
  <si>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</si>
  <si>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</si>
  <si>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</si>
  <si>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</si>
  <si>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</si>
  <si>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</si>
  <si>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</si>
  <si>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</si>
  <si>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</si>
  <si>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</si>
  <si>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</si>
  <si>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</si>
  <si>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</si>
  <si>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</si>
  <si>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</si>
  <si>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</si>
  <si>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</si>
  <si>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</si>
  <si>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</si>
  <si>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</si>
  <si>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</si>
  <si>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</si>
  <si>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</si>
  <si>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</si>
  <si>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</si>
  <si>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</si>
  <si>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</si>
  <si>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</si>
  <si>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</si>
  <si>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</si>
  <si>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</si>
  <si>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</si>
  <si>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</si>
  <si>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</si>
  <si>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</si>
  <si>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</si>
  <si>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</si>
  <si>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</si>
  <si>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</si>
  <si>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</si>
  <si>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</si>
  <si>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</si>
  <si>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</si>
  <si>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</si>
  <si>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</si>
  <si>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</si>
  <si>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</si>
  <si>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</si>
  <si>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</si>
  <si>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</si>
  <si>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</si>
  <si>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</si>
  <si>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</si>
  <si>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</si>
  <si>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</si>
  <si>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</si>
  <si>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</si>
  <si>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</si>
  <si>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</si>
  <si>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</si>
  <si>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</si>
  <si>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</si>
  <si>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</si>
  <si>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</si>
  <si>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</si>
  <si>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</si>
  <si>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</si>
  <si>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</si>
  <si>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</si>
  <si>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</si>
  <si>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</si>
  <si>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</si>
  <si>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</si>
  <si>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</si>
  <si>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</si>
  <si>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</si>
  <si>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</si>
  <si>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</si>
  <si>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</si>
  <si>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</si>
  <si>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</si>
  <si>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</si>
  <si>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</si>
  <si>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</si>
  <si>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</si>
  <si>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</si>
  <si>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</si>
  <si>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</si>
  <si>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</si>
  <si>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</si>
  <si>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</si>
  <si>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</si>
  <si>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</si>
  <si>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</si>
  <si>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</si>
  <si>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</si>
  <si>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</si>
  <si>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</si>
  <si>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</si>
  <si>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</si>
  <si>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</si>
  <si>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</si>
  <si>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</si>
  <si>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Shared Management Network</t>
  </si>
  <si>
    <t>9.0.2.0</t>
  </si>
  <si>
    <t xml:space="preserve">System generated PortGroup names are used unless NSX Edges are deployed using API </t>
  </si>
  <si>
    <t>Feb-3-2026</t>
  </si>
  <si>
    <t>Offline</t>
  </si>
  <si>
    <t>labproxy01p</t>
  </si>
  <si>
    <t>vcf</t>
  </si>
  <si>
    <t>VMware123!VMware123!</t>
  </si>
  <si>
    <t>10.255.50.26</t>
  </si>
  <si>
    <t>10.100.50.110</t>
  </si>
  <si>
    <t>lab-vcfa</t>
  </si>
  <si>
    <t>LABVSANESA01</t>
  </si>
  <si>
    <t>10.100.51.1</t>
  </si>
  <si>
    <t>10.100.51.0/24</t>
  </si>
  <si>
    <t>10.100.50.1</t>
  </si>
  <si>
    <t>10.100.50.0/24</t>
  </si>
  <si>
    <t>192.168.21.1</t>
  </si>
  <si>
    <t>192.168.20.1</t>
  </si>
  <si>
    <t>192.168.20.0/24</t>
  </si>
  <si>
    <t>LABVCFLAN01</t>
  </si>
  <si>
    <t>LABVCFSAN01</t>
  </si>
  <si>
    <t>VLAN_021_Vmotion</t>
  </si>
  <si>
    <t>VLAN_020_vSAN</t>
  </si>
  <si>
    <t>10.100.38.0/24</t>
  </si>
  <si>
    <t>10.100.38.1</t>
  </si>
  <si>
    <t>lab-overlay-tz-vcf01</t>
  </si>
  <si>
    <t>Deployed outside management domain</t>
  </si>
  <si>
    <t>10.100.50.100</t>
  </si>
  <si>
    <t>10.100.50.101</t>
  </si>
  <si>
    <t>10.100.50.102</t>
  </si>
  <si>
    <t>10.100.50.103</t>
  </si>
  <si>
    <t>10.100.50.104</t>
  </si>
  <si>
    <t>10.100.50.105</t>
  </si>
  <si>
    <t>10.100.50.106</t>
  </si>
  <si>
    <t>10.100.50.107</t>
  </si>
  <si>
    <t>10.100.50.108</t>
  </si>
  <si>
    <t>10.100.50.109</t>
  </si>
  <si>
    <t>10.100.50.115</t>
  </si>
  <si>
    <t>10.100.50.116</t>
  </si>
  <si>
    <t>10.100.50.120</t>
  </si>
  <si>
    <t>10.100.50.121</t>
  </si>
  <si>
    <t>10.100.50.122</t>
  </si>
  <si>
    <t>10.100.50.123</t>
  </si>
  <si>
    <t>vcf-lab-mgmt01</t>
  </si>
  <si>
    <t>Lab-Main-Site</t>
  </si>
  <si>
    <t>Site01</t>
  </si>
  <si>
    <t>vcf-mgmt-cluster01</t>
  </si>
  <si>
    <t>10.100.51.51</t>
  </si>
  <si>
    <t>10.100.52.52</t>
  </si>
  <si>
    <t>10.100.51.53</t>
  </si>
  <si>
    <t>10.100.51.54</t>
  </si>
  <si>
    <t>192.168.21.51</t>
  </si>
  <si>
    <t>192.168.21.70</t>
  </si>
  <si>
    <t>192.168.20.51</t>
  </si>
  <si>
    <t>192.168.20.70</t>
  </si>
  <si>
    <t>lab-vcf-ip-pool-hosts-01</t>
  </si>
  <si>
    <t>10.100.38.51</t>
  </si>
  <si>
    <t>10.100.38.70</t>
  </si>
  <si>
    <t>labvcfops01v.vcf.lab.local</t>
  </si>
  <si>
    <t>labvcfops02v.vcf.lab.local</t>
  </si>
  <si>
    <t>labvcfops03v.vcf.lab.local</t>
  </si>
  <si>
    <t>operations.vcf.lab.local</t>
  </si>
  <si>
    <t>labvcffleetmgmt01v.vcf.lab.local</t>
  </si>
  <si>
    <t>labvcfopscollector01v.vcf.lab.local</t>
  </si>
  <si>
    <t>labvcfa01v.vcf.lab.local</t>
  </si>
  <si>
    <t>labvcvcf01v.vcf.lab.local</t>
  </si>
  <si>
    <t>nsx.vcf.lab.local</t>
  </si>
  <si>
    <t>labnsxmanager01v.vcf.lab.local</t>
  </si>
  <si>
    <t>labnsxmanager02v.vcf.lab.local</t>
  </si>
  <si>
    <t>labnsxmanager03v.vcf.lab.local</t>
  </si>
  <si>
    <t>labesxvcf01.vcf.lab.local</t>
  </si>
  <si>
    <t>labesxvcf02.vcf.lab.local</t>
  </si>
  <si>
    <t>labesxvcf03.vcf.lab.local</t>
  </si>
  <si>
    <t>labesxvcf04.vcf.lab.local</t>
  </si>
  <si>
    <t>VLAN_251_ESX_Mgmt</t>
  </si>
  <si>
    <t>VLAN_250_VMs</t>
  </si>
  <si>
    <t>labvcfsddc01v.vcf.lab.local</t>
  </si>
  <si>
    <t>vcf.lab.local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</si>
</sst>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
      <sz val="8"/>
      <name val="Calibri"/>
      <family val="2"/>
      <scheme val="minor"/>
    </font>
  </fonts>
  <fills count="56">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79">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10" fillId="33" borderId="1" xfId="6" applyFont="1" applyFill="1" applyBorder="1" applyAlignment="1">
      <alignment horizontal="left" vertical="center"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10" fillId="18" borderId="0" xfId="5" applyFont="1" applyFill="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8" fillId="27" borderId="8" xfId="0" applyFont="1" applyFill="1" applyBorder="1" applyAlignment="1" applyProtection="1">
      <alignment horizontal="left" vertical="center" indent="1"/>
      <protection locked="0"/>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0" fillId="33" borderId="1" xfId="6" applyFont="1" applyFill="1" applyBorder="1" applyAlignment="1">
      <alignment horizontal="left" vertical="center" indent="1"/>
    </xf>
    <xf numFmtId="0" fontId="10" fillId="25" borderId="1" xfId="3" applyFont="1" applyFill="1" applyBorder="1" applyAlignment="1">
      <alignment horizontal="left" vertical="center" wrapText="1"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56" fillId="0" borderId="0" xfId="0" applyFont="1"/>
    <xf numFmtId="0" fontId="0" fillId="0" borderId="0" xfId="0" applyAlignment="1">
      <alignment horizontal="left"/>
    </xf>
    <xf numFmtId="0" fontId="9" fillId="55" borderId="1" xfId="0" applyFont="1" applyFill="1" applyBorder="1" applyAlignment="1">
      <alignment horizontal="left" vertical="center" indent="1"/>
    </xf>
    <xf numFmtId="0" fontId="8" fillId="40"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9" fillId="36" borderId="16" xfId="0" applyFont="1" applyFill="1" applyBorder="1" applyAlignment="1">
      <alignment horizontal="left" vertical="center" indent="1"/>
    </xf>
    <xf numFmtId="0" fontId="8" fillId="0" borderId="1" xfId="0"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10" fillId="8" borderId="0" xfId="0" applyFont="1" applyFill="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28" borderId="8" xfId="1" applyFont="1" applyFill="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13" fillId="0" borderId="1" xfId="0" applyFont="1" applyBorder="1" applyAlignment="1">
      <alignment horizontal="left" vertical="center" indent="1"/>
    </xf>
    <xf numFmtId="0" fontId="20" fillId="29" borderId="0" xfId="5" applyFont="1" applyFill="1" applyAlignment="1">
      <alignment horizontal="left" vertical="center" indent="1"/>
    </xf>
    <xf numFmtId="0" fontId="11" fillId="0" borderId="7" xfId="0" applyFont="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20" fillId="4" borderId="7"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1" xfId="5" applyFont="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5" fillId="5" borderId="1"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11" fillId="18" borderId="7" xfId="1" applyFont="1" applyFill="1" applyBorder="1" applyAlignment="1">
      <alignment horizontal="left" vertical="center" wrapText="1" indent="1"/>
    </xf>
    <xf numFmtId="0" fontId="8" fillId="0" borderId="8" xfId="0" applyFont="1" applyBorder="1" applyAlignment="1" applyProtection="1">
      <alignment horizontal="left" vertical="center" indent="1"/>
      <protection locked="0"/>
    </xf>
    <xf numFmtId="0" fontId="8" fillId="40" borderId="1"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11" fillId="0" borderId="1" xfId="0" applyFont="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0" fillId="29" borderId="3" xfId="5" applyFont="1" applyFill="1" applyBorder="1" applyAlignment="1">
      <alignment horizontal="left" vertical="center" indent="1"/>
    </xf>
    <xf numFmtId="0" fontId="20" fillId="29" borderId="0" xfId="5" applyFont="1" applyFill="1" applyAlignment="1">
      <alignment horizontal="left" vertical="center"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8" fillId="54" borderId="1" xfId="0" applyFont="1" applyFill="1" applyBorder="1" applyAlignment="1" applyProtection="1">
      <alignment horizontal="left" vertical="center" indent="1"/>
      <protection locked="0"/>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0" borderId="1" xfId="0" applyFont="1" applyBorder="1" applyAlignment="1" applyProtection="1">
      <alignment horizontal="left" vertical="center" indent="1"/>
      <protection locked="0"/>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8" fillId="0" borderId="9" xfId="0" applyFont="1" applyBorder="1" applyAlignment="1">
      <alignment horizontal="left" vertical="center" wrapText="1" indent="1"/>
    </xf>
    <xf numFmtId="0" fontId="11" fillId="34" borderId="7" xfId="1" applyFont="1" applyFill="1" applyBorder="1" applyAlignment="1">
      <alignment horizontal="left" vertical="center" wrapText="1" indent="1"/>
    </xf>
    <xf numFmtId="0" fontId="20" fillId="29" borderId="4" xfId="5"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14" fillId="29" borderId="1" xfId="0"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0" fillId="25" borderId="1" xfId="5"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5" fillId="0" borderId="9" xfId="0" applyFont="1" applyBorder="1" applyAlignment="1">
      <alignment horizontal="left" vertical="center"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7" xfId="0" applyFont="1" applyBorder="1" applyAlignment="1">
      <alignment horizontal="left" vertical="center"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24"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62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9C0006"/>
      </font>
      <fill>
        <patternFill>
          <bgColor rgb="FFFFC7CE"/>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rgb="FF505E69"/>
      </font>
      <fill>
        <patternFill>
          <bgColor rgb="FF505E69"/>
        </patternFill>
      </fill>
    </dxf>
    <dxf>
      <font>
        <color theme="0"/>
      </font>
      <fill>
        <patternFill>
          <bgColor rgb="FF506069"/>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ill>
        <patternFill>
          <bgColor theme="1" tint="0.24994659260841701"/>
        </patternFill>
      </fill>
    </dxf>
    <dxf>
      <font>
        <color theme="1"/>
      </font>
      <fill>
        <patternFill>
          <bgColor rgb="FFF9CBAD"/>
        </patternFill>
      </fill>
    </dxf>
    <dxf>
      <font>
        <color rgb="FF006100"/>
      </font>
      <fill>
        <patternFill>
          <bgColor rgb="FFC6EFCE"/>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auto="1"/>
      </font>
      <fill>
        <patternFill>
          <bgColor rgb="FFF9CBAD"/>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4F5F69"/>
        </patternFill>
      </fill>
    </dxf>
    <dxf>
      <font>
        <color theme="0"/>
      </font>
      <fill>
        <patternFill>
          <bgColor rgb="FF506069"/>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ill>
        <patternFill>
          <bgColor rgb="FFEFFEE3"/>
        </patternFill>
      </fill>
    </dxf>
    <dxf>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506069"/>
        </patternFill>
      </fill>
    </dxf>
    <dxf>
      <font>
        <color rgb="FF4F5F69"/>
      </font>
      <fill>
        <patternFill>
          <bgColor rgb="FF4F5F69"/>
        </patternFill>
      </fill>
    </dxf>
    <dxf>
      <font>
        <color rgb="FF4F5F69"/>
      </font>
      <fill>
        <patternFill>
          <bgColor rgb="FF506069"/>
        </patternFill>
      </fill>
    </dxf>
    <dxf>
      <font>
        <color rgb="FF4F5F69"/>
      </font>
      <fill>
        <patternFill>
          <bgColor rgb="FF4F5F69"/>
        </patternFill>
      </fill>
    </dxf>
    <dxf>
      <font>
        <color rgb="FF505F69"/>
      </font>
      <fill>
        <patternFill>
          <bgColor rgb="FF505F69"/>
        </patternFill>
      </fill>
    </dxf>
    <dxf>
      <font>
        <color theme="0"/>
      </font>
      <fill>
        <patternFill>
          <bgColor rgb="FFCC092F"/>
        </patternFill>
      </fill>
    </dxf>
    <dxf>
      <font>
        <color theme="0"/>
      </font>
      <fill>
        <patternFill>
          <bgColor rgb="FF505F69"/>
        </patternFill>
      </fill>
    </dxf>
    <dxf>
      <fill>
        <patternFill>
          <bgColor rgb="FFEFFDE3"/>
        </patternFill>
      </fill>
    </dxf>
    <dxf>
      <font>
        <color rgb="FF505F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4F5F69"/>
        </patternFill>
      </fill>
    </dxf>
    <dxf>
      <font>
        <color theme="0"/>
      </font>
      <fill>
        <patternFill>
          <bgColor rgb="FFCC092F"/>
        </patternFill>
      </fill>
    </dxf>
    <dxf>
      <fill>
        <patternFill>
          <bgColor theme="5" tint="0.59996337778862885"/>
        </patternFill>
      </fill>
    </dxf>
    <dxf>
      <font>
        <color theme="1"/>
      </font>
      <fill>
        <patternFill>
          <bgColor theme="1"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FFBE29"/>
        </patternFill>
      </fill>
    </dxf>
    <dxf>
      <fill>
        <patternFill>
          <bgColor rgb="FFF9CBAD"/>
        </patternFill>
      </fill>
    </dxf>
    <dxf>
      <fill>
        <patternFill>
          <bgColor rgb="FFEFFDE3"/>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FFBE29"/>
        </patternFill>
      </fill>
    </dxf>
    <dxf>
      <fill>
        <patternFill>
          <bgColor rgb="FFF9CBAD"/>
        </patternFill>
      </fill>
    </dxf>
    <dxf>
      <fill>
        <patternFill>
          <bgColor rgb="FFEFFDE3"/>
        </patternFill>
      </fill>
    </dxf>
    <dxf>
      <font>
        <color rgb="FF506069"/>
      </font>
      <fill>
        <patternFill>
          <bgColor rgb="FF506069"/>
        </patternFill>
      </fill>
    </dxf>
    <dxf>
      <font>
        <color rgb="FF4F5F69"/>
      </font>
      <fill>
        <patternFill>
          <bgColor rgb="FF4F5F69"/>
        </patternFill>
      </fill>
    </dxf>
    <dxf>
      <fill>
        <patternFill>
          <bgColor rgb="FFF9CBAD"/>
        </patternFill>
      </fill>
    </dxf>
    <dxf>
      <fill>
        <patternFill>
          <bgColor rgb="FFFFBE29"/>
        </patternFill>
      </fill>
    </dxf>
    <dxf>
      <fill>
        <patternFill>
          <bgColor rgb="FFEFFDE3"/>
        </patternFill>
      </fill>
    </dxf>
    <dxf>
      <font>
        <color rgb="FF506069"/>
      </font>
      <fill>
        <patternFill>
          <bgColor rgb="FF5060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rgb="FF506069"/>
      </font>
      <fill>
        <patternFill>
          <bgColor rgb="FF5060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ont>
        <color theme="1"/>
      </font>
      <fill>
        <patternFill>
          <bgColor rgb="FFEFFEE3"/>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4F5F69"/>
        </patternFill>
      </fill>
    </dxf>
    <dxf>
      <fill>
        <patternFill>
          <bgColor rgb="FFEFFDE3"/>
        </patternFill>
      </fill>
    </dxf>
    <dxf>
      <font>
        <color theme="0"/>
      </font>
      <fill>
        <patternFill>
          <bgColor rgb="FF506069"/>
        </patternFill>
      </fill>
    </dxf>
    <dxf>
      <font>
        <color theme="0"/>
      </font>
      <fill>
        <patternFill>
          <bgColor rgb="FFC00000"/>
        </patternFill>
      </fill>
    </dxf>
    <dxf>
      <font>
        <color rgb="FF0E223A"/>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4F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1"/>
      </font>
      <fill>
        <patternFill>
          <bgColor rgb="FFEFFDE3"/>
        </patternFill>
      </fill>
    </dxf>
    <dxf>
      <font>
        <color theme="0"/>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CC082E"/>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1"/>
      </font>
      <fill>
        <patternFill>
          <bgColor rgb="FFEFFEE3"/>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ont>
        <color rgb="FF4F5F69"/>
      </font>
      <fill>
        <patternFill>
          <bgColor rgb="FF4F5F69"/>
        </patternFill>
      </fill>
    </dxf>
    <dxf>
      <font>
        <color theme="1"/>
      </font>
      <fill>
        <patternFill>
          <bgColor rgb="FFFFBE29"/>
        </patternFill>
      </fill>
    </dxf>
    <dxf>
      <font>
        <color rgb="FF0E223A"/>
      </font>
      <fill>
        <patternFill>
          <bgColor rgb="FFEFFDE3"/>
        </patternFill>
      </fill>
    </dxf>
    <dxf>
      <fill>
        <patternFill>
          <bgColor theme="5" tint="0.59996337778862885"/>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0E223A"/>
      </font>
      <fill>
        <patternFill>
          <bgColor rgb="FFEFFDE3"/>
        </patternFill>
      </fill>
    </dxf>
    <dxf>
      <font>
        <color theme="0"/>
      </font>
      <fill>
        <patternFill>
          <bgColor rgb="FFC00000"/>
        </patternFill>
      </fill>
    </dxf>
    <dxf>
      <font>
        <color theme="0"/>
      </font>
      <fill>
        <patternFill>
          <bgColor rgb="FFC00000"/>
        </patternFill>
      </fill>
    </dxf>
    <dxf>
      <font>
        <color theme="0"/>
      </font>
      <fill>
        <patternFill>
          <bgColor rgb="FFCC082E"/>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rgb="FF0E223A"/>
      </font>
      <fill>
        <patternFill>
          <bgColor rgb="FFFFBE29"/>
        </patternFill>
      </fill>
    </dxf>
    <dxf>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ill>
        <patternFill>
          <bgColor rgb="FFFFBE29"/>
        </patternFill>
      </fill>
    </dxf>
    <dxf>
      <fill>
        <patternFill>
          <bgColor rgb="FFEFFDE3"/>
        </patternFill>
      </fill>
    </dxf>
    <dxf>
      <font>
        <color rgb="FF505F69"/>
      </font>
      <fill>
        <patternFill>
          <bgColor rgb="FF505F69"/>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0"/>
      </font>
      <fill>
        <patternFill>
          <fgColor theme="0" tint="-0.499984740745262"/>
          <bgColor rgb="FF506069"/>
        </patternFill>
      </fill>
    </dxf>
    <dxf>
      <fill>
        <patternFill>
          <bgColor rgb="FFEFFDE3"/>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0"/>
      </font>
      <fill>
        <patternFill>
          <bgColor rgb="FFC00000"/>
        </patternFill>
      </fill>
    </dxf>
    <dxf>
      <font>
        <color theme="0"/>
      </font>
      <fill>
        <patternFill>
          <bgColor rgb="FFC00000"/>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rgb="FF4F5F69"/>
      </font>
      <fill>
        <patternFill>
          <bgColor rgb="FF4F5F69"/>
        </patternFill>
      </fill>
    </dxf>
    <dxf>
      <font>
        <color theme="0"/>
      </font>
      <fill>
        <patternFill>
          <bgColor rgb="FFCC082E"/>
        </patternFill>
      </fill>
    </dxf>
    <dxf>
      <font>
        <color rgb="FF505F69"/>
      </font>
      <fill>
        <patternFill>
          <bgColor rgb="FF505F69"/>
        </patternFill>
      </fill>
    </dxf>
    <dxf>
      <font>
        <color rgb="FF505E69"/>
      </font>
      <fill>
        <patternFill>
          <bgColor rgb="FF505E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506069"/>
      </font>
      <fill>
        <patternFill>
          <bgColor rgb="FF50606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4F5F69"/>
        </patternFill>
      </fill>
    </dxf>
    <dxf>
      <font>
        <color rgb="FF506069"/>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4F5F69"/>
      </font>
      <fill>
        <patternFill>
          <bgColor rgb="FF4F5F69"/>
        </patternFill>
      </fill>
    </dxf>
    <dxf>
      <font>
        <color theme="0"/>
      </font>
      <fill>
        <patternFill>
          <bgColor rgb="FF506069"/>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fgColor theme="0"/>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0"/>
      </font>
      <fill>
        <patternFill>
          <bgColor rgb="FFCC092F"/>
        </patternFill>
      </fill>
    </dxf>
    <dxf>
      <font>
        <color theme="1"/>
      </font>
      <fill>
        <patternFill>
          <bgColor rgb="FFEFFDE3"/>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ill>
        <patternFill>
          <bgColor rgb="FFEFFDE3"/>
        </patternFill>
      </fill>
    </dxf>
    <dxf>
      <font>
        <color theme="1"/>
      </font>
      <fill>
        <patternFill>
          <bgColor rgb="FFCC092F"/>
        </patternFill>
      </fill>
    </dxf>
    <dxf>
      <font>
        <color theme="1"/>
      </font>
      <fill>
        <patternFill>
          <bgColor rgb="FFEFFEE3"/>
        </patternFill>
      </fill>
    </dxf>
    <dxf>
      <font>
        <color rgb="FF4F5F69"/>
      </font>
      <fill>
        <patternFill>
          <fgColor theme="1" tint="0.34998626667073579"/>
          <bgColor rgb="FF4F5F69"/>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0E223A"/>
      </font>
      <fill>
        <patternFill>
          <bgColor rgb="FFFFBE29"/>
        </patternFill>
      </fill>
    </dxf>
    <dxf>
      <font>
        <color theme="0"/>
      </font>
      <fill>
        <patternFill>
          <bgColor rgb="FF505F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E29"/>
        </patternFill>
      </fill>
    </dxf>
    <dxf>
      <font>
        <color theme="0"/>
      </font>
      <fill>
        <patternFill>
          <bgColor rgb="FF505F69"/>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FFBE29"/>
        </patternFill>
      </fill>
    </dxf>
    <dxf>
      <font>
        <color theme="0"/>
      </font>
      <fill>
        <patternFill>
          <bgColor rgb="FF505F69"/>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rgb="FF505F69"/>
      </font>
      <fill>
        <patternFill>
          <bgColor rgb="FF505F6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theme="1"/>
      </font>
      <fill>
        <patternFill>
          <bgColor rgb="FFF9CBAD"/>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theme="1"/>
      </font>
      <fill>
        <patternFill>
          <bgColor rgb="FFFFC000"/>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EFFDE3"/>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EFFEE3"/>
        </patternFill>
      </fill>
    </dxf>
    <dxf>
      <fill>
        <patternFill>
          <bgColor rgb="FFF9CBAD"/>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ont>
        <color rgb="FF0E223A"/>
      </font>
      <fill>
        <patternFill>
          <bgColor rgb="FFFFBE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4F5F69"/>
      </font>
      <fill>
        <patternFill>
          <bgColor rgb="FF4F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rgb="FFF9CBAD"/>
      </font>
      <fill>
        <patternFill>
          <bgColor rgb="FFF9CBAD"/>
        </patternFill>
      </fill>
    </dxf>
  </dxfs>
  <tableStyles count="0" defaultTableStyle="TableStyleMedium2" defaultPivotStyle="PivotStyleLight16"/>
  <colors>
    <mruColors>
      <color rgb="FF4F5F69"/>
      <color rgb="FFCC082E"/>
      <color rgb="FF505F69"/>
      <color rgb="FFEFFEE3"/>
      <color rgb="FFF2F8F9"/>
      <color rgb="FFFFBE29"/>
      <color rgb="FFF9CBAD"/>
      <color rgb="FF0E223A"/>
      <color rgb="FF808080"/>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5" activePane="bottomLeft" state="frozen"/>
      <selection pane="bottomLeft"/>
    </sheetView>
  </sheetViews>
  <sheetFormatPr defaultColWidth="10.875" defaultRowHeight="15" x14ac:dyDescent="0.25"/>
  <cols>
    <col min="1" max="1" width="2.875" style="2" customWidth="1"/>
    <col min="2" max="2" width="63.875" style="2" customWidth="1"/>
    <col min="3" max="3" width="54.875" style="10" customWidth="1"/>
    <col min="4" max="4" width="65.875" style="3" customWidth="1"/>
    <col min="5" max="5" width="99.5" style="3" customWidth="1"/>
    <col min="6" max="11" width="10.875" style="2" customWidth="1"/>
    <col min="12" max="16384" width="10.875" style="2"/>
  </cols>
  <sheetData>
    <row r="1" spans="1:7" ht="15.95" customHeight="1" x14ac:dyDescent="0.25">
      <c r="A1" s="1"/>
      <c r="C1" s="2"/>
      <c r="D1" s="2"/>
      <c r="E1" s="2"/>
    </row>
    <row r="2" spans="1:7" ht="54" customHeight="1" x14ac:dyDescent="0.25">
      <c r="B2" s="420" t="s">
        <v>0</v>
      </c>
      <c r="C2" s="420"/>
      <c r="D2" s="420"/>
      <c r="E2" s="420"/>
      <c r="F2" s="200"/>
      <c r="G2" s="200"/>
    </row>
    <row r="3" spans="1:7" ht="20.100000000000001" customHeight="1" x14ac:dyDescent="0.25">
      <c r="B3" s="339" t="s">
        <v>1</v>
      </c>
      <c r="C3" s="421"/>
      <c r="D3" s="421"/>
      <c r="E3" s="421"/>
      <c r="F3" s="15"/>
      <c r="G3" s="15"/>
    </row>
    <row r="6" spans="1:7" s="104" customFormat="1" ht="33.950000000000003" customHeight="1" x14ac:dyDescent="0.25">
      <c r="B6" s="425" t="s">
        <v>2</v>
      </c>
      <c r="C6" s="425"/>
      <c r="D6" s="425"/>
      <c r="E6" s="425"/>
    </row>
    <row r="7" spans="1:7" ht="20.100000000000001" customHeight="1" x14ac:dyDescent="0.25">
      <c r="B7" s="336" t="s">
        <v>3</v>
      </c>
      <c r="C7" s="246" t="s">
        <v>4</v>
      </c>
      <c r="D7" s="424" t="s">
        <v>5</v>
      </c>
      <c r="E7" s="424"/>
    </row>
    <row r="8" spans="1:7" ht="75" x14ac:dyDescent="0.25">
      <c r="B8" s="337" t="s">
        <v>6</v>
      </c>
      <c r="C8" s="334" t="s">
        <v>7</v>
      </c>
      <c r="D8" s="430" t="s">
        <v>8</v>
      </c>
      <c r="E8" s="431"/>
    </row>
    <row r="9" spans="1:7" ht="20.100000000000001" customHeight="1" x14ac:dyDescent="0.25">
      <c r="B9" s="337" t="s">
        <v>9</v>
      </c>
      <c r="C9" s="197" t="s">
        <v>10</v>
      </c>
      <c r="D9" s="430" t="s">
        <v>11</v>
      </c>
      <c r="E9" s="431"/>
    </row>
    <row r="10" spans="1:7" ht="50.1" customHeight="1" x14ac:dyDescent="0.25">
      <c r="B10" s="337" t="s">
        <v>12</v>
      </c>
      <c r="C10" s="197" t="s">
        <v>10</v>
      </c>
      <c r="D10" s="430" t="s">
        <v>13</v>
      </c>
      <c r="E10" s="431"/>
    </row>
    <row r="11" spans="1:7" ht="50.1" customHeight="1" x14ac:dyDescent="0.25">
      <c r="B11" s="337" t="s">
        <v>14</v>
      </c>
      <c r="C11" s="197" t="s">
        <v>15</v>
      </c>
      <c r="D11" s="430" t="s">
        <v>16</v>
      </c>
      <c r="E11" s="431"/>
    </row>
    <row r="12" spans="1:7" ht="96" customHeight="1" x14ac:dyDescent="0.25">
      <c r="B12" s="337" t="s">
        <v>17</v>
      </c>
      <c r="C12" s="197" t="s">
        <v>10</v>
      </c>
      <c r="D12" s="422" t="s">
        <v>18</v>
      </c>
      <c r="E12" s="422"/>
    </row>
    <row r="13" spans="1:7" ht="90" customHeight="1" x14ac:dyDescent="0.25">
      <c r="B13" s="337" t="s">
        <v>19</v>
      </c>
      <c r="C13" s="197" t="s">
        <v>10</v>
      </c>
      <c r="D13" s="422" t="s">
        <v>20</v>
      </c>
      <c r="E13" s="422"/>
    </row>
    <row r="14" spans="1:7" ht="90" customHeight="1" x14ac:dyDescent="0.25">
      <c r="B14" s="337" t="s">
        <v>21</v>
      </c>
      <c r="C14" s="197" t="s">
        <v>10</v>
      </c>
      <c r="D14" s="432" t="s">
        <v>22</v>
      </c>
      <c r="E14" s="433"/>
    </row>
    <row r="15" spans="1:7" ht="30" x14ac:dyDescent="0.25">
      <c r="B15" s="337" t="s">
        <v>23</v>
      </c>
      <c r="C15" s="197" t="s">
        <v>10</v>
      </c>
      <c r="D15" s="332" t="s">
        <v>24</v>
      </c>
      <c r="E15" s="333"/>
    </row>
    <row r="16" spans="1:7" ht="30" x14ac:dyDescent="0.25">
      <c r="B16" s="337" t="s">
        <v>25</v>
      </c>
      <c r="C16" s="197" t="s">
        <v>10</v>
      </c>
      <c r="D16" s="332" t="s">
        <v>24</v>
      </c>
      <c r="E16" s="333"/>
    </row>
    <row r="17" spans="2:5" ht="30" x14ac:dyDescent="0.25">
      <c r="B17" s="337" t="s">
        <v>26</v>
      </c>
      <c r="C17" s="334" t="s">
        <v>27</v>
      </c>
      <c r="D17" s="426" t="s">
        <v>28</v>
      </c>
      <c r="E17" s="426"/>
    </row>
    <row r="19" spans="2:5" s="104" customFormat="1" ht="33.950000000000003" customHeight="1" x14ac:dyDescent="0.25">
      <c r="B19" s="425" t="s">
        <v>29</v>
      </c>
      <c r="C19" s="425"/>
      <c r="D19" s="425"/>
      <c r="E19" s="425"/>
    </row>
    <row r="20" spans="2:5" ht="20.100000000000001" customHeight="1" x14ac:dyDescent="0.25">
      <c r="B20" s="336" t="s">
        <v>3</v>
      </c>
      <c r="C20" s="246" t="s">
        <v>4</v>
      </c>
      <c r="D20" s="424" t="s">
        <v>5</v>
      </c>
      <c r="E20" s="424"/>
    </row>
    <row r="21" spans="2:5" ht="20.100000000000001" customHeight="1" x14ac:dyDescent="0.25">
      <c r="B21" s="337" t="s">
        <v>30</v>
      </c>
      <c r="C21" s="197" t="s">
        <v>31</v>
      </c>
      <c r="D21" s="434" t="s">
        <v>32</v>
      </c>
      <c r="E21" s="435"/>
    </row>
    <row r="22" spans="2:5" ht="20.100000000000001" customHeight="1" x14ac:dyDescent="0.25">
      <c r="B22" s="337" t="s">
        <v>9</v>
      </c>
      <c r="C22" s="197" t="s">
        <v>15</v>
      </c>
      <c r="D22" s="436"/>
      <c r="E22" s="437"/>
    </row>
    <row r="23" spans="2:5" ht="20.100000000000001" customHeight="1" x14ac:dyDescent="0.25">
      <c r="B23" s="337" t="s">
        <v>12</v>
      </c>
      <c r="C23" s="197" t="s">
        <v>15</v>
      </c>
      <c r="D23" s="436"/>
      <c r="E23" s="437"/>
    </row>
    <row r="24" spans="2:5" ht="20.100000000000001" customHeight="1" x14ac:dyDescent="0.25">
      <c r="B24" s="337" t="s">
        <v>14</v>
      </c>
      <c r="C24" s="197" t="s">
        <v>15</v>
      </c>
      <c r="D24" s="436"/>
      <c r="E24" s="437"/>
    </row>
    <row r="25" spans="2:5" ht="20.100000000000001" customHeight="1" x14ac:dyDescent="0.25">
      <c r="B25" s="337" t="s">
        <v>33</v>
      </c>
      <c r="C25" s="197" t="s">
        <v>15</v>
      </c>
      <c r="D25" s="436"/>
      <c r="E25" s="437"/>
    </row>
    <row r="26" spans="2:5" ht="20.100000000000001" customHeight="1" x14ac:dyDescent="0.25">
      <c r="B26" s="337" t="s">
        <v>34</v>
      </c>
      <c r="C26" s="197" t="s">
        <v>15</v>
      </c>
      <c r="D26" s="436"/>
      <c r="E26" s="437"/>
    </row>
    <row r="27" spans="2:5" ht="20.100000000000001" customHeight="1" x14ac:dyDescent="0.25">
      <c r="B27" s="337" t="s">
        <v>21</v>
      </c>
      <c r="C27" s="197" t="s">
        <v>15</v>
      </c>
      <c r="D27" s="436"/>
      <c r="E27" s="437"/>
    </row>
    <row r="28" spans="2:5" ht="20.100000000000001" customHeight="1" x14ac:dyDescent="0.25">
      <c r="B28" s="337" t="s">
        <v>23</v>
      </c>
      <c r="C28" s="197" t="s">
        <v>15</v>
      </c>
      <c r="D28" s="436"/>
      <c r="E28" s="437"/>
    </row>
    <row r="29" spans="2:5" ht="20.100000000000001" customHeight="1" x14ac:dyDescent="0.25">
      <c r="B29" s="337" t="s">
        <v>25</v>
      </c>
      <c r="C29" s="197" t="s">
        <v>15</v>
      </c>
      <c r="D29" s="436"/>
      <c r="E29" s="437"/>
    </row>
    <row r="30" spans="2:5" ht="48.95" customHeight="1" x14ac:dyDescent="0.25">
      <c r="B30" s="337" t="s">
        <v>26</v>
      </c>
      <c r="C30" s="334" t="s">
        <v>27</v>
      </c>
      <c r="D30" s="422" t="s">
        <v>35</v>
      </c>
      <c r="E30" s="422"/>
    </row>
    <row r="32" spans="2:5" s="104" customFormat="1" ht="33.950000000000003" customHeight="1" x14ac:dyDescent="0.25">
      <c r="B32" s="425" t="s">
        <v>36</v>
      </c>
      <c r="C32" s="425"/>
      <c r="D32" s="425"/>
      <c r="E32" s="425"/>
    </row>
    <row r="33" spans="2:5" ht="20.100000000000001" customHeight="1" x14ac:dyDescent="0.25">
      <c r="B33" s="336" t="s">
        <v>37</v>
      </c>
      <c r="C33" s="336" t="s">
        <v>38</v>
      </c>
      <c r="D33" s="424" t="s">
        <v>5</v>
      </c>
      <c r="E33" s="424"/>
    </row>
    <row r="34" spans="2:5" ht="105" customHeight="1" x14ac:dyDescent="0.25">
      <c r="B34" s="423" t="s">
        <v>39</v>
      </c>
      <c r="C34" s="337" t="s">
        <v>40</v>
      </c>
      <c r="D34" s="422" t="s">
        <v>41</v>
      </c>
      <c r="E34" s="423"/>
    </row>
    <row r="35" spans="2:5" ht="33.950000000000003" customHeight="1" x14ac:dyDescent="0.25">
      <c r="B35" s="423"/>
      <c r="C35" s="331" t="s">
        <v>42</v>
      </c>
      <c r="D35" s="423" t="s">
        <v>43</v>
      </c>
      <c r="E35" s="423"/>
    </row>
    <row r="36" spans="2:5" ht="20.100000000000001" customHeight="1" x14ac:dyDescent="0.25">
      <c r="B36" s="337"/>
      <c r="C36" s="331" t="s">
        <v>44</v>
      </c>
      <c r="D36" s="422" t="s">
        <v>45</v>
      </c>
      <c r="E36" s="422"/>
    </row>
    <row r="37" spans="2:5" ht="20.100000000000001" customHeight="1" x14ac:dyDescent="0.25">
      <c r="B37" s="337"/>
      <c r="C37" s="331" t="s">
        <v>46</v>
      </c>
      <c r="D37" s="422" t="s">
        <v>47</v>
      </c>
      <c r="E37" s="422"/>
    </row>
    <row r="38" spans="2:5" ht="120" customHeight="1" x14ac:dyDescent="0.25">
      <c r="B38" s="337"/>
      <c r="C38" s="331" t="s">
        <v>48</v>
      </c>
      <c r="D38" s="422" t="s">
        <v>49</v>
      </c>
      <c r="E38" s="423"/>
    </row>
    <row r="40" spans="2:5" s="104" customFormat="1" ht="33.950000000000003" customHeight="1" x14ac:dyDescent="0.25">
      <c r="B40" s="425" t="s">
        <v>50</v>
      </c>
      <c r="C40" s="425"/>
      <c r="D40" s="425"/>
      <c r="E40" s="425"/>
    </row>
    <row r="41" spans="2:5" ht="20.100000000000001" customHeight="1" x14ac:dyDescent="0.25">
      <c r="B41" s="336" t="s">
        <v>51</v>
      </c>
      <c r="C41" s="246" t="s">
        <v>52</v>
      </c>
      <c r="D41" s="336" t="s">
        <v>53</v>
      </c>
      <c r="E41" s="336" t="s">
        <v>5</v>
      </c>
    </row>
    <row r="42" spans="2:5" x14ac:dyDescent="0.25">
      <c r="B42" s="337" t="s">
        <v>54</v>
      </c>
      <c r="C42" s="197" t="s">
        <v>55</v>
      </c>
      <c r="D42" s="331" t="s">
        <v>56</v>
      </c>
      <c r="E42" s="331"/>
    </row>
    <row r="43" spans="2:5" ht="75" x14ac:dyDescent="0.25">
      <c r="B43" s="337" t="s">
        <v>57</v>
      </c>
      <c r="C43" s="197" t="s">
        <v>58</v>
      </c>
      <c r="D43" s="331" t="s">
        <v>59</v>
      </c>
      <c r="E43" s="331" t="s">
        <v>60</v>
      </c>
    </row>
    <row r="44" spans="2:5" ht="30" x14ac:dyDescent="0.25">
      <c r="B44" s="337" t="s">
        <v>61</v>
      </c>
      <c r="C44" s="197" t="s">
        <v>55</v>
      </c>
      <c r="D44" s="331" t="s">
        <v>62</v>
      </c>
      <c r="E44" s="331" t="s">
        <v>63</v>
      </c>
    </row>
    <row r="46" spans="2:5" ht="33.950000000000003" customHeight="1" x14ac:dyDescent="0.25">
      <c r="B46" s="425" t="s">
        <v>64</v>
      </c>
      <c r="C46" s="425"/>
      <c r="D46" s="425"/>
      <c r="E46" s="425"/>
    </row>
    <row r="47" spans="2:5" ht="20.100000000000001" customHeight="1" x14ac:dyDescent="0.25">
      <c r="B47" s="336" t="s">
        <v>51</v>
      </c>
      <c r="C47" s="246" t="s">
        <v>65</v>
      </c>
      <c r="D47" s="336" t="s">
        <v>66</v>
      </c>
      <c r="E47" s="336" t="s">
        <v>5</v>
      </c>
    </row>
    <row r="48" spans="2:5" ht="20.100000000000001" customHeight="1" x14ac:dyDescent="0.25">
      <c r="B48" s="337" t="s">
        <v>67</v>
      </c>
      <c r="C48" s="337" t="s">
        <v>68</v>
      </c>
      <c r="D48" s="337" t="s">
        <v>69</v>
      </c>
      <c r="E48" s="337" t="s">
        <v>70</v>
      </c>
    </row>
    <row r="50" spans="2:5" ht="33.950000000000003" customHeight="1" x14ac:dyDescent="0.25">
      <c r="B50" s="425" t="s">
        <v>71</v>
      </c>
      <c r="C50" s="425"/>
      <c r="D50" s="425"/>
      <c r="E50" s="425"/>
    </row>
    <row r="51" spans="2:5" ht="20.100000000000001" customHeight="1" x14ac:dyDescent="0.25">
      <c r="B51" s="336" t="s">
        <v>72</v>
      </c>
      <c r="C51" s="246" t="s">
        <v>73</v>
      </c>
      <c r="D51" s="336" t="s">
        <v>74</v>
      </c>
      <c r="E51" s="336" t="s">
        <v>5</v>
      </c>
    </row>
    <row r="52" spans="2:5" ht="39.950000000000003" customHeight="1" x14ac:dyDescent="0.25">
      <c r="B52" s="337" t="s">
        <v>75</v>
      </c>
      <c r="C52" s="272" t="s">
        <v>76</v>
      </c>
      <c r="D52" s="272" t="s">
        <v>77</v>
      </c>
      <c r="E52" s="273" t="s">
        <v>78</v>
      </c>
    </row>
    <row r="53" spans="2:5" ht="39.950000000000003" customHeight="1" x14ac:dyDescent="0.25">
      <c r="B53" s="337" t="s">
        <v>79</v>
      </c>
      <c r="C53" s="337"/>
      <c r="D53" s="337"/>
      <c r="E53" s="331" t="s">
        <v>80</v>
      </c>
    </row>
    <row r="54" spans="2:5" ht="39.950000000000003" customHeight="1" x14ac:dyDescent="0.25">
      <c r="B54" s="337" t="s">
        <v>81</v>
      </c>
      <c r="C54" s="337"/>
      <c r="D54" s="337"/>
      <c r="E54" s="331" t="s">
        <v>82</v>
      </c>
    </row>
    <row r="55" spans="2:5" ht="20.100000000000001" customHeight="1" x14ac:dyDescent="0.25">
      <c r="B55" s="337" t="s">
        <v>83</v>
      </c>
      <c r="C55" s="337"/>
      <c r="D55" s="337"/>
      <c r="E55" s="331" t="s">
        <v>84</v>
      </c>
    </row>
    <row r="57" spans="2:5" s="104" customFormat="1" ht="33.950000000000003" customHeight="1" x14ac:dyDescent="0.25">
      <c r="B57" s="425" t="s">
        <v>85</v>
      </c>
      <c r="C57" s="425"/>
      <c r="D57" s="425"/>
      <c r="E57" s="425"/>
    </row>
    <row r="58" spans="2:5" ht="20.100000000000001" customHeight="1" x14ac:dyDescent="0.25">
      <c r="B58" s="251" t="s">
        <v>37</v>
      </c>
      <c r="C58" s="428" t="s">
        <v>5</v>
      </c>
      <c r="D58" s="428"/>
      <c r="E58" s="428"/>
    </row>
    <row r="59" spans="2:5" ht="33.950000000000003" customHeight="1" x14ac:dyDescent="0.25">
      <c r="B59" s="337" t="s">
        <v>86</v>
      </c>
      <c r="C59" s="429" t="s">
        <v>87</v>
      </c>
      <c r="D59" s="429"/>
      <c r="E59" s="429"/>
    </row>
    <row r="61" spans="2:5" ht="33.950000000000003" customHeight="1" x14ac:dyDescent="0.25">
      <c r="B61" s="425" t="s">
        <v>88</v>
      </c>
      <c r="C61" s="425"/>
      <c r="D61" s="425"/>
      <c r="E61" s="425"/>
    </row>
    <row r="62" spans="2:5" ht="20.100000000000001" customHeight="1" x14ac:dyDescent="0.25">
      <c r="B62" s="251" t="s">
        <v>37</v>
      </c>
      <c r="C62" s="338" t="s">
        <v>73</v>
      </c>
      <c r="D62" s="338" t="s">
        <v>89</v>
      </c>
      <c r="E62" s="338" t="s">
        <v>5</v>
      </c>
    </row>
    <row r="63" spans="2:5" ht="20.100000000000001" customHeight="1" x14ac:dyDescent="0.25">
      <c r="B63" s="337" t="s">
        <v>90</v>
      </c>
      <c r="C63" s="337" t="s">
        <v>91</v>
      </c>
      <c r="D63" s="337" t="s">
        <v>92</v>
      </c>
      <c r="E63" s="331" t="s">
        <v>93</v>
      </c>
    </row>
    <row r="64" spans="2:5" ht="69" customHeight="1" x14ac:dyDescent="0.25">
      <c r="B64" s="337"/>
      <c r="C64" s="337" t="s">
        <v>94</v>
      </c>
      <c r="D64" s="337" t="s">
        <v>95</v>
      </c>
      <c r="E64" s="331" t="s">
        <v>96</v>
      </c>
    </row>
    <row r="65" spans="2:5" ht="20.100000000000001" customHeight="1" x14ac:dyDescent="0.25">
      <c r="B65" s="337" t="s">
        <v>97</v>
      </c>
      <c r="C65" s="337" t="s">
        <v>98</v>
      </c>
      <c r="D65" s="337"/>
      <c r="E65" s="331" t="s">
        <v>99</v>
      </c>
    </row>
    <row r="67" spans="2:5" ht="33.950000000000003" customHeight="1" x14ac:dyDescent="0.25">
      <c r="B67" s="425" t="s">
        <v>100</v>
      </c>
      <c r="C67" s="425"/>
      <c r="D67" s="425"/>
      <c r="E67" s="425"/>
    </row>
    <row r="68" spans="2:5" ht="20.100000000000001" customHeight="1" x14ac:dyDescent="0.25">
      <c r="B68" s="336" t="s">
        <v>37</v>
      </c>
      <c r="C68" s="336" t="s">
        <v>101</v>
      </c>
      <c r="D68" s="424" t="s">
        <v>5</v>
      </c>
      <c r="E68" s="424"/>
    </row>
    <row r="69" spans="2:5" ht="77.099999999999994" customHeight="1" x14ac:dyDescent="0.25">
      <c r="B69" s="337" t="s">
        <v>102</v>
      </c>
      <c r="C69" s="337"/>
      <c r="D69" s="422" t="s">
        <v>103</v>
      </c>
      <c r="E69" s="422"/>
    </row>
    <row r="70" spans="2:5" ht="339.95" customHeight="1" x14ac:dyDescent="0.25">
      <c r="B70" s="337" t="s">
        <v>104</v>
      </c>
      <c r="C70" s="331" t="s">
        <v>105</v>
      </c>
      <c r="D70" s="422" t="s">
        <v>106</v>
      </c>
      <c r="E70" s="422"/>
    </row>
    <row r="72" spans="2:5" s="104" customFormat="1" ht="33.950000000000003" customHeight="1" x14ac:dyDescent="0.25">
      <c r="B72" s="425" t="s">
        <v>107</v>
      </c>
      <c r="C72" s="425"/>
      <c r="D72" s="425"/>
      <c r="E72" s="425"/>
    </row>
    <row r="73" spans="2:5" ht="20.100000000000001" customHeight="1" x14ac:dyDescent="0.25">
      <c r="B73" s="336" t="s">
        <v>37</v>
      </c>
      <c r="C73" s="424" t="s">
        <v>5</v>
      </c>
      <c r="D73" s="424"/>
      <c r="E73" s="424"/>
    </row>
    <row r="74" spans="2:5" ht="33.950000000000003" customHeight="1" x14ac:dyDescent="0.25">
      <c r="B74" s="337" t="s">
        <v>108</v>
      </c>
      <c r="C74" s="427" t="s">
        <v>109</v>
      </c>
      <c r="D74" s="427"/>
      <c r="E74" s="427"/>
    </row>
    <row r="76" spans="2:5" s="104" customFormat="1" ht="33.950000000000003" customHeight="1" x14ac:dyDescent="0.25">
      <c r="B76" s="425" t="s">
        <v>110</v>
      </c>
      <c r="C76" s="425"/>
      <c r="D76" s="425"/>
      <c r="E76" s="425"/>
    </row>
    <row r="77" spans="2:5" ht="20.100000000000001" customHeight="1" x14ac:dyDescent="0.25">
      <c r="B77" s="336" t="s">
        <v>37</v>
      </c>
      <c r="C77" s="424" t="s">
        <v>5</v>
      </c>
      <c r="D77" s="424"/>
      <c r="E77" s="424"/>
    </row>
    <row r="78" spans="2:5" ht="50.1" customHeight="1" x14ac:dyDescent="0.25">
      <c r="B78" s="337" t="s">
        <v>110</v>
      </c>
      <c r="C78" s="427" t="s">
        <v>111</v>
      </c>
      <c r="D78" s="427"/>
      <c r="E78" s="427" t="s">
        <v>112</v>
      </c>
    </row>
    <row r="80" spans="2:5" s="104" customFormat="1" ht="33.950000000000003" customHeight="1" x14ac:dyDescent="0.25">
      <c r="B80" s="425" t="s">
        <v>113</v>
      </c>
      <c r="C80" s="425"/>
      <c r="D80" s="425"/>
      <c r="E80" s="425"/>
    </row>
    <row r="81" spans="2:5" ht="20.100000000000001" customHeight="1" x14ac:dyDescent="0.25">
      <c r="B81" s="336" t="s">
        <v>37</v>
      </c>
      <c r="C81" s="424" t="s">
        <v>5</v>
      </c>
      <c r="D81" s="424"/>
      <c r="E81" s="424"/>
    </row>
    <row r="82" spans="2:5" ht="33.950000000000003" customHeight="1" x14ac:dyDescent="0.25">
      <c r="B82" s="337" t="s">
        <v>113</v>
      </c>
      <c r="C82" s="427" t="s">
        <v>114</v>
      </c>
      <c r="D82" s="427"/>
      <c r="E82" s="427"/>
    </row>
    <row r="84" spans="2:5" s="104" customFormat="1" ht="33.950000000000003" customHeight="1" x14ac:dyDescent="0.25">
      <c r="B84" s="425" t="s">
        <v>115</v>
      </c>
      <c r="C84" s="425"/>
      <c r="D84" s="425"/>
      <c r="E84" s="425"/>
    </row>
    <row r="85" spans="2:5" ht="20.100000000000001" customHeight="1" x14ac:dyDescent="0.25">
      <c r="B85" s="336" t="s">
        <v>37</v>
      </c>
      <c r="C85" s="424" t="s">
        <v>5</v>
      </c>
      <c r="D85" s="424"/>
      <c r="E85" s="424"/>
    </row>
    <row r="86" spans="2:5" ht="60" customHeight="1" x14ac:dyDescent="0.25">
      <c r="B86" s="337" t="s">
        <v>115</v>
      </c>
      <c r="C86" s="427" t="s">
        <v>116</v>
      </c>
      <c r="D86" s="427"/>
      <c r="E86" s="427"/>
    </row>
  </sheetData>
  <sheetProtection algorithmName="SHA-512" hashValue="LKmLUPRkhH68rUh0jossC1nCxSlWaDSJcl1VVxBDCCrBOxq5ujlmhTBcZ5g8UQcY9lxT8tBUbOGHq+klyp+Glg==" saltValue="+eXoQlpZ6UZtv1NBpBEz8A==" spinCount="100000" sheet="1" objects="1" scenarios="1"/>
  <mergeCells count="47">
    <mergeCell ref="D36:E36"/>
    <mergeCell ref="D37:E37"/>
    <mergeCell ref="D8:E8"/>
    <mergeCell ref="D9:E9"/>
    <mergeCell ref="D10:E10"/>
    <mergeCell ref="D11:E11"/>
    <mergeCell ref="D14:E14"/>
    <mergeCell ref="D21:E2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8:E38"/>
    <mergeCell ref="C81:E81"/>
    <mergeCell ref="C82:E82"/>
    <mergeCell ref="C85:E85"/>
    <mergeCell ref="C58:E58"/>
    <mergeCell ref="B72:E72"/>
    <mergeCell ref="B61:E61"/>
    <mergeCell ref="B67:E67"/>
    <mergeCell ref="C59:E59"/>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zoomScale="120" zoomScaleNormal="120" workbookViewId="0">
      <pane ySplit="4" topLeftCell="A5" activePane="bottomLeft" state="frozen"/>
      <selection pane="bottomLeft" activeCell="J19" sqref="J19"/>
    </sheetView>
  </sheetViews>
  <sheetFormatPr defaultColWidth="10.875" defaultRowHeight="15" x14ac:dyDescent="0.2"/>
  <cols>
    <col min="1" max="1" width="2.875" style="8" customWidth="1"/>
    <col min="2" max="4" width="1.875" style="8" customWidth="1"/>
    <col min="5" max="5" width="60.875" style="8" customWidth="1"/>
    <col min="6" max="8" width="1.875" style="8" customWidth="1"/>
    <col min="9" max="9" width="2.875" style="8" customWidth="1"/>
    <col min="10" max="10" width="47.5" style="8" bestFit="1" customWidth="1"/>
    <col min="11" max="11" width="76" style="8" customWidth="1"/>
    <col min="12" max="12" width="25.375" style="8" customWidth="1"/>
    <col min="13" max="13" width="100.875" style="8" customWidth="1"/>
    <col min="14" max="18" width="10.875" style="8" customWidth="1"/>
    <col min="19" max="16384" width="10.875" style="8"/>
  </cols>
  <sheetData>
    <row r="1" spans="1:39" s="7" customFormat="1" ht="15.95" customHeight="1" x14ac:dyDescent="0.25">
      <c r="A1" s="39"/>
    </row>
    <row r="2" spans="1:39" s="2" customFormat="1" ht="54" customHeight="1" x14ac:dyDescent="0.25">
      <c r="A2" s="7"/>
      <c r="B2" s="438" t="s">
        <v>117</v>
      </c>
      <c r="C2" s="439"/>
      <c r="D2" s="439"/>
      <c r="E2" s="439"/>
      <c r="F2" s="439"/>
      <c r="G2" s="439"/>
      <c r="H2" s="439"/>
      <c r="I2" s="439"/>
      <c r="J2" s="439"/>
      <c r="K2" s="439"/>
      <c r="L2" s="439"/>
      <c r="M2" s="440"/>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100000000000001" customHeight="1" x14ac:dyDescent="0.25">
      <c r="A3" s="7"/>
      <c r="B3" s="447" t="s">
        <v>118</v>
      </c>
      <c r="C3" s="448"/>
      <c r="D3" s="448"/>
      <c r="E3" s="448"/>
      <c r="F3" s="448"/>
      <c r="G3" s="448"/>
      <c r="H3" s="448"/>
      <c r="I3" s="448"/>
      <c r="J3" s="448"/>
      <c r="K3" s="448"/>
      <c r="L3" s="448"/>
      <c r="M3" s="322" t="str">
        <f ca="1">pnp_version_number</f>
        <v>v1.9.0.007</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5.95" customHeight="1" x14ac:dyDescent="0.25">
      <c r="I4" s="40"/>
      <c r="J4" s="40"/>
    </row>
    <row r="5" spans="1:39" s="7" customFormat="1" ht="15.95" customHeight="1" x14ac:dyDescent="0.25"/>
    <row r="6" spans="1:39" s="2" customFormat="1" ht="20.100000000000001" customHeight="1" x14ac:dyDescent="0.25">
      <c r="A6" s="7"/>
      <c r="B6" s="408" t="s">
        <v>119</v>
      </c>
      <c r="C6" s="409"/>
      <c r="D6" s="409"/>
      <c r="E6" s="409"/>
      <c r="F6" s="409"/>
      <c r="G6" s="409"/>
      <c r="H6" s="409"/>
      <c r="I6" s="409"/>
      <c r="J6" s="409"/>
      <c r="K6" s="409"/>
      <c r="L6" s="409"/>
      <c r="M6" s="410"/>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100000000000001" customHeight="1" x14ac:dyDescent="0.25">
      <c r="A7" s="7"/>
      <c r="B7" s="441" t="s">
        <v>120</v>
      </c>
      <c r="C7" s="442"/>
      <c r="D7" s="442"/>
      <c r="E7" s="442"/>
      <c r="F7" s="442"/>
      <c r="G7" s="442"/>
      <c r="H7" s="442"/>
      <c r="I7" s="442"/>
      <c r="J7" s="442"/>
      <c r="K7" s="442"/>
      <c r="L7" s="442"/>
      <c r="M7" s="443"/>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100000000000001" customHeight="1" x14ac:dyDescent="0.25">
      <c r="I8" s="40"/>
    </row>
    <row r="9" spans="1:39" ht="16.5" x14ac:dyDescent="0.2">
      <c r="J9" s="446" t="s">
        <v>121</v>
      </c>
      <c r="K9" s="446"/>
      <c r="L9" s="446"/>
      <c r="M9" s="446"/>
    </row>
    <row r="10" spans="1:39" ht="15.75" x14ac:dyDescent="0.2">
      <c r="J10" s="444" t="s">
        <v>122</v>
      </c>
      <c r="K10" s="444"/>
      <c r="L10" s="444"/>
      <c r="M10" s="444"/>
    </row>
    <row r="11" spans="1:39" x14ac:dyDescent="0.2">
      <c r="J11" s="445" t="str">
        <f>IF(vcf_version_chosen="No Version Selected","Select Version",vcf_version_chosen)</f>
        <v>9.0.2.0</v>
      </c>
      <c r="K11" s="445"/>
      <c r="L11" s="445"/>
      <c r="M11" s="445"/>
    </row>
    <row r="12" spans="1:39" x14ac:dyDescent="0.2">
      <c r="J12" s="445"/>
      <c r="K12" s="445"/>
      <c r="L12" s="445"/>
      <c r="M12" s="445"/>
    </row>
    <row r="14" spans="1:39" ht="18" x14ac:dyDescent="0.2">
      <c r="J14" s="408" t="s">
        <v>123</v>
      </c>
      <c r="K14" s="409"/>
      <c r="L14" s="409"/>
      <c r="M14" s="410"/>
    </row>
    <row r="15" spans="1:39" ht="15.75" x14ac:dyDescent="0.2">
      <c r="J15" s="346" t="s">
        <v>124</v>
      </c>
      <c r="K15" s="346" t="s">
        <v>38</v>
      </c>
      <c r="L15" s="346" t="s">
        <v>125</v>
      </c>
      <c r="M15" s="346" t="s">
        <v>126</v>
      </c>
    </row>
    <row r="16" spans="1:39" x14ac:dyDescent="0.2">
      <c r="J16" s="114" t="s">
        <v>4022</v>
      </c>
      <c r="K16" s="99" t="str">
        <f>CONCATENATE(mgmt_domain_deployment_type_chosen," Deployment Version")</f>
        <v>VMware Cloud Foundation Deployment Version</v>
      </c>
      <c r="L16" s="112" t="str">
        <f>IF(vcf_version_chosen="No Version Selected","Excluded","Included")</f>
        <v>Included</v>
      </c>
      <c r="M16" s="337" t="str">
        <f>IF(vcf_version_result="Excluded",CONCATENATE("Cause: ",mgmt_domain_deployment_type_chosen, " Deployment Version is not selected"),CONCATENATE(mgmt_domain_deployment_type_chosen," Version ",vcf_version," selected"))</f>
        <v>VMware Cloud Foundation Version 9.0.2.0 selected</v>
      </c>
    </row>
    <row r="17" spans="5:14" x14ac:dyDescent="0.2">
      <c r="J17" s="115" t="s">
        <v>122</v>
      </c>
      <c r="K17" s="99" t="s">
        <v>128</v>
      </c>
      <c r="L17" s="112" t="str">
        <f>IF(vcf_version_chosen="No Version Selected","Excluded","Included")</f>
        <v>Included</v>
      </c>
      <c r="M17" s="337"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16" t="s">
        <v>129</v>
      </c>
      <c r="K18" s="99" t="s">
        <v>130</v>
      </c>
      <c r="L18" s="112" t="str">
        <f>IF(vcf_version_chosen="No Version Selected","Excluded",IF(mgmt_domain_deployment_type_chosen="VMware vSphere Foundation","Excluded",IF(mgmt_domain_chosen="Deploy a new VCF fleet","Included","Included")))</f>
        <v>Included</v>
      </c>
      <c r="M18" s="337"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17" t="s">
        <v>131</v>
      </c>
      <c r="K19" s="99" t="s">
        <v>132</v>
      </c>
      <c r="L19" s="112"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337"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18"/>
    </row>
    <row r="24" spans="5:14" x14ac:dyDescent="0.2">
      <c r="J24" s="119"/>
    </row>
    <row r="25" spans="5:14" x14ac:dyDescent="0.2">
      <c r="J25" s="119"/>
    </row>
    <row r="27" spans="5:14" x14ac:dyDescent="0.2">
      <c r="J27" s="119"/>
    </row>
    <row r="29" spans="5:14" x14ac:dyDescent="0.2">
      <c r="E29" s="120"/>
      <c r="F29" s="120"/>
      <c r="G29" s="120"/>
      <c r="H29" s="120"/>
      <c r="N29" s="120"/>
    </row>
    <row r="30" spans="5:14" x14ac:dyDescent="0.2">
      <c r="E30" s="120"/>
      <c r="F30" s="120"/>
      <c r="G30" s="120"/>
      <c r="H30" s="120"/>
      <c r="N30" s="120"/>
    </row>
    <row r="31" spans="5:14" x14ac:dyDescent="0.2">
      <c r="E31" s="120"/>
      <c r="F31" s="120"/>
      <c r="G31" s="120"/>
      <c r="H31" s="120"/>
      <c r="I31" s="120"/>
      <c r="N31" s="120"/>
    </row>
    <row r="32" spans="5:14" x14ac:dyDescent="0.2">
      <c r="E32" s="120"/>
      <c r="F32" s="120"/>
      <c r="G32" s="120"/>
      <c r="H32" s="120"/>
      <c r="I32" s="120"/>
      <c r="N32" s="120"/>
    </row>
    <row r="33" spans="5:14" x14ac:dyDescent="0.2">
      <c r="E33" s="120"/>
      <c r="F33" s="120"/>
      <c r="G33" s="120"/>
      <c r="H33" s="120"/>
      <c r="I33" s="120"/>
      <c r="N33" s="120"/>
    </row>
    <row r="34" spans="5:14" x14ac:dyDescent="0.2">
      <c r="E34" s="120"/>
      <c r="F34" s="120"/>
      <c r="G34" s="120"/>
      <c r="H34" s="120"/>
      <c r="I34" s="120"/>
      <c r="N34" s="120"/>
    </row>
    <row r="35" spans="5:14" x14ac:dyDescent="0.2">
      <c r="E35" s="120"/>
      <c r="F35" s="120"/>
      <c r="G35" s="120"/>
      <c r="H35" s="120"/>
      <c r="I35" s="120"/>
      <c r="N35" s="120"/>
    </row>
    <row r="36" spans="5:14" x14ac:dyDescent="0.2">
      <c r="E36" s="120"/>
      <c r="F36" s="120"/>
      <c r="G36" s="120"/>
      <c r="H36" s="120"/>
      <c r="I36" s="120"/>
      <c r="N36" s="120"/>
    </row>
  </sheetData>
  <sheetProtection algorithmName="SHA-512" hashValue="5kqjOuF038CXbG4uO5L5/7ylwxEriWAQqrVoem5St3nCS6cHs1hRmqNtZrK0DHeIPfjGjP5lvkYV6772So+Vqg==" saltValue="TZZMuQftE/RALOWcikwkn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141" priority="8">
      <formula>(vcf_version_result="Excluded")</formula>
    </cfRule>
  </conditionalFormatting>
  <conditionalFormatting sqref="J16:J19">
    <cfRule type="expression" dxfId="2140" priority="17" stopIfTrue="1">
      <formula>(vcf_version_result&lt;&gt;"Excluded")</formula>
    </cfRule>
  </conditionalFormatting>
  <conditionalFormatting sqref="J18">
    <cfRule type="expression" dxfId="2139" priority="12">
      <formula>mgmt_domain_deployment_type_chosen="VMware vSphere Foundation"</formula>
    </cfRule>
  </conditionalFormatting>
  <conditionalFormatting sqref="J19 L19:M19">
    <cfRule type="expression" dxfId="2138" priority="1">
      <formula>AND((mgmt_domain_deployment_type_chosen="VMware Cloud Foundation"),(vcf_granular_option_chosen="VMware vSphere Foundation Deployment"))</formula>
    </cfRule>
    <cfRule type="expression" dxfId="2137" priority="2">
      <formula>AND((mgmt_domain_deployment_type_chosen="VMware vSphere Foundation"),(vcf_granular_option_chosen="Create Cluster"))</formula>
    </cfRule>
    <cfRule type="expression" dxfId="2136" priority="3">
      <formula>AND((mgmt_domain_deployment_type_chosen="VMware vSphere Foundation"),(vcf_granular_option_chosen="Create VI Workload Domain"))</formula>
    </cfRule>
  </conditionalFormatting>
  <conditionalFormatting sqref="J19">
    <cfRule type="expression" dxfId="2135" priority="5">
      <formula>(vcf_granular_option_chosen="None Chosen")</formula>
    </cfRule>
    <cfRule type="expression" dxfId="2134" priority="15">
      <formula>AND((mgmt_domain_deployment_type_chosen="VVF"),(vcf_granular_option_chosen="Workload Domain"))</formula>
    </cfRule>
  </conditionalFormatting>
  <conditionalFormatting sqref="J11:L11">
    <cfRule type="expression" dxfId="2133" priority="7">
      <formula>vcf_version="Select Deployment Version"</formula>
    </cfRule>
  </conditionalFormatting>
  <conditionalFormatting sqref="L16:L19">
    <cfRule type="expression" dxfId="2132" priority="13">
      <formula>(vcf_version_result="Excluded")</formula>
    </cfRule>
    <cfRule type="expression" dxfId="2131" priority="19" stopIfTrue="1">
      <formula>(vcf_version_chosen&lt;&gt;"Excluded")</formula>
    </cfRule>
  </conditionalFormatting>
  <conditionalFormatting sqref="L18">
    <cfRule type="expression" dxfId="2130" priority="16">
      <formula>(mgmt_domain_result="Excluded")</formula>
    </cfRule>
    <cfRule type="expression" dxfId="2129" priority="20">
      <formula>(mgmt_domain_result&lt;&gt;"Excluded")</formula>
    </cfRule>
  </conditionalFormatting>
  <conditionalFormatting sqref="L18:M18">
    <cfRule type="expression" dxfId="2128" priority="11">
      <formula>mgmt_domain_deployment_type_chosen="VMware vSphere Foundation"</formula>
    </cfRule>
  </conditionalFormatting>
  <conditionalFormatting sqref="L19:M19">
    <cfRule type="expression" dxfId="2127" priority="9">
      <formula>vcf_granular_option_result="Excluded"</formula>
    </cfRule>
  </conditionalFormatting>
  <conditionalFormatting sqref="M16:M17 M19">
    <cfRule type="expression" dxfId="2126" priority="14">
      <formula>vcf_version_result="Excluded"</formula>
    </cfRule>
    <cfRule type="expression" dxfId="2125" priority="18">
      <formula>vcf_version_result="Included"</formula>
    </cfRule>
  </conditionalFormatting>
  <conditionalFormatting sqref="M18">
    <cfRule type="expression" dxfId="2124" priority="6">
      <formula>mgmt_domain_result="Included"</formula>
    </cfRule>
    <cfRule type="expression" dxfId="2123"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9.0.0.0,9.0.1.0,9.0.2.0"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pane ySplit="4" topLeftCell="A21" activePane="bottomLeft" state="frozen"/>
      <selection pane="bottomLeft"/>
    </sheetView>
  </sheetViews>
  <sheetFormatPr defaultColWidth="10.875" defaultRowHeight="15" x14ac:dyDescent="0.25"/>
  <cols>
    <col min="1" max="1" width="2.875" style="2" customWidth="1"/>
    <col min="2" max="2" width="11.875" style="2" customWidth="1"/>
    <col min="3" max="3" width="12.875" style="2" customWidth="1"/>
    <col min="4" max="4" width="12.5" style="2" customWidth="1"/>
    <col min="5" max="5" width="21.875" style="2" customWidth="1"/>
    <col min="6" max="6" width="12" style="2" customWidth="1"/>
    <col min="7" max="7" width="13" style="2" customWidth="1"/>
    <col min="8" max="8" width="27" style="3" customWidth="1"/>
    <col min="9" max="9" width="17.875" style="3" customWidth="1"/>
    <col min="10" max="10" width="14.625" style="2" customWidth="1"/>
    <col min="11" max="11" width="15.5" style="2" customWidth="1"/>
    <col min="12" max="12" width="19.875" style="2" customWidth="1"/>
    <col min="13" max="13" width="15" style="2" customWidth="1"/>
    <col min="14" max="14" width="11" style="2" customWidth="1"/>
    <col min="15" max="15" width="14.875" style="2" customWidth="1"/>
    <col min="16" max="16" width="25.5" style="2" customWidth="1"/>
    <col min="17" max="17" width="12" style="2" customWidth="1"/>
    <col min="18" max="18" width="13.125" style="2" customWidth="1"/>
    <col min="19" max="19" width="13.875" style="2" customWidth="1"/>
    <col min="20" max="20" width="7" style="2" customWidth="1"/>
    <col min="21" max="21" width="18" style="2" customWidth="1"/>
    <col min="22" max="22" width="11.875" style="2" customWidth="1"/>
    <col min="23" max="23" width="31" style="2" customWidth="1"/>
    <col min="24" max="27" width="10.875" style="2" customWidth="1"/>
    <col min="28" max="28" width="34.875" style="2" customWidth="1"/>
    <col min="29" max="33" width="10.875" style="2" customWidth="1"/>
    <col min="34" max="16384" width="10.875" style="2"/>
  </cols>
  <sheetData>
    <row r="1" spans="1:32" ht="15.95" customHeight="1" x14ac:dyDescent="0.25">
      <c r="A1" s="1"/>
      <c r="B1" s="1"/>
      <c r="C1" s="1"/>
      <c r="H1" s="2"/>
      <c r="I1" s="2"/>
    </row>
    <row r="2" spans="1:32" ht="54" customHeight="1" x14ac:dyDescent="0.25">
      <c r="B2" s="461" t="s">
        <v>133</v>
      </c>
      <c r="C2" s="461"/>
      <c r="D2" s="461"/>
      <c r="E2" s="461"/>
      <c r="F2" s="461"/>
      <c r="G2" s="461"/>
      <c r="H2" s="461"/>
      <c r="I2" s="461"/>
      <c r="J2" s="461"/>
      <c r="K2" s="461"/>
      <c r="L2" s="461"/>
      <c r="M2" s="461"/>
      <c r="N2" s="461"/>
      <c r="O2" s="461"/>
      <c r="P2" s="461"/>
      <c r="Q2" s="461"/>
      <c r="R2" s="461"/>
      <c r="S2" s="461"/>
      <c r="T2" s="461"/>
      <c r="U2" s="461"/>
      <c r="V2" s="461"/>
      <c r="W2" s="461"/>
      <c r="X2" s="461"/>
      <c r="Y2" s="461"/>
      <c r="Z2" s="461"/>
      <c r="AA2" s="461"/>
      <c r="AB2" s="461"/>
    </row>
    <row r="3" spans="1:32" ht="20.100000000000001" customHeight="1" x14ac:dyDescent="0.25">
      <c r="B3" s="421"/>
      <c r="C3" s="421"/>
      <c r="D3" s="421"/>
      <c r="E3" s="421"/>
      <c r="F3" s="421"/>
      <c r="G3" s="421"/>
      <c r="H3" s="421"/>
      <c r="I3" s="421"/>
      <c r="J3" s="421"/>
      <c r="K3" s="421"/>
      <c r="L3" s="421"/>
      <c r="M3" s="421"/>
      <c r="N3" s="421"/>
      <c r="O3" s="421"/>
      <c r="P3" s="421"/>
      <c r="Q3" s="421"/>
      <c r="R3" s="421"/>
      <c r="S3" s="421"/>
      <c r="T3" s="421"/>
      <c r="U3" s="421"/>
      <c r="V3" s="421"/>
      <c r="W3" s="421"/>
      <c r="X3" s="421"/>
      <c r="Y3" s="421"/>
      <c r="Z3" s="421"/>
      <c r="AA3" s="421"/>
      <c r="AB3" s="421"/>
    </row>
    <row r="5" spans="1:32" ht="15" customHeight="1" x14ac:dyDescent="0.25">
      <c r="H5" s="2"/>
      <c r="J5" s="3"/>
      <c r="K5" s="3"/>
      <c r="L5" s="3"/>
      <c r="M5" s="3"/>
      <c r="N5" s="3"/>
      <c r="O5" s="3"/>
      <c r="P5" s="3"/>
      <c r="Q5" s="3"/>
    </row>
    <row r="6" spans="1:32" s="104" customFormat="1" ht="20.100000000000001" customHeight="1" x14ac:dyDescent="0.25">
      <c r="B6" s="408" t="s">
        <v>134</v>
      </c>
      <c r="C6" s="409"/>
      <c r="D6" s="409"/>
      <c r="E6" s="410"/>
      <c r="F6" s="2"/>
      <c r="G6" s="462" t="s">
        <v>135</v>
      </c>
      <c r="H6" s="457"/>
      <c r="I6" s="457"/>
      <c r="J6" s="457"/>
      <c r="K6" s="457"/>
      <c r="L6" s="457"/>
      <c r="M6" s="457"/>
      <c r="N6" s="2"/>
      <c r="O6" s="105" t="s">
        <v>136</v>
      </c>
      <c r="P6" s="357"/>
      <c r="Q6" s="458"/>
      <c r="R6" s="458"/>
      <c r="S6" s="458"/>
      <c r="T6" s="3"/>
      <c r="U6" s="105" t="s">
        <v>5</v>
      </c>
      <c r="V6" s="357"/>
      <c r="W6" s="357"/>
      <c r="X6" s="357"/>
      <c r="Y6" s="357"/>
      <c r="Z6" s="357"/>
      <c r="AA6" s="357"/>
      <c r="AB6" s="357"/>
      <c r="AC6" s="360"/>
      <c r="AD6" s="360"/>
      <c r="AE6" s="360"/>
    </row>
    <row r="7" spans="1:32" ht="20.100000000000001" customHeight="1" x14ac:dyDescent="0.25">
      <c r="B7" s="444" t="s">
        <v>137</v>
      </c>
      <c r="C7" s="444"/>
      <c r="D7" s="444"/>
      <c r="E7" s="348" t="s">
        <v>138</v>
      </c>
      <c r="G7" s="463" t="s">
        <v>137</v>
      </c>
      <c r="H7" s="464"/>
      <c r="I7" s="465"/>
      <c r="J7" s="359" t="s">
        <v>139</v>
      </c>
      <c r="K7" s="359" t="s">
        <v>140</v>
      </c>
      <c r="L7" s="359" t="s">
        <v>141</v>
      </c>
      <c r="M7" s="359" t="s">
        <v>142</v>
      </c>
      <c r="O7" s="466" t="s">
        <v>143</v>
      </c>
      <c r="P7" s="466"/>
      <c r="Q7" s="466"/>
      <c r="R7" s="466" t="s">
        <v>144</v>
      </c>
      <c r="S7" s="466"/>
      <c r="T7" s="3"/>
      <c r="U7" s="467" t="s">
        <v>145</v>
      </c>
      <c r="V7" s="467"/>
      <c r="W7" s="467"/>
      <c r="X7" s="467"/>
      <c r="Y7" s="467"/>
      <c r="Z7" s="467"/>
      <c r="AA7" s="467"/>
      <c r="AB7" s="467"/>
      <c r="AC7" s="360"/>
      <c r="AD7" s="360"/>
      <c r="AE7" s="360"/>
    </row>
    <row r="8" spans="1:32" ht="20.100000000000001" customHeight="1" x14ac:dyDescent="0.25">
      <c r="B8" s="423" t="s">
        <v>146</v>
      </c>
      <c r="C8" s="423"/>
      <c r="D8" s="423"/>
      <c r="E8" s="399">
        <v>30</v>
      </c>
      <c r="G8" s="422" t="s">
        <v>147</v>
      </c>
      <c r="H8" s="422"/>
      <c r="I8" s="422"/>
      <c r="J8" s="337">
        <v>1</v>
      </c>
      <c r="K8" s="331">
        <f>sizing_sddc_manager_cpu</f>
        <v>4</v>
      </c>
      <c r="L8" s="331">
        <f>sizing_sddc_manager_ram</f>
        <v>16</v>
      </c>
      <c r="M8" s="331">
        <f>sizing_sddc_manager_disk</f>
        <v>914</v>
      </c>
      <c r="O8" s="441" t="s">
        <v>148</v>
      </c>
      <c r="P8" s="442"/>
      <c r="Q8" s="443"/>
      <c r="R8" s="469">
        <f t="array" ref="R8">IF(OR(H32="Mandatory - HA Cluster",sizing_vcfops_deployment_model_chosen="Deploy HA",sizing_vcfvidb_chosen="Deploy HA"),MAX(4,(ROUNDUP(((SUM(K8:K27)/sizing_cpu_oversubscription)/sizing_mgmt_cluster_host_core_count),0)),((ROUNDUP((SUM(L8:L27/sizing_ram_oversubscription)/sizing_mgmt_cluster_host_ram_count),0))+1)),
IF(OR(sizing_storage_type="vSAN-ESA",sizing_storage_type="vSAN-OSA"),MAX(3,(ROUNDUP(((SUM(K8:K27)/sizing_cpu_oversubscription)/sizing_mgmt_cluster_host_core_count),0)),((ROUNDUP((SUM(L8:L27/sizing_ram_oversubscription)/sizing_mgmt_cluster_host_ram_count),0))+1)),MAX(2,(ROUNDUP(((SUM(K8:K27)/sizing_cpu_oversubscription)/sizing_mgmt_cluster_host_core_count),0)),((ROUNDUP((SUM(L8:L27/sizing_ram_oversubscription)/sizing_mgmt_cluster_host_ram_count),0))+1))))</f>
        <v>4</v>
      </c>
      <c r="S8" s="470"/>
      <c r="T8" s="23"/>
      <c r="U8" s="467"/>
      <c r="V8" s="467"/>
      <c r="W8" s="467"/>
      <c r="X8" s="467"/>
      <c r="Y8" s="467"/>
      <c r="Z8" s="467"/>
      <c r="AA8" s="467"/>
      <c r="AB8" s="467"/>
      <c r="AC8" s="360"/>
      <c r="AD8" s="360"/>
      <c r="AE8" s="360"/>
    </row>
    <row r="9" spans="1:32" ht="20.100000000000001" customHeight="1" x14ac:dyDescent="0.25">
      <c r="B9" s="423" t="s">
        <v>149</v>
      </c>
      <c r="C9" s="423"/>
      <c r="D9" s="423"/>
      <c r="E9" s="399">
        <v>10</v>
      </c>
      <c r="G9" s="423" t="s">
        <v>150</v>
      </c>
      <c r="H9" s="423"/>
      <c r="I9" s="423"/>
      <c r="J9" s="337">
        <v>2</v>
      </c>
      <c r="K9" s="337">
        <v>2</v>
      </c>
      <c r="L9" s="337">
        <v>1</v>
      </c>
      <c r="M9" s="337">
        <v>0</v>
      </c>
      <c r="O9" s="441" t="s">
        <v>151</v>
      </c>
      <c r="P9" s="442"/>
      <c r="Q9" s="443"/>
      <c r="R9" s="471" t="str">
        <f>CONCATENATE(ROUNDUP(SUM(K8:K27)/(calculated_mgmt_host_count-1)/sizing_cpu_oversubscription,0)," CPUs")</f>
        <v>6 CPUs</v>
      </c>
      <c r="S9" s="472"/>
      <c r="U9" s="467"/>
      <c r="V9" s="467"/>
      <c r="W9" s="467"/>
      <c r="X9" s="467"/>
      <c r="Y9" s="467"/>
      <c r="Z9" s="467"/>
      <c r="AA9" s="467"/>
      <c r="AB9" s="467"/>
      <c r="AC9" s="360"/>
      <c r="AD9" s="360"/>
      <c r="AE9" s="360"/>
      <c r="AF9" s="360"/>
    </row>
    <row r="10" spans="1:32" ht="20.100000000000001" customHeight="1" x14ac:dyDescent="0.25">
      <c r="G10" s="422" t="s">
        <v>152</v>
      </c>
      <c r="H10" s="422"/>
      <c r="I10" s="422"/>
      <c r="J10" s="337">
        <v>1</v>
      </c>
      <c r="K10" s="331">
        <f>IF(sizing_m01_included="Included",VLOOKUP(D32,table_vcenter_appliance_cpu,2,FALSE),0)</f>
        <v>8</v>
      </c>
      <c r="L10" s="331">
        <f>IF(sizing_m01_included="Included",VLOOKUP(D32,table_vcenter_appliance_ram,2,FALSE),0)</f>
        <v>30</v>
      </c>
      <c r="M10" s="331">
        <f>IF(sizing_m01_included="Included",VLOOKUP(CONCATENATE(D32,F32),table_vcenter_disk_gb,2,FALSE),0)</f>
        <v>908</v>
      </c>
      <c r="O10" s="441" t="s">
        <v>153</v>
      </c>
      <c r="P10" s="442"/>
      <c r="Q10" s="443"/>
      <c r="R10" s="471" t="str">
        <f>CONCATENATE(ROUNDUP(SUM(L8:L27)/(calculated_mgmt_host_count-1)/sizing_ram_oversubscription,0)," GB RAM")</f>
        <v>40 GB RAM</v>
      </c>
      <c r="S10" s="472"/>
      <c r="U10" s="467"/>
      <c r="V10" s="467"/>
      <c r="W10" s="467"/>
      <c r="X10" s="467"/>
      <c r="Y10" s="467"/>
      <c r="Z10" s="467"/>
      <c r="AA10" s="467"/>
      <c r="AB10" s="467"/>
      <c r="AC10" s="360"/>
      <c r="AD10" s="360"/>
      <c r="AE10" s="360"/>
      <c r="AF10" s="360"/>
    </row>
    <row r="11" spans="1:32" ht="20.100000000000001" customHeight="1" x14ac:dyDescent="0.25">
      <c r="B11" s="408" t="s">
        <v>154</v>
      </c>
      <c r="C11" s="409"/>
      <c r="D11" s="409"/>
      <c r="E11" s="410"/>
      <c r="G11" s="422" t="s">
        <v>155</v>
      </c>
      <c r="H11" s="422"/>
      <c r="I11" s="422"/>
      <c r="J11" s="337">
        <f>SUM(IF(H32="Mandatory - Single Node",1,3),IF(sizing_m01_nsxt_gm_appliance_size&lt;&gt;"Excluded",3,0))</f>
        <v>3</v>
      </c>
      <c r="K11" s="331">
        <f>SUM(PRODUCT(VLOOKUP(sizing_m01_nsxt_appliance_size,table_nsxt_manager_cpu,2,FALSE),IF(H32="Mandatory - HA Cluster",3,1)),(PRODUCT(IF(sizing_m01_nsxt_gm_appliance_size&lt;&gt;"Excluded",VLOOKUP(sizing_m01_nsxt_gm_appliance_size,table_nsxt_manager_cpu,2,FALSE),0),3)))</f>
        <v>18</v>
      </c>
      <c r="L11" s="331">
        <f>SUM(PRODUCT(VLOOKUP(sizing_m01_nsxt_appliance_size,table_nsxt_manager_ram,2,FALSE),IF(H32="Mandatory - HA Cluster",3,1)),(PRODUCT(IF(sizing_m01_nsxt_gm_appliance_size&lt;&gt;"Excluded",VLOOKUP(sizing_m01_nsxt_gm_appliance_size,table_nsxt_manager_ram,2,FALSE),0),3)))</f>
        <v>72</v>
      </c>
      <c r="M11" s="331">
        <f>SUM(PRODUCT(VLOOKUP(sizing_m01_nsxt_appliance_size,table_nsxt_manager_disk_gb,2,FALSE),IF(H32="Mandatory - HA Cluster",3,1)),(PRODUCT(IF(sizing_m01_nsxt_gm_appliance_size&lt;&gt;"Excluded",VLOOKUP(sizing_m01_nsxt_gm_appliance_size,table_nsxt_manager_disk_gb,2,FALSE),0),3)))</f>
        <v>900</v>
      </c>
      <c r="T11" s="3"/>
      <c r="U11" s="467"/>
      <c r="V11" s="467"/>
      <c r="W11" s="467"/>
      <c r="X11" s="467"/>
      <c r="Y11" s="467"/>
      <c r="Z11" s="467"/>
      <c r="AA11" s="467"/>
      <c r="AB11" s="467"/>
      <c r="AC11" s="360"/>
      <c r="AD11" s="360"/>
      <c r="AE11" s="360"/>
      <c r="AF11" s="360"/>
    </row>
    <row r="12" spans="1:32" ht="20.100000000000001" customHeight="1" x14ac:dyDescent="0.25">
      <c r="B12" s="444" t="s">
        <v>156</v>
      </c>
      <c r="C12" s="444"/>
      <c r="D12" s="444"/>
      <c r="E12" s="348" t="s">
        <v>138</v>
      </c>
      <c r="G12" s="422" t="s">
        <v>157</v>
      </c>
      <c r="H12" s="422"/>
      <c r="I12" s="422"/>
      <c r="J12" s="337">
        <f>IF(sizing_m01_nsxt_edge_size&lt;&gt;"Excluded",2,0)</f>
        <v>0</v>
      </c>
      <c r="K12" s="331">
        <f>PRODUCT(IF(AND(sizing_m01_nsxt_edge_size&lt;&gt;"Excluded",sizing_m01_included="Included"),VLOOKUP(sizing_m01_nsxt_edge_size,table_nsxt_edge_cpu,2,FALSE),0),J12)</f>
        <v>0</v>
      </c>
      <c r="L12" s="331">
        <f>PRODUCT(IF(AND(sizing_m01_nsxt_edge_size&lt;&gt;"Excluded",sizing_m01_included="Included"),VLOOKUP(sizing_m01_nsxt_edge_size,table_nsxt_edge_ram,2,FALSE),0),2)</f>
        <v>0</v>
      </c>
      <c r="M12" s="331">
        <f>PRODUCT(IF(AND(sizing_m01_nsxt_edge_size&lt;&gt;"Excluded",sizing_m01_included="Included"),VLOOKUP(sizing_m01_nsxt_edge_size,table_nsxt_edge_disk_gb,2,FALSE),0),J12)</f>
        <v>0</v>
      </c>
      <c r="O12" s="335" t="s">
        <v>158</v>
      </c>
      <c r="P12" s="335"/>
      <c r="Q12" s="335"/>
      <c r="R12" s="335"/>
      <c r="S12" s="335"/>
      <c r="T12" s="3"/>
      <c r="U12" s="467"/>
      <c r="V12" s="467"/>
      <c r="W12" s="467"/>
      <c r="X12" s="467"/>
      <c r="Y12" s="467"/>
      <c r="Z12" s="467"/>
      <c r="AA12" s="467"/>
      <c r="AB12" s="467"/>
      <c r="AC12" s="360"/>
      <c r="AD12" s="360"/>
      <c r="AE12" s="360"/>
      <c r="AF12" s="360"/>
    </row>
    <row r="13" spans="1:32" ht="20.100000000000001" customHeight="1" x14ac:dyDescent="0.25">
      <c r="B13" s="423" t="s">
        <v>159</v>
      </c>
      <c r="C13" s="423"/>
      <c r="D13" s="423"/>
      <c r="E13" s="106">
        <v>128</v>
      </c>
      <c r="G13" s="423" t="s">
        <v>160</v>
      </c>
      <c r="H13" s="423"/>
      <c r="I13" s="423"/>
      <c r="J13" s="337">
        <f>IF(sizing_mgmt_avi_lb_appliance_size="Excluded",0,3)</f>
        <v>0</v>
      </c>
      <c r="K13" s="337">
        <f>IF(sizing_mgmt_avi_lb_appliance_size="Excluded",0,PRODUCT(J13,IF(AND(sizing_m01_included="Included",sizing_mgmt_avi_lb_appliance_size&lt;&gt;"Excluded"),VLOOKUP(sizing_mgmt_avi_lb_appliance_size,table_avi_lb_cpu,2,FALSE),0)))</f>
        <v>0</v>
      </c>
      <c r="L13" s="331">
        <f>IF(sizing_mgmt_avi_lb_appliance_size="Excluded",0,PRODUCT(J13,IF(AND(sizing_m01_included="Included",sizing_mgmt_avi_lb_appliance_size&lt;&gt;"Excluded"),VLOOKUP(sizing_mgmt_avi_lb_appliance_size,table_avi_lb_ram,2,FALSE),0)))</f>
        <v>0</v>
      </c>
      <c r="M13" s="331">
        <f>IF(sizing_mgmt_avi_lb_appliance_size="Excluded",0,PRODUCT(J13,IF(AND(sizing_m01_included="Included",sizing_mgmt_avi_lb_appliance_size&lt;&gt;"Excluded"),VLOOKUP(sizing_mgmt_avi_lb_appliance_size,table_avi_lb_disk,2,FALSE),0)))</f>
        <v>0</v>
      </c>
      <c r="O13" s="343" t="s">
        <v>161</v>
      </c>
      <c r="P13" s="344"/>
      <c r="Q13" s="344"/>
      <c r="R13" s="468" t="s">
        <v>162</v>
      </c>
      <c r="S13" s="468"/>
      <c r="T13" s="3"/>
      <c r="U13" s="467"/>
      <c r="V13" s="467"/>
      <c r="W13" s="467"/>
      <c r="X13" s="467"/>
      <c r="Y13" s="467"/>
      <c r="Z13" s="467"/>
      <c r="AA13" s="467"/>
      <c r="AB13" s="467"/>
      <c r="AC13" s="360"/>
      <c r="AD13" s="360"/>
      <c r="AE13" s="360"/>
      <c r="AF13" s="360"/>
    </row>
    <row r="14" spans="1:32" ht="20.100000000000001" customHeight="1" x14ac:dyDescent="0.25">
      <c r="B14" s="423" t="s">
        <v>163</v>
      </c>
      <c r="C14" s="423"/>
      <c r="D14" s="423"/>
      <c r="E14" s="106">
        <v>1024</v>
      </c>
      <c r="G14" s="423" t="s">
        <v>164</v>
      </c>
      <c r="H14" s="423"/>
      <c r="I14" s="423"/>
      <c r="J14" s="337">
        <f>IF(sizing_m01_ssp_chosen="Medium",9,IF(sizing_m01_ssp_chosen="Large",12,IF(sizing_m01_ssp_chosen="X-Large",14,0)))</f>
        <v>0</v>
      </c>
      <c r="K14" s="337">
        <f>IF(sizing_m01_ssp_chosen&lt;&gt;"Excluded",VLOOKUP(sizing_m01_ssp_chosen,table_ssp_cpu,2,FALSE),0)</f>
        <v>0</v>
      </c>
      <c r="L14" s="337">
        <f>IF(sizing_m01_ssp_chosen&lt;&gt;"Excluded",VLOOKUP(sizing_m01_ssp_chosen,table_ssp_ram,2,FALSE),0)</f>
        <v>0</v>
      </c>
      <c r="M14" s="337">
        <f>IF(sizing_m01_ssp_chosen&lt;&gt;"Excluded",VLOOKUP(sizing_m01_ssp_chosen,table_ssp_disk,2,FALSE),0)</f>
        <v>0</v>
      </c>
      <c r="O14" s="349" t="s">
        <v>137</v>
      </c>
      <c r="P14" s="350"/>
      <c r="Q14" s="350"/>
      <c r="R14" s="449" t="s">
        <v>165</v>
      </c>
      <c r="S14" s="450"/>
      <c r="T14" s="3"/>
      <c r="U14" s="467"/>
      <c r="V14" s="467"/>
      <c r="W14" s="467"/>
      <c r="X14" s="467"/>
      <c r="Y14" s="467"/>
      <c r="Z14" s="467"/>
      <c r="AA14" s="467"/>
      <c r="AB14" s="467"/>
      <c r="AC14" s="360"/>
      <c r="AD14" s="360"/>
      <c r="AE14" s="360"/>
      <c r="AF14" s="360"/>
    </row>
    <row r="15" spans="1:32" ht="20.100000000000001" customHeight="1" x14ac:dyDescent="0.25">
      <c r="B15" s="423" t="s">
        <v>166</v>
      </c>
      <c r="C15" s="423"/>
      <c r="D15" s="423"/>
      <c r="E15" s="106">
        <v>2</v>
      </c>
      <c r="G15" s="423" t="s">
        <v>167</v>
      </c>
      <c r="H15" s="423"/>
      <c r="I15" s="423"/>
      <c r="J15" s="337">
        <f>COUNTIF(C36:C59,"Included")</f>
        <v>0</v>
      </c>
      <c r="K15" s="331">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31">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31">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343" t="s">
        <v>168</v>
      </c>
      <c r="P15" s="344"/>
      <c r="Q15" s="344"/>
      <c r="R15" s="422">
        <f>(SUM(M8:M27))</f>
        <v>2722</v>
      </c>
      <c r="S15" s="422"/>
      <c r="T15" s="3"/>
      <c r="U15" s="467"/>
      <c r="V15" s="467"/>
      <c r="W15" s="467"/>
      <c r="X15" s="467"/>
      <c r="Y15" s="467"/>
      <c r="Z15" s="467"/>
      <c r="AA15" s="467"/>
      <c r="AB15" s="467"/>
      <c r="AC15" s="360"/>
      <c r="AD15" s="360"/>
      <c r="AE15" s="360"/>
      <c r="AF15" s="360"/>
    </row>
    <row r="16" spans="1:32" ht="20.100000000000001" customHeight="1" x14ac:dyDescent="0.25">
      <c r="B16" s="423" t="s">
        <v>169</v>
      </c>
      <c r="C16" s="423"/>
      <c r="D16" s="423"/>
      <c r="E16" s="106">
        <v>1</v>
      </c>
      <c r="G16" s="337" t="s">
        <v>170</v>
      </c>
      <c r="H16" s="337"/>
      <c r="I16" s="337"/>
      <c r="J16" s="337">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31">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31">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31">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343" t="s">
        <v>171</v>
      </c>
      <c r="P16" s="344"/>
      <c r="Q16" s="344"/>
      <c r="R16" s="422" t="str">
        <f>CONCATENATE(SUM(L8:L27))</f>
        <v>119</v>
      </c>
      <c r="S16" s="422"/>
      <c r="T16" s="3"/>
      <c r="U16" s="467"/>
      <c r="V16" s="467"/>
      <c r="W16" s="467"/>
      <c r="X16" s="467"/>
      <c r="Y16" s="467"/>
      <c r="Z16" s="467"/>
      <c r="AA16" s="467"/>
      <c r="AB16" s="467"/>
      <c r="AC16" s="360"/>
      <c r="AD16" s="360"/>
      <c r="AE16" s="360"/>
      <c r="AF16" s="360"/>
    </row>
    <row r="17" spans="2:33" ht="20.100000000000001" customHeight="1" x14ac:dyDescent="0.25">
      <c r="G17" s="441" t="s">
        <v>172</v>
      </c>
      <c r="H17" s="442"/>
      <c r="I17" s="443"/>
      <c r="J17" s="337">
        <f>COUNTIF(S36:S59,"&lt;&gt;Excluded")*3</f>
        <v>0</v>
      </c>
      <c r="K17" s="337">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337">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337">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343" t="s">
        <v>173</v>
      </c>
      <c r="P17" s="344"/>
      <c r="Q17" s="344"/>
      <c r="R17" s="422">
        <f>R15+R16</f>
        <v>2841</v>
      </c>
      <c r="S17" s="422"/>
      <c r="T17" s="3"/>
      <c r="U17" s="467"/>
      <c r="V17" s="467"/>
      <c r="W17" s="467"/>
      <c r="X17" s="467"/>
      <c r="Y17" s="467"/>
      <c r="Z17" s="467"/>
      <c r="AA17" s="467"/>
      <c r="AB17" s="467"/>
      <c r="AC17" s="360"/>
      <c r="AD17" s="360"/>
      <c r="AE17" s="360"/>
      <c r="AF17" s="360"/>
    </row>
    <row r="18" spans="2:33" ht="20.100000000000001" customHeight="1" x14ac:dyDescent="0.25">
      <c r="B18" s="408" t="s">
        <v>174</v>
      </c>
      <c r="C18" s="409"/>
      <c r="D18" s="409"/>
      <c r="E18" s="410"/>
      <c r="G18" s="423" t="s">
        <v>175</v>
      </c>
      <c r="H18" s="423"/>
      <c r="I18" s="423"/>
      <c r="J18" s="337">
        <f>SUM(PRODUCT(9,COUNTIF(V36:V59,"Medium")),PRODUCT(12,COUNTIF(V36:V59,"Large")),PRODUCT(14,COUNTIF(V36:V59,"X-Large")))</f>
        <v>0</v>
      </c>
      <c r="K18" s="99">
        <f>SUM((PRODUCT((VLOOKUP("Medium",table_ssp_cpu,2,FALSE)),COUNTIF(V36:V59,"Medium"))),PRODUCT((VLOOKUP("Large",table_ssp_cpu,2,FALSE)),COUNTIF(V36:V59,"Large")),PRODUCT((VLOOKUP("X-Large",table_ssp_cpu,2,FALSE)),COUNTIF(V36:V59,"X-Large")))</f>
        <v>0</v>
      </c>
      <c r="L18" s="99">
        <f>SUM((PRODUCT((VLOOKUP("Medium",table_ssp_ram,2,FALSE)),COUNTIF(V36:V59,"Medium"))),PRODUCT((VLOOKUP("Large",table_ssp_ram,2,FALSE)),COUNTIF(V36:V59,"Large")),PRODUCT((VLOOKUP("X-Large",table_ssp_ram,2,FALSE)),COUNTIF(V36:V59,"X-Large")))</f>
        <v>0</v>
      </c>
      <c r="M18" s="99">
        <f>SUM((PRODUCT((VLOOKUP("Medium",table_ssp_disk,2,FALSE)),COUNTIF(V36:V59,"Medium"))),PRODUCT((VLOOKUP("Large",table_ssp_disk,2,FALSE)),COUNTIF(V36:V59,"Large")),PRODUCT((VLOOKUP("X-Large",table_ssp_disk,2,FALSE)),COUNTIF(V36:V59,"X-Large")))</f>
        <v>0</v>
      </c>
      <c r="O18" s="343" t="s">
        <v>176</v>
      </c>
      <c r="P18" s="344"/>
      <c r="Q18" s="344"/>
      <c r="R18" s="422">
        <f>ROUNDUP(IF(R13="vSAN-ESA",R17*1.5,R17*2),0)</f>
        <v>5682</v>
      </c>
      <c r="S18" s="422"/>
      <c r="T18" s="3"/>
      <c r="U18" s="467"/>
      <c r="V18" s="467"/>
      <c r="W18" s="467"/>
      <c r="X18" s="467"/>
      <c r="Y18" s="467"/>
      <c r="Z18" s="467"/>
      <c r="AA18" s="467"/>
      <c r="AB18" s="467"/>
      <c r="AC18" s="360"/>
      <c r="AD18" s="360"/>
      <c r="AE18" s="360"/>
      <c r="AF18" s="360"/>
    </row>
    <row r="19" spans="2:33" ht="20.100000000000001" customHeight="1" x14ac:dyDescent="0.25">
      <c r="B19" s="451" t="s">
        <v>177</v>
      </c>
      <c r="C19" s="452"/>
      <c r="D19" s="453"/>
      <c r="E19" s="348" t="s">
        <v>138</v>
      </c>
      <c r="G19" s="441" t="s">
        <v>178</v>
      </c>
      <c r="H19" s="442"/>
      <c r="I19" s="443"/>
      <c r="J19" s="337">
        <f>IF(sizing_vcfops_ha_chosen="Exclude",0,1)</f>
        <v>0</v>
      </c>
      <c r="K19" s="331">
        <f>IF(sizing_vcfops_ha_chosen="Exclude",0,sizing_vcffm_cpu)</f>
        <v>0</v>
      </c>
      <c r="L19" s="331">
        <f>IF(sizing_vcfops_ha_chosen="Exclude",0,sizing_vcffm_ram)</f>
        <v>0</v>
      </c>
      <c r="M19" s="331">
        <f>IF(sizing_vcfops_ha_chosen="Exclude",0,sizing_vcffm_disk)</f>
        <v>0</v>
      </c>
      <c r="O19" s="343" t="s">
        <v>179</v>
      </c>
      <c r="P19" s="344"/>
      <c r="Q19" s="344"/>
      <c r="R19" s="422">
        <f>ROUNDUP(R18*(1+(sizing_virtual_machine_overhead/100)),0)</f>
        <v>7387</v>
      </c>
      <c r="S19" s="422"/>
      <c r="T19" s="23"/>
      <c r="U19" s="467"/>
      <c r="V19" s="467"/>
      <c r="W19" s="467"/>
      <c r="X19" s="467"/>
      <c r="Y19" s="467"/>
      <c r="Z19" s="467"/>
      <c r="AA19" s="467"/>
      <c r="AB19" s="467"/>
      <c r="AC19" s="360"/>
      <c r="AD19" s="360"/>
      <c r="AE19" s="360"/>
      <c r="AF19" s="360"/>
    </row>
    <row r="20" spans="2:33" ht="20.100000000000001" customHeight="1" x14ac:dyDescent="0.25">
      <c r="B20" s="441" t="s">
        <v>180</v>
      </c>
      <c r="C20" s="442"/>
      <c r="D20" s="443"/>
      <c r="E20" s="106" t="s">
        <v>181</v>
      </c>
      <c r="G20" s="441" t="s">
        <v>182</v>
      </c>
      <c r="H20" s="442"/>
      <c r="I20" s="443"/>
      <c r="J20" s="337">
        <f>IF(sizing_vcfops_ha_chosen&lt;&gt;"Exclude",IF(sizing_vcfops_deployment_model_chosen="Deploy HA",3,IF(sizing_vcfops_deployment_model_chosen="Deploy Simple",1,0)),0)</f>
        <v>0</v>
      </c>
      <c r="K20" s="337">
        <f>IF(sizing_vcfops_ha_chosen&lt;&gt;"Exclude",PRODUCT(VLOOKUP(sizing_vcfops_ha_chosen,table_vcfops_appliance_cpu,2,FALSE),J20),0)</f>
        <v>0</v>
      </c>
      <c r="L20" s="337">
        <f>IF(sizing_vcfops_ha_chosen&lt;&gt;"Exclude",PRODUCT(VLOOKUP(sizing_vcfops_ha_chosen,table_vcfops_appliance_ram,2,FALSE),J20),0)</f>
        <v>0</v>
      </c>
      <c r="M20" s="337">
        <f>IF(sizing_vcfops_ha_chosen&lt;&gt;"Exclude",PRODUCT(VLOOKUP(sizing_vcfops_ha_chosen,table_vcfops_appliance_disk,2,FALSE),J20),0)</f>
        <v>0</v>
      </c>
      <c r="O20" s="343" t="s">
        <v>183</v>
      </c>
      <c r="P20" s="344"/>
      <c r="Q20" s="344"/>
      <c r="R20" s="422">
        <f>IF(OR((sizing_storage_type="FC"),(sizing_storage_type="NFS")),ROUNDUP(R17*(1+(sizing_estimated_growth/100)),0),ROUNDUP(R19*(1+(sizing_estimated_growth/100)),0))</f>
        <v>3126</v>
      </c>
      <c r="S20" s="422"/>
      <c r="U20" s="467"/>
      <c r="V20" s="467"/>
      <c r="W20" s="467"/>
      <c r="X20" s="467"/>
      <c r="Y20" s="467"/>
      <c r="Z20" s="467"/>
      <c r="AA20" s="467"/>
      <c r="AB20" s="467"/>
      <c r="AC20" s="360"/>
      <c r="AD20" s="360"/>
      <c r="AE20" s="360"/>
      <c r="AF20" s="360"/>
    </row>
    <row r="21" spans="2:33" ht="20.100000000000001" customHeight="1" x14ac:dyDescent="0.25">
      <c r="B21" s="441" t="s">
        <v>184</v>
      </c>
      <c r="C21" s="442"/>
      <c r="D21" s="443"/>
      <c r="E21" s="106" t="s">
        <v>228</v>
      </c>
      <c r="G21" s="441" t="s">
        <v>186</v>
      </c>
      <c r="H21" s="442"/>
      <c r="I21" s="443"/>
      <c r="J21" s="337">
        <f>IF(sizing_vcfops_collector_chosen="Exclude",0,1)</f>
        <v>0</v>
      </c>
      <c r="K21" s="337">
        <f>IF(sizing_vcfops_collector_chosen="Exclude",0,VLOOKUP(sizing_vcfops_collector_chosen,table_vcfo_p_cpu,2,FALSE))</f>
        <v>0</v>
      </c>
      <c r="L21" s="337">
        <f>IF(sizing_vcfops_collector_chosen="Exclude",0,VLOOKUP(sizing_vcfops_collector_chosen,table_vcfo_p_ram,2,FALSE))</f>
        <v>0</v>
      </c>
      <c r="M21" s="337">
        <f>IF(sizing_vcfops_collector_chosen="Exclude",0,VLOOKUP(sizing_vcfops_collector_chosen,table_vcfo_p_disk,2,FALSE))</f>
        <v>0</v>
      </c>
      <c r="O21" s="351" t="s">
        <v>187</v>
      </c>
      <c r="P21" s="372"/>
      <c r="Q21" s="372"/>
      <c r="R21" s="454" t="str">
        <f>CONCATENATE(ROUNDUP(R20/(calculated_mgmt_host_count-1),0)," GB Disk")</f>
        <v>1042 GB Disk</v>
      </c>
      <c r="S21" s="454"/>
      <c r="U21" s="467"/>
      <c r="V21" s="467"/>
      <c r="W21" s="467"/>
      <c r="X21" s="467"/>
      <c r="Y21" s="467"/>
      <c r="Z21" s="467"/>
      <c r="AA21" s="467"/>
      <c r="AB21" s="467"/>
      <c r="AC21" s="360"/>
      <c r="AD21" s="360"/>
      <c r="AE21" s="360"/>
      <c r="AF21" s="360"/>
    </row>
    <row r="22" spans="2:33" ht="20.100000000000001" customHeight="1" x14ac:dyDescent="0.25">
      <c r="B22" s="441" t="s">
        <v>188</v>
      </c>
      <c r="C22" s="442"/>
      <c r="D22" s="443"/>
      <c r="E22" s="106" t="s">
        <v>228</v>
      </c>
      <c r="G22" s="441" t="s">
        <v>190</v>
      </c>
      <c r="H22" s="442"/>
      <c r="I22" s="443"/>
      <c r="J22" s="337">
        <f>IF(sizing_vcfauto_chosen="Exclude",0,
IF(sizing_vcfauto_chosen="Small",1,
IF(sizing_vcfauto_chosen="Medium",3,
IF(sizing_vcfauto_chosen="Large",3,)
)))</f>
        <v>0</v>
      </c>
      <c r="K22" s="337">
        <f>IF(sizing_vcfauto_chosen="Exclude",0,PRODUCT(VLOOKUP(sizing_vcfauto_chosen,table_vcfa_appliance_cpu,2,FALSE),J22))</f>
        <v>0</v>
      </c>
      <c r="L22" s="331">
        <f>IF(sizing_vcfauto_chosen="Exclude",0,PRODUCT(VLOOKUP(sizing_vcfauto_chosen,table_vcfa_appliance_ram,2,FALSE),J22))</f>
        <v>0</v>
      </c>
      <c r="M22" s="337">
        <f>IF(sizing_vcfauto_chosen="Exclude",0,PRODUCT(VLOOKUP(sizing_vcfauto_chosen,table_vcfa_appliance_disk,2,FALSE),J22))</f>
        <v>0</v>
      </c>
      <c r="N22" s="6"/>
      <c r="T22" s="6"/>
      <c r="U22" s="467"/>
      <c r="V22" s="467"/>
      <c r="W22" s="467"/>
      <c r="X22" s="467"/>
      <c r="Y22" s="467"/>
      <c r="Z22" s="467"/>
      <c r="AA22" s="467"/>
      <c r="AB22" s="467"/>
      <c r="AC22" s="360"/>
      <c r="AD22" s="360"/>
      <c r="AE22" s="360"/>
      <c r="AF22" s="360"/>
      <c r="AG22" s="360"/>
    </row>
    <row r="23" spans="2:33" ht="20.100000000000001" customHeight="1" x14ac:dyDescent="0.25">
      <c r="B23" s="441" t="s">
        <v>191</v>
      </c>
      <c r="C23" s="442"/>
      <c r="D23" s="443"/>
      <c r="E23" s="106" t="s">
        <v>228</v>
      </c>
      <c r="G23" s="441" t="s">
        <v>192</v>
      </c>
      <c r="H23" s="442"/>
      <c r="I23" s="443"/>
      <c r="J23" s="337">
        <f>IF(sizing_vcfops_logs_chosen="Exclude",0,IF(sizing_vcfops_deployment_model_chosen="Deploy HA",3,1))</f>
        <v>0</v>
      </c>
      <c r="K23" s="337" t="str">
        <f>IF(sizing_vcfops_logs_chosen="Exclude","0",PRODUCT(IF(sizing_vcfops_logs_chosen="Existing Component",0,IF(sizing_vcfops_deployment_model_chosen="Deploy HA",3,1)),VLOOKUP(sizing_vcfops_logs_chosen,table_vrli_appliance_cpu,2,)))</f>
        <v>0</v>
      </c>
      <c r="L23" s="337" t="str">
        <f>IF(sizing_vcfops_logs_chosen="Exclude","0",PRODUCT(IF(E24="Existing Component",0,IF(sizing_vcfops_deployment_model_chosen="Deploy HA",3,1)),VLOOKUP(E24,table_vrli_appliance_ram,2,)))</f>
        <v>0</v>
      </c>
      <c r="M23" s="337" t="str">
        <f>IF(sizing_vcfops_logs_chosen="Exclude","0",PRODUCT(IF(E24="Existing Component",0,IF(sizing_vcfops_deployment_model_chosen="Deploy HA",3,1)),VLOOKUP(E24,table_vrli_appliance_disk,2,)))</f>
        <v>0</v>
      </c>
      <c r="O23" s="35"/>
      <c r="P23" s="35"/>
      <c r="Q23" s="35"/>
      <c r="R23" s="35"/>
      <c r="S23" s="6"/>
      <c r="T23" s="6"/>
      <c r="U23" s="467"/>
      <c r="V23" s="467"/>
      <c r="W23" s="467"/>
      <c r="X23" s="467"/>
      <c r="Y23" s="467"/>
      <c r="Z23" s="467"/>
      <c r="AA23" s="467"/>
      <c r="AB23" s="467"/>
      <c r="AC23" s="360"/>
      <c r="AD23" s="360"/>
      <c r="AE23" s="360"/>
      <c r="AF23" s="360"/>
      <c r="AG23" s="360"/>
    </row>
    <row r="24" spans="2:33" ht="20.100000000000001" customHeight="1" x14ac:dyDescent="0.25">
      <c r="B24" s="423" t="s">
        <v>193</v>
      </c>
      <c r="C24" s="423"/>
      <c r="D24" s="423"/>
      <c r="E24" s="106" t="s">
        <v>228</v>
      </c>
      <c r="G24" s="441" t="s">
        <v>194</v>
      </c>
      <c r="H24" s="442"/>
      <c r="I24" s="443"/>
      <c r="J24" s="337">
        <f>IF(sizing_vcfops_net_chosen="Exclude",0,IF(sizing_vcfops_deployment_model_chosen="Deploy HA",3,1))</f>
        <v>0</v>
      </c>
      <c r="K24" s="337" t="str">
        <f>IF(sizing_vcfops_net_chosen="Exclude","0",PRODUCT(VLOOKUP(sizing_vcfops_net_chosen,table_vcfopsnet_appliance_cpu,2,),J24))</f>
        <v>0</v>
      </c>
      <c r="L24" s="337" t="str">
        <f>IF(sizing_vcfops_net_chosen="Exclude","0",PRODUCT(VLOOKUP(sizing_vcfops_net_chosen,table_vcfopsnet_appliance_ram,2,),J24))</f>
        <v>0</v>
      </c>
      <c r="M24" s="337" t="str">
        <f>IF(sizing_vcfops_net_chosen="Exclude","0",PRODUCT(VLOOKUP(sizing_vcfops_net_chosen,table_vcfopsnet_appliance_disk,2,),J24))</f>
        <v>0</v>
      </c>
      <c r="N24" s="6"/>
      <c r="O24" s="35"/>
      <c r="P24" s="35"/>
      <c r="Q24" s="35"/>
      <c r="R24" s="35"/>
      <c r="S24" s="6"/>
      <c r="T24" s="6"/>
      <c r="U24" s="467"/>
      <c r="V24" s="467"/>
      <c r="W24" s="467"/>
      <c r="X24" s="467"/>
      <c r="Y24" s="467"/>
      <c r="Z24" s="467"/>
      <c r="AA24" s="467"/>
      <c r="AB24" s="467"/>
      <c r="AC24" s="360"/>
      <c r="AD24" s="360"/>
      <c r="AE24" s="360"/>
      <c r="AF24" s="360"/>
      <c r="AG24" s="360"/>
    </row>
    <row r="25" spans="2:33" ht="20.100000000000001" customHeight="1" x14ac:dyDescent="0.25">
      <c r="B25" s="423" t="s">
        <v>195</v>
      </c>
      <c r="C25" s="423"/>
      <c r="D25" s="423"/>
      <c r="E25" s="106" t="s">
        <v>228</v>
      </c>
      <c r="G25" s="441" t="s">
        <v>196</v>
      </c>
      <c r="H25" s="442"/>
      <c r="I25" s="443"/>
      <c r="J25" s="337">
        <f>IF(sizing_vcfops_net_collector_chosen="Exclude",0,1)</f>
        <v>0</v>
      </c>
      <c r="K25" s="337" t="str">
        <f>IF(sizing_vcfops_net_collector_chosen="Exclude","0",PRODUCT(IF(sizing_vcfops_net_collector_chosen="Exclude",0,1),VLOOKUP(sizing_vcfops_net_collector_chosen,table_vcfopsnet_collector_cpu,2,)))</f>
        <v>0</v>
      </c>
      <c r="L25" s="337" t="str">
        <f>IF(sizing_vcfops_net_collector_chosen="Exclude","0",PRODUCT(IF(sizing_vcfops_net_collector_chosen="Exclude",0,1),VLOOKUP(sizing_vcfops_net_collector_chosen,table_vcfopsnet_collector_ram,2,)))</f>
        <v>0</v>
      </c>
      <c r="M25" s="337" t="str">
        <f>IF(sizing_vcfops_net_collector_chosen="Exclude","0",PRODUCT(IF(sizing_vcfops_net_collector_chosen="Excludet",0,1),VLOOKUP(sizing_vcfops_net_collector_chosen,table_vcfopsnet_collector_disk,2,)))</f>
        <v>0</v>
      </c>
      <c r="N25" s="6"/>
      <c r="O25" s="35"/>
      <c r="P25" s="35"/>
      <c r="Q25" s="35"/>
      <c r="R25" s="35"/>
      <c r="S25" s="6"/>
      <c r="T25" s="6"/>
      <c r="U25" s="467"/>
      <c r="V25" s="467"/>
      <c r="W25" s="467"/>
      <c r="X25" s="467"/>
      <c r="Y25" s="467"/>
      <c r="Z25" s="467"/>
      <c r="AA25" s="467"/>
      <c r="AB25" s="467"/>
      <c r="AC25" s="360"/>
      <c r="AD25" s="360"/>
      <c r="AE25" s="360"/>
      <c r="AF25" s="360"/>
      <c r="AG25" s="360"/>
    </row>
    <row r="26" spans="2:33" ht="20.100000000000001" customHeight="1" x14ac:dyDescent="0.25">
      <c r="B26" s="423" t="s">
        <v>197</v>
      </c>
      <c r="C26" s="423"/>
      <c r="D26" s="423"/>
      <c r="E26" s="241" t="s">
        <v>228</v>
      </c>
      <c r="G26" s="343" t="s">
        <v>198</v>
      </c>
      <c r="H26" s="344"/>
      <c r="I26" s="345"/>
      <c r="J26" s="337">
        <f>IF(OR(sizing_vcfvidb_chosen="Embedded",sizing_vcfvidb_chosen="Exclude"),0,IF(sizing_vcfvidb_chosen="Deploy HA",3,1))</f>
        <v>0</v>
      </c>
      <c r="K26" s="337">
        <f>PRODUCT(VLOOKUP("Medium",table_wsa_appliance_cpu,2,FALSE),J26)</f>
        <v>0</v>
      </c>
      <c r="L26" s="337">
        <f>PRODUCT(VLOOKUP("Medium",table_wsa_appliance_ram,2,FALSE),J26)</f>
        <v>0</v>
      </c>
      <c r="M26" s="337">
        <f>PRODUCT(VLOOKUP("Medium",table_wsa_appliance_disk,2,FALSE),J26)</f>
        <v>0</v>
      </c>
      <c r="N26" s="6"/>
      <c r="O26" s="35"/>
      <c r="P26" s="35"/>
      <c r="Q26" s="35"/>
      <c r="R26" s="35"/>
      <c r="S26" s="6"/>
      <c r="T26" s="6"/>
      <c r="U26" s="467"/>
      <c r="V26" s="467"/>
      <c r="W26" s="467"/>
      <c r="X26" s="467"/>
      <c r="Y26" s="467"/>
      <c r="Z26" s="467"/>
      <c r="AA26" s="467"/>
      <c r="AB26" s="467"/>
      <c r="AC26" s="360"/>
      <c r="AD26" s="360"/>
      <c r="AE26" s="360"/>
      <c r="AF26" s="360"/>
      <c r="AG26" s="360"/>
    </row>
    <row r="27" spans="2:33" ht="20.100000000000001" customHeight="1" x14ac:dyDescent="0.25">
      <c r="B27" s="441" t="s">
        <v>198</v>
      </c>
      <c r="C27" s="442"/>
      <c r="D27" s="443"/>
      <c r="E27" s="106" t="s">
        <v>228</v>
      </c>
      <c r="G27" s="343" t="s">
        <v>199</v>
      </c>
      <c r="H27" s="344"/>
      <c r="I27" s="345"/>
      <c r="J27" s="337">
        <f>G79</f>
        <v>0</v>
      </c>
      <c r="K27" s="331">
        <f>(SUMPRODUCT('Management Domain Sizing'!$G$71:$G$78,'Management Domain Sizing'!H71:H78))</f>
        <v>0</v>
      </c>
      <c r="L27" s="331">
        <f>(SUMPRODUCT('Management Domain Sizing'!$G$71:$G$78,'Management Domain Sizing'!I71:I78))</f>
        <v>0</v>
      </c>
      <c r="M27" s="331">
        <f>(SUMPRODUCT('Management Domain Sizing'!$G$71:$G$78,'Management Domain Sizing'!J71:J78))</f>
        <v>0</v>
      </c>
      <c r="N27" s="6"/>
      <c r="O27" s="35"/>
      <c r="P27" s="35"/>
      <c r="Q27" s="35"/>
      <c r="R27" s="35"/>
      <c r="S27" s="6"/>
      <c r="T27" s="6"/>
      <c r="U27" s="467"/>
      <c r="V27" s="467"/>
      <c r="W27" s="467"/>
      <c r="X27" s="467"/>
      <c r="Y27" s="467"/>
      <c r="Z27" s="467"/>
      <c r="AA27" s="467"/>
      <c r="AB27" s="467"/>
      <c r="AC27" s="360"/>
      <c r="AD27" s="360"/>
      <c r="AE27" s="360"/>
      <c r="AF27" s="360"/>
      <c r="AG27" s="360"/>
    </row>
    <row r="28" spans="2:33" ht="20.100000000000001" customHeight="1" x14ac:dyDescent="0.25">
      <c r="G28" s="351" t="s">
        <v>200</v>
      </c>
      <c r="H28" s="372"/>
      <c r="I28" s="352"/>
      <c r="J28" s="4">
        <f>SUM(J8:J27)</f>
        <v>7</v>
      </c>
      <c r="K28" s="361" t="str">
        <f>CONCATENATE(SUM(K8:K27)," vCPUs")</f>
        <v>32 vCPUs</v>
      </c>
      <c r="L28" s="361" t="str">
        <f>CONCATENATE(SUM(L8:L27)," GB")</f>
        <v>119 GB</v>
      </c>
      <c r="M28" s="361" t="str">
        <f>CONCATENATE(SUM(M8:M27), " GB")</f>
        <v>2722 GB</v>
      </c>
      <c r="N28" s="6"/>
      <c r="O28" s="35"/>
      <c r="P28" s="35"/>
      <c r="Q28" s="35"/>
      <c r="R28" s="35"/>
      <c r="S28" s="6"/>
      <c r="T28" s="6"/>
      <c r="U28" s="467"/>
      <c r="V28" s="467"/>
      <c r="W28" s="467"/>
      <c r="X28" s="467"/>
      <c r="Y28" s="467"/>
      <c r="Z28" s="467"/>
      <c r="AA28" s="467"/>
      <c r="AB28" s="467"/>
      <c r="AC28" s="360"/>
      <c r="AD28" s="360"/>
      <c r="AE28" s="360"/>
      <c r="AF28" s="360"/>
      <c r="AG28" s="360"/>
    </row>
    <row r="29" spans="2:33" ht="20.100000000000001" customHeight="1" x14ac:dyDescent="0.25"/>
    <row r="30" spans="2:33" s="104" customFormat="1" ht="33.950000000000003" customHeight="1" x14ac:dyDescent="0.25">
      <c r="B30" s="340" t="s">
        <v>201</v>
      </c>
      <c r="C30" s="341"/>
      <c r="D30" s="341"/>
      <c r="E30" s="341"/>
      <c r="F30" s="341"/>
      <c r="G30" s="341"/>
      <c r="H30" s="341"/>
      <c r="I30" s="341"/>
      <c r="J30" s="341"/>
      <c r="K30" s="341"/>
      <c r="L30" s="341"/>
      <c r="M30" s="341"/>
      <c r="N30" s="457"/>
      <c r="O30" s="457"/>
      <c r="P30" s="457"/>
      <c r="Q30" s="457"/>
      <c r="R30" s="457"/>
      <c r="S30" s="457"/>
      <c r="T30" s="457"/>
      <c r="U30" s="457"/>
      <c r="V30" s="457"/>
      <c r="W30" s="457"/>
      <c r="X30" s="457"/>
      <c r="Y30" s="457"/>
      <c r="Z30" s="457"/>
      <c r="AA30" s="457"/>
      <c r="AB30" s="457"/>
    </row>
    <row r="31" spans="2:33" ht="20.100000000000001" customHeight="1" x14ac:dyDescent="0.25">
      <c r="B31" s="346" t="s">
        <v>202</v>
      </c>
      <c r="C31" s="346" t="s">
        <v>203</v>
      </c>
      <c r="D31" s="451" t="s">
        <v>204</v>
      </c>
      <c r="E31" s="453"/>
      <c r="F31" s="451" t="s">
        <v>205</v>
      </c>
      <c r="G31" s="453"/>
      <c r="H31" s="346" t="s">
        <v>206</v>
      </c>
      <c r="I31" s="451" t="s">
        <v>207</v>
      </c>
      <c r="J31" s="452"/>
      <c r="K31" s="453"/>
      <c r="L31" s="451" t="s">
        <v>208</v>
      </c>
      <c r="M31" s="452"/>
      <c r="N31" s="453"/>
      <c r="O31" s="451" t="s">
        <v>209</v>
      </c>
      <c r="P31" s="453"/>
      <c r="Q31" s="451" t="s">
        <v>210</v>
      </c>
      <c r="R31" s="452"/>
      <c r="S31" s="452"/>
      <c r="T31" s="453"/>
      <c r="U31" s="444" t="s">
        <v>211</v>
      </c>
      <c r="V31" s="444"/>
      <c r="W31" s="444"/>
      <c r="X31" s="316" t="s">
        <v>5</v>
      </c>
      <c r="Y31" s="316"/>
      <c r="Z31" s="316"/>
      <c r="AA31" s="316"/>
      <c r="AB31" s="317"/>
    </row>
    <row r="32" spans="2:33" ht="20.100000000000001" customHeight="1" x14ac:dyDescent="0.25">
      <c r="B32" s="331" t="s">
        <v>212</v>
      </c>
      <c r="C32" s="347" t="s">
        <v>213</v>
      </c>
      <c r="D32" s="347" t="s">
        <v>214</v>
      </c>
      <c r="E32" s="337" t="str">
        <f>CONCATENATE(IF(sizing_m01_included="Included",VLOOKUP(D32,table_vcenter_appliance_cpu,2,FALSE),0)," CPUS ",": ",IF(sizing_m01_included="Included",VLOOKUP(D32,table_vcenter_appliance_ram,2,FALSE),0)," GB")</f>
        <v>8 CPUS : 30 GB</v>
      </c>
      <c r="F32" s="347" t="s">
        <v>215</v>
      </c>
      <c r="G32" s="337" t="str">
        <f>CONCATENATE(IF(sizing_m01_included="Included",VLOOKUP(CONCATENATE(D32,F32),table_vcenter_disk_gb,2,FALSE),0)," GB")</f>
        <v>908 GB</v>
      </c>
      <c r="H32" s="347" t="s">
        <v>226</v>
      </c>
      <c r="I32" s="347" t="s">
        <v>214</v>
      </c>
      <c r="J32" s="441"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2" s="443"/>
      <c r="L32" s="347" t="s">
        <v>216</v>
      </c>
      <c r="M32" s="441"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2" s="443"/>
      <c r="O32" s="347" t="s">
        <v>216</v>
      </c>
      <c r="P32" s="337"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347" t="s">
        <v>216</v>
      </c>
      <c r="R32" s="441"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42"/>
      <c r="T32" s="443"/>
      <c r="U32" s="347" t="s">
        <v>216</v>
      </c>
      <c r="V32" s="423"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23"/>
      <c r="X32" s="344" t="str">
        <f>IF(sizing_m01_included="Included",CONCATENATE("vCenter ",VLOOKUP(mgmt_vcenter_appliance_size_chosen,vcenter_sizing_limits,2,FALSE)," | NSX ",VLOOKUP(sizing_m01_nsxt_appliance_size,nsx_sizing_limits,2,FALSE)),"")</f>
        <v>vCenter 100 Hosts 1000 VMs | NSX 128 Hosts - 5 vSphere Clusters</v>
      </c>
      <c r="Y32" s="344"/>
      <c r="Z32" s="344"/>
      <c r="AA32" s="344"/>
      <c r="AB32" s="345"/>
    </row>
    <row r="33" spans="2:28" ht="20.100000000000001" customHeight="1" x14ac:dyDescent="0.25">
      <c r="G33" s="3"/>
      <c r="I33" s="2"/>
    </row>
    <row r="34" spans="2:28" s="104" customFormat="1" ht="33.950000000000003" customHeight="1" x14ac:dyDescent="0.25">
      <c r="B34" s="340" t="s">
        <v>217</v>
      </c>
      <c r="C34" s="341"/>
      <c r="D34" s="107"/>
      <c r="E34" s="107"/>
      <c r="F34" s="107"/>
      <c r="G34" s="107"/>
      <c r="H34" s="107"/>
      <c r="I34" s="107"/>
      <c r="J34" s="107"/>
      <c r="K34" s="107"/>
      <c r="L34" s="107"/>
      <c r="M34" s="107"/>
      <c r="N34" s="107"/>
      <c r="O34" s="107"/>
      <c r="P34" s="357"/>
      <c r="Q34" s="357"/>
      <c r="R34" s="458"/>
      <c r="S34" s="458"/>
      <c r="T34" s="458"/>
      <c r="U34" s="458"/>
      <c r="V34" s="458"/>
      <c r="W34" s="458"/>
      <c r="X34" s="458"/>
      <c r="Y34" s="458"/>
      <c r="Z34" s="458"/>
      <c r="AA34" s="458"/>
      <c r="AB34" s="458"/>
    </row>
    <row r="35" spans="2:28" ht="20.100000000000001" customHeight="1" x14ac:dyDescent="0.25">
      <c r="B35" s="346" t="s">
        <v>202</v>
      </c>
      <c r="C35" s="346" t="s">
        <v>203</v>
      </c>
      <c r="D35" s="444" t="s">
        <v>218</v>
      </c>
      <c r="E35" s="444"/>
      <c r="F35" s="451" t="s">
        <v>219</v>
      </c>
      <c r="G35" s="453"/>
      <c r="H35" s="346" t="s">
        <v>206</v>
      </c>
      <c r="I35" s="444" t="s">
        <v>220</v>
      </c>
      <c r="J35" s="444"/>
      <c r="K35" s="444"/>
      <c r="L35" s="346" t="s">
        <v>221</v>
      </c>
      <c r="M35" s="451" t="s">
        <v>222</v>
      </c>
      <c r="N35" s="452"/>
      <c r="O35" s="453"/>
      <c r="P35" s="444" t="s">
        <v>223</v>
      </c>
      <c r="Q35" s="444"/>
      <c r="R35" s="444"/>
      <c r="S35" s="444" t="s">
        <v>210</v>
      </c>
      <c r="T35" s="444"/>
      <c r="U35" s="444"/>
      <c r="V35" s="451" t="s">
        <v>224</v>
      </c>
      <c r="W35" s="453"/>
      <c r="X35" s="451" t="s">
        <v>5</v>
      </c>
      <c r="Y35" s="452"/>
      <c r="Z35" s="452"/>
      <c r="AA35" s="452"/>
      <c r="AB35" s="453"/>
    </row>
    <row r="36" spans="2:28" ht="20.100000000000001" customHeight="1" x14ac:dyDescent="0.25">
      <c r="B36" s="331" t="s">
        <v>225</v>
      </c>
      <c r="C36" s="108" t="s">
        <v>216</v>
      </c>
      <c r="D36" s="347" t="s">
        <v>214</v>
      </c>
      <c r="E36" s="337" t="str">
        <f>CONCATENATE(IF(sizing_w01_chosen="Included",VLOOKUP(sizing_w01_vcenter_appliance_size,table_vcenter_appliance_cpu,2,FALSE),0)," CPUs ",": ",IF(sizing_w01_chosen="Included",VLOOKUP(sizing_w01_vcenter_appliance_size,table_vcenter_appliance_ram,2,FALSE),0)," GB")</f>
        <v>0 CPUs : 0 GB</v>
      </c>
      <c r="F36" s="347" t="s">
        <v>215</v>
      </c>
      <c r="G36" s="337" t="str">
        <f>CONCATENATE(IF(sizing_w01_chosen="Included",VLOOKUP(CONCATENATE(sizing_w01_vcenter_appliance_size,sizing_w01_vcenter_storage_size),table_vcenter_disk_gb,2,FALSE),0)," GB")</f>
        <v>0 GB</v>
      </c>
      <c r="H36" s="347" t="s">
        <v>226</v>
      </c>
      <c r="I36" s="347" t="s">
        <v>227</v>
      </c>
      <c r="J36" s="441"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43"/>
      <c r="L36" s="347" t="s">
        <v>216</v>
      </c>
      <c r="M36" s="347" t="s">
        <v>227</v>
      </c>
      <c r="N36" s="455"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56"/>
      <c r="P36" s="347" t="s">
        <v>228</v>
      </c>
      <c r="Q36" s="423"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423"/>
      <c r="S36" s="315" t="s">
        <v>216</v>
      </c>
      <c r="T36" s="473"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74"/>
      <c r="V36" s="347" t="s">
        <v>216</v>
      </c>
      <c r="W36" s="337"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41" t="str">
        <f>IF(sizing_w01_chosen="Included",CONCATENATE("vCenter:",VLOOKUP(sizing_w01_vcenter_appliance_size,vcenter_sizing_limits,2,FALSE)," | NSX LM ",VLOOKUP(sizing_w01_nsxt_appliance_size,nsx_sizing_limits,2,FALSE)),"")</f>
        <v/>
      </c>
      <c r="Y36" s="442"/>
      <c r="Z36" s="442"/>
      <c r="AA36" s="442"/>
      <c r="AB36" s="443"/>
    </row>
    <row r="37" spans="2:28" ht="20.100000000000001" customHeight="1" x14ac:dyDescent="0.25">
      <c r="B37" s="331" t="s">
        <v>229</v>
      </c>
      <c r="C37" s="108" t="s">
        <v>216</v>
      </c>
      <c r="D37" s="109" t="s">
        <v>214</v>
      </c>
      <c r="E37" s="337" t="str">
        <f>CONCATENATE(IF(sizing_w02_chosen="Included",VLOOKUP(sizing_w02_vcenter_appliance_size,table_vcenter_appliance_cpu,2,FALSE),0)," CPUs ",": ",IF(sizing_w02_chosen="Included",VLOOKUP(sizing_w02_vcenter_appliance_size,table_vcenter_appliance_ram,2,FALSE),0)," GB")</f>
        <v>0 CPUs : 0 GB</v>
      </c>
      <c r="F37" s="109" t="s">
        <v>215</v>
      </c>
      <c r="G37" s="337" t="str">
        <f>CONCATENATE(IF(sizing_w02_chosen="Included",VLOOKUP(CONCATENATE(sizing_w02_vcenter_appliance_size,sizing_w02_vcenter_storage_size),table_vcenter_disk_gb,2,FALSE),0)," GB")</f>
        <v>0 GB</v>
      </c>
      <c r="H37" s="109" t="s">
        <v>230</v>
      </c>
      <c r="I37" s="109" t="s">
        <v>227</v>
      </c>
      <c r="J37" s="441"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43"/>
      <c r="L37" s="102" t="s">
        <v>216</v>
      </c>
      <c r="M37" s="102" t="s">
        <v>227</v>
      </c>
      <c r="N37" s="455"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56"/>
      <c r="P37" s="102" t="s">
        <v>228</v>
      </c>
      <c r="Q37" s="422"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422"/>
      <c r="S37" s="110" t="s">
        <v>216</v>
      </c>
      <c r="T37" s="423"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41"/>
      <c r="V37" s="347" t="s">
        <v>216</v>
      </c>
      <c r="W37" s="337"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41" t="str">
        <f>IF(sizing_w02_chosen="Included",CONCATENATE("vCenter:",VLOOKUP(sizing_w02_vcenter_appliance_size,vcenter_sizing_limits,2,FALSE)," | NSX LM ",VLOOKUP(sizing_w02_nsxt_appliance_size,nsx_sizing_limits,2,FALSE)),"")</f>
        <v/>
      </c>
      <c r="Y37" s="442"/>
      <c r="Z37" s="442"/>
      <c r="AA37" s="442"/>
      <c r="AB37" s="443"/>
    </row>
    <row r="38" spans="2:28" ht="20.100000000000001" customHeight="1" x14ac:dyDescent="0.25">
      <c r="B38" s="331" t="s">
        <v>231</v>
      </c>
      <c r="C38" s="111" t="s">
        <v>216</v>
      </c>
      <c r="D38" s="109" t="s">
        <v>214</v>
      </c>
      <c r="E38" s="337" t="str">
        <f>CONCATENATE(IF(sizing_w03_chosen="Included",VLOOKUP(sizing_w03_vcenter_appliance_size,table_vcenter_appliance_cpu,2,FALSE),0)," CPUs ",": ",IF(sizing_w03_chosen="Included",VLOOKUP(sizing_w03_vcenter_appliance_size,table_vcenter_appliance_ram,2,FALSE),0)," GB")</f>
        <v>0 CPUs : 0 GB</v>
      </c>
      <c r="F38" s="109" t="s">
        <v>215</v>
      </c>
      <c r="G38" s="337" t="str">
        <f>CONCATENATE(IF(sizing_w03_chosen="Included",VLOOKUP(CONCATENATE(sizing_w03_vcenter_appliance_size,sizing_w03_vcenter_storage_size),table_vcenter_disk_gb,2,FALSE),0)," GB")</f>
        <v>0 GB</v>
      </c>
      <c r="H38" s="109" t="s">
        <v>230</v>
      </c>
      <c r="I38" s="109" t="s">
        <v>227</v>
      </c>
      <c r="J38" s="441"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43"/>
      <c r="L38" s="102" t="s">
        <v>216</v>
      </c>
      <c r="M38" s="347" t="s">
        <v>227</v>
      </c>
      <c r="N38" s="455"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56"/>
      <c r="P38" s="102" t="s">
        <v>228</v>
      </c>
      <c r="Q38" s="422"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422"/>
      <c r="S38" s="110" t="s">
        <v>216</v>
      </c>
      <c r="T38" s="422"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432"/>
      <c r="V38" s="347" t="s">
        <v>216</v>
      </c>
      <c r="W38" s="337"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41" t="str">
        <f>IF(sizing_w03_chosen="Included",CONCATENATE("vCenter:",VLOOKUP(sizing_w03_vcenter_appliance_size,vcenter_sizing_limits,2,FALSE)," | NSX LM ",VLOOKUP(sizing_w03_nsxt_appliance_size,nsx_sizing_limits,2,FALSE)),"")</f>
        <v/>
      </c>
      <c r="Y38" s="442"/>
      <c r="Z38" s="442"/>
      <c r="AA38" s="442"/>
      <c r="AB38" s="443"/>
    </row>
    <row r="39" spans="2:28" ht="20.100000000000001" customHeight="1" x14ac:dyDescent="0.25">
      <c r="B39" s="331" t="s">
        <v>232</v>
      </c>
      <c r="C39" s="111" t="s">
        <v>216</v>
      </c>
      <c r="D39" s="109" t="s">
        <v>214</v>
      </c>
      <c r="E39" s="337" t="str">
        <f>CONCATENATE(IF(sizing_w04_chosen="Included",VLOOKUP(sizing_w04_vcenter_appliance_size,table_vcenter_appliance_cpu,2,FALSE),0)," CPUs ",": ",IF(sizing_w04_chosen="Included",VLOOKUP(sizing_w04_vcenter_appliance_size,table_vcenter_appliance_ram,2,FALSE),0)," GB")</f>
        <v>0 CPUs : 0 GB</v>
      </c>
      <c r="F39" s="109" t="s">
        <v>215</v>
      </c>
      <c r="G39" s="337" t="str">
        <f>CONCATENATE(IF(sizing_w04_chosen="Included",VLOOKUP(CONCATENATE(sizing_w04_vcenter_appliance_size,sizing_w04_vcenter_storage_size),table_vcenter_disk_gb,2,FALSE),0)," GB")</f>
        <v>0 GB</v>
      </c>
      <c r="H39" s="109" t="s">
        <v>230</v>
      </c>
      <c r="I39" s="109" t="s">
        <v>227</v>
      </c>
      <c r="J39" s="441"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43"/>
      <c r="L39" s="102" t="s">
        <v>216</v>
      </c>
      <c r="M39" s="347" t="s">
        <v>227</v>
      </c>
      <c r="N39" s="455"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56"/>
      <c r="P39" s="102" t="s">
        <v>228</v>
      </c>
      <c r="Q39" s="422"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422"/>
      <c r="S39" s="102" t="s">
        <v>216</v>
      </c>
      <c r="T39" s="422"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432"/>
      <c r="V39" s="347" t="s">
        <v>216</v>
      </c>
      <c r="W39" s="337"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41" t="str">
        <f>IF(sizing_w04_chosen="Included",CONCATENATE("vCenter:",VLOOKUP(sizing_w04_vcenter_appliance_size,vcenter_sizing_limits,2,FALSE)," | NSX LM ",VLOOKUP(sizing_w04_nsxt_appliance_size,nsx_sizing_limits,2,FALSE)),"")</f>
        <v/>
      </c>
      <c r="Y39" s="442"/>
      <c r="Z39" s="442"/>
      <c r="AA39" s="442"/>
      <c r="AB39" s="443"/>
    </row>
    <row r="40" spans="2:28" ht="20.100000000000001" customHeight="1" x14ac:dyDescent="0.25">
      <c r="B40" s="331" t="s">
        <v>233</v>
      </c>
      <c r="C40" s="111" t="s">
        <v>216</v>
      </c>
      <c r="D40" s="109" t="s">
        <v>214</v>
      </c>
      <c r="E40" s="100" t="str">
        <f>CONCATENATE(IF(sizing_w05_chosen="Included",VLOOKUP(sizing_w05_vcenter_appliance_size,table_vcenter_appliance_cpu,2,FALSE),0)," CPUs ",": ",IF(sizing_w05_chosen="Included",VLOOKUP(sizing_w05_vcenter_appliance_size,table_vcenter_appliance_ram,2,FALSE),0)," GB")</f>
        <v>0 CPUs : 0 GB</v>
      </c>
      <c r="F40" s="109" t="s">
        <v>215</v>
      </c>
      <c r="G40" s="100" t="str">
        <f>CONCATENATE(IF(sizing_w05_chosen="Included",VLOOKUP(CONCATENATE(sizing_w05_vcenter_appliance_size,sizing_w05_vcenter_storage_size),table_vcenter_disk_gb,2,FALSE),0)," GB")</f>
        <v>0 GB</v>
      </c>
      <c r="H40" s="109" t="s">
        <v>230</v>
      </c>
      <c r="I40" s="109" t="s">
        <v>227</v>
      </c>
      <c r="J40" s="459"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60"/>
      <c r="L40" s="102" t="s">
        <v>216</v>
      </c>
      <c r="M40" s="347" t="s">
        <v>227</v>
      </c>
      <c r="N40" s="455"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56"/>
      <c r="P40" s="102" t="s">
        <v>228</v>
      </c>
      <c r="Q40" s="422"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422"/>
      <c r="S40" s="102" t="s">
        <v>216</v>
      </c>
      <c r="T40" s="422"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432"/>
      <c r="V40" s="347" t="s">
        <v>216</v>
      </c>
      <c r="W40" s="337"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41" t="str">
        <f>IF(sizing_w05_chosen="Included",CONCATENATE("vCenter:",VLOOKUP(sizing_w05_vcenter_appliance_size,vcenter_sizing_limits,2,FALSE)," | NSX LM ",VLOOKUP(sizing_w05_nsxt_appliance_size,nsx_sizing_limits,2,FALSE)),"")</f>
        <v/>
      </c>
      <c r="Y40" s="442"/>
      <c r="Z40" s="442"/>
      <c r="AA40" s="442"/>
      <c r="AB40" s="443"/>
    </row>
    <row r="41" spans="2:28" ht="20.100000000000001" customHeight="1" x14ac:dyDescent="0.25">
      <c r="B41" s="331" t="s">
        <v>234</v>
      </c>
      <c r="C41" s="111" t="s">
        <v>216</v>
      </c>
      <c r="D41" s="109" t="s">
        <v>214</v>
      </c>
      <c r="E41" s="100" t="str">
        <f>CONCATENATE(IF(sizing_w06_chosen="Included",VLOOKUP(sizing_w06_vcenter_appliance_size,table_vcenter_appliance_cpu,2,FALSE),0)," CPUs ",": ",IF(sizing_w06_chosen="Included",VLOOKUP(sizing_w06_vcenter_appliance_size,table_vcenter_appliance_ram,2,FALSE),0)," GB")</f>
        <v>0 CPUs : 0 GB</v>
      </c>
      <c r="F41" s="109" t="s">
        <v>215</v>
      </c>
      <c r="G41" s="100" t="str">
        <f>CONCATENATE(IF(sizing_w06_chosen="Included",VLOOKUP(CONCATENATE(sizing_w06_vcenter_appliance_size,sizing_w06_vcenter_storage_size),table_vcenter_disk_gb,2,FALSE),0)," GB")</f>
        <v>0 GB</v>
      </c>
      <c r="H41" s="109" t="s">
        <v>230</v>
      </c>
      <c r="I41" s="109" t="s">
        <v>227</v>
      </c>
      <c r="J41" s="459"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60"/>
      <c r="L41" s="102" t="s">
        <v>216</v>
      </c>
      <c r="M41" s="347" t="s">
        <v>227</v>
      </c>
      <c r="N41" s="455"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56"/>
      <c r="P41" s="102" t="s">
        <v>228</v>
      </c>
      <c r="Q41" s="422"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422"/>
      <c r="S41" s="102" t="s">
        <v>216</v>
      </c>
      <c r="T41" s="422"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432"/>
      <c r="V41" s="347" t="s">
        <v>216</v>
      </c>
      <c r="W41" s="337"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41" t="str">
        <f>IF(sizing_w06_chosen="Included",CONCATENATE("vCenter:",VLOOKUP(sizing_w06_vcenter_appliance_size,vcenter_sizing_limits,2,FALSE)," | NSX LM ",VLOOKUP(sizing_w06_nsxt_appliance_size,nsx_sizing_limits,2,FALSE)),"")</f>
        <v/>
      </c>
      <c r="Y41" s="442"/>
      <c r="Z41" s="442"/>
      <c r="AA41" s="442"/>
      <c r="AB41" s="443"/>
    </row>
    <row r="42" spans="2:28" ht="20.100000000000001" customHeight="1" x14ac:dyDescent="0.25">
      <c r="B42" s="331" t="s">
        <v>235</v>
      </c>
      <c r="C42" s="111" t="s">
        <v>216</v>
      </c>
      <c r="D42" s="109" t="s">
        <v>214</v>
      </c>
      <c r="E42" s="100" t="str">
        <f>CONCATENATE(IF(sizing_w07_chosen="Included",VLOOKUP(sizing_w07_vcenter_appliance_size,table_vcenter_appliance_cpu,2,FALSE),0)," CPUs ",": ",IF(sizing_w07_chosen="Included",VLOOKUP(sizing_w07_vcenter_appliance_size,table_vcenter_appliance_ram,2,FALSE),0)," GB")</f>
        <v>0 CPUs : 0 GB</v>
      </c>
      <c r="F42" s="109" t="s">
        <v>215</v>
      </c>
      <c r="G42" s="100" t="str">
        <f>CONCATENATE(IF(sizing_w07_chosen="Included",VLOOKUP(CONCATENATE(sizing_w07_vcenter_appliance_size,sizing_w07_vcenter_storage_size),table_vcenter_disk_gb,2,FALSE),0)," GB")</f>
        <v>0 GB</v>
      </c>
      <c r="H42" s="109" t="s">
        <v>230</v>
      </c>
      <c r="I42" s="109" t="s">
        <v>227</v>
      </c>
      <c r="J42" s="459"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60"/>
      <c r="L42" s="102" t="s">
        <v>216</v>
      </c>
      <c r="M42" s="347" t="s">
        <v>227</v>
      </c>
      <c r="N42" s="455"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56"/>
      <c r="P42" s="102" t="s">
        <v>228</v>
      </c>
      <c r="Q42" s="422"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422"/>
      <c r="S42" s="102" t="s">
        <v>216</v>
      </c>
      <c r="T42" s="422"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432"/>
      <c r="V42" s="347" t="s">
        <v>216</v>
      </c>
      <c r="W42" s="337"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41" t="str">
        <f>IF(sizing_w07_chosen="Included",CONCATENATE("vCenter:",VLOOKUP(sizing_w07_vcenter_appliance_size,vcenter_sizing_limits,2,FALSE)," | NSX LM ",VLOOKUP(sizing_w07_nsxt_appliance_size,nsx_sizing_limits,2,FALSE)),"")</f>
        <v/>
      </c>
      <c r="Y42" s="442"/>
      <c r="Z42" s="442"/>
      <c r="AA42" s="442"/>
      <c r="AB42" s="443"/>
    </row>
    <row r="43" spans="2:28" ht="20.100000000000001" customHeight="1" x14ac:dyDescent="0.25">
      <c r="B43" s="331" t="s">
        <v>236</v>
      </c>
      <c r="C43" s="111" t="s">
        <v>216</v>
      </c>
      <c r="D43" s="109" t="s">
        <v>214</v>
      </c>
      <c r="E43" s="100" t="str">
        <f>CONCATENATE(IF(sizing_w08_chosen="Included",VLOOKUP(sizing_w08_vcenter_appliance_size,table_vcenter_appliance_cpu,2,FALSE),0)," CPUs ",": ",IF(sizing_w08_chosen="Included",VLOOKUP(sizing_w08_vcenter_appliance_size,table_vcenter_appliance_ram,2,FALSE),0)," GB")</f>
        <v>0 CPUs : 0 GB</v>
      </c>
      <c r="F43" s="109" t="s">
        <v>215</v>
      </c>
      <c r="G43" s="100" t="str">
        <f>CONCATENATE(IF(sizing_w08_chosen="Included",VLOOKUP(CONCATENATE(sizing_w08_vcenter_appliance_size,sizing_w08_vcenter_storage_size),table_vcenter_disk_gb,2,FALSE),0)," GB")</f>
        <v>0 GB</v>
      </c>
      <c r="H43" s="109" t="s">
        <v>230</v>
      </c>
      <c r="I43" s="109" t="s">
        <v>227</v>
      </c>
      <c r="J43" s="459"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60"/>
      <c r="L43" s="102" t="s">
        <v>216</v>
      </c>
      <c r="M43" s="347" t="s">
        <v>227</v>
      </c>
      <c r="N43" s="455"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56"/>
      <c r="P43" s="102" t="s">
        <v>228</v>
      </c>
      <c r="Q43" s="422"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422"/>
      <c r="S43" s="102" t="s">
        <v>216</v>
      </c>
      <c r="T43" s="422"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432"/>
      <c r="V43" s="347" t="s">
        <v>216</v>
      </c>
      <c r="W43" s="337"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41" t="str">
        <f>IF(sizing_w08_chosen="Included",CONCATENATE("vCenter:",VLOOKUP(sizing_w08_vcenter_appliance_size,vcenter_sizing_limits,2,FALSE)," | NSX LM ",VLOOKUP(sizing_w08_nsxt_appliance_size,nsx_sizing_limits,2,FALSE)),"")</f>
        <v/>
      </c>
      <c r="Y43" s="442"/>
      <c r="Z43" s="442"/>
      <c r="AA43" s="442"/>
      <c r="AB43" s="443"/>
    </row>
    <row r="44" spans="2:28" ht="20.100000000000001" customHeight="1" x14ac:dyDescent="0.25">
      <c r="B44" s="331" t="s">
        <v>237</v>
      </c>
      <c r="C44" s="111" t="s">
        <v>216</v>
      </c>
      <c r="D44" s="109" t="s">
        <v>214</v>
      </c>
      <c r="E44" s="100" t="str">
        <f>CONCATENATE(IF(sizing_w09_chosen="Included",VLOOKUP(sizing_w09_vcenter_appliance_size,table_vcenter_appliance_cpu,2,FALSE),0)," CPUs ",": ",IF(sizing_w09_chosen="Included",VLOOKUP(sizing_w09_vcenter_appliance_size,table_vcenter_appliance_ram,2,FALSE),0)," GB")</f>
        <v>0 CPUs : 0 GB</v>
      </c>
      <c r="F44" s="109" t="s">
        <v>215</v>
      </c>
      <c r="G44" s="100" t="str">
        <f>CONCATENATE(IF(sizing_w09_chosen="Included",VLOOKUP(CONCATENATE(sizing_w09_vcenter_appliance_size,sizing_w09_vcenter_storage_size),table_vcenter_disk_gb,2,FALSE),0)," GB")</f>
        <v>0 GB</v>
      </c>
      <c r="H44" s="109" t="s">
        <v>230</v>
      </c>
      <c r="I44" s="109" t="s">
        <v>227</v>
      </c>
      <c r="J44" s="459"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60"/>
      <c r="L44" s="102" t="s">
        <v>216</v>
      </c>
      <c r="M44" s="347" t="s">
        <v>227</v>
      </c>
      <c r="N44" s="455"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56"/>
      <c r="P44" s="102" t="s">
        <v>228</v>
      </c>
      <c r="Q44" s="422"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422"/>
      <c r="S44" s="102" t="s">
        <v>216</v>
      </c>
      <c r="T44" s="422"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432"/>
      <c r="V44" s="347" t="s">
        <v>216</v>
      </c>
      <c r="W44" s="337"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41" t="str">
        <f>IF(sizing_w09_chosen="Included",CONCATENATE("vCenter:",VLOOKUP(sizing_w09_vcenter_appliance_size,vcenter_sizing_limits,2,FALSE)," | NSX LM ",VLOOKUP(sizing_w09_nsxt_appliance_size,nsx_sizing_limits,2,FALSE)),"")</f>
        <v/>
      </c>
      <c r="Y44" s="442"/>
      <c r="Z44" s="442"/>
      <c r="AA44" s="442"/>
      <c r="AB44" s="443"/>
    </row>
    <row r="45" spans="2:28" ht="20.100000000000001" customHeight="1" x14ac:dyDescent="0.25">
      <c r="B45" s="331" t="s">
        <v>238</v>
      </c>
      <c r="C45" s="111" t="s">
        <v>216</v>
      </c>
      <c r="D45" s="109" t="s">
        <v>214</v>
      </c>
      <c r="E45" s="100" t="str">
        <f>CONCATENATE(IF(sizing_w10_chosen="Included",VLOOKUP(sizing_w10_vcenter_appliance_size,table_vcenter_appliance_cpu,2,FALSE),0)," CPUs ",": ",IF(sizing_w10_chosen="Included",VLOOKUP(sizing_w10_vcenter_appliance_size,table_vcenter_appliance_ram,2,FALSE),0)," GB")</f>
        <v>0 CPUs : 0 GB</v>
      </c>
      <c r="F45" s="109" t="s">
        <v>215</v>
      </c>
      <c r="G45" s="100" t="str">
        <f>CONCATENATE(IF(sizing_w10_chosen="Included",VLOOKUP(CONCATENATE(sizing_w10_vcenter_appliance_size,sizing_w10_vcenter_storage_size),table_vcenter_disk_gb,2,FALSE),0)," GB")</f>
        <v>0 GB</v>
      </c>
      <c r="H45" s="109" t="s">
        <v>230</v>
      </c>
      <c r="I45" s="109" t="s">
        <v>227</v>
      </c>
      <c r="J45" s="459"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60"/>
      <c r="L45" s="102" t="s">
        <v>216</v>
      </c>
      <c r="M45" s="347" t="s">
        <v>227</v>
      </c>
      <c r="N45" s="455"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56"/>
      <c r="P45" s="102" t="s">
        <v>228</v>
      </c>
      <c r="Q45" s="422"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422"/>
      <c r="S45" s="102" t="s">
        <v>216</v>
      </c>
      <c r="T45" s="422"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432"/>
      <c r="V45" s="347" t="s">
        <v>216</v>
      </c>
      <c r="W45" s="337"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41" t="str">
        <f>IF(sizing_w10_chosen="Included",CONCATENATE("vCenter:",VLOOKUP(sizing_w10_vcenter_appliance_size,vcenter_sizing_limits,2,FALSE)," | NSX LM ",VLOOKUP(sizing_w10_nsxt_appliance_size,nsx_sizing_limits,2,FALSE)),"")</f>
        <v/>
      </c>
      <c r="Y45" s="442"/>
      <c r="Z45" s="442"/>
      <c r="AA45" s="442"/>
      <c r="AB45" s="443"/>
    </row>
    <row r="46" spans="2:28" ht="20.100000000000001" customHeight="1" x14ac:dyDescent="0.25">
      <c r="B46" s="331" t="s">
        <v>239</v>
      </c>
      <c r="C46" s="111" t="s">
        <v>216</v>
      </c>
      <c r="D46" s="109" t="s">
        <v>214</v>
      </c>
      <c r="E46" s="100" t="str">
        <f>CONCATENATE(IF(sizing_w11_chosen="Included",VLOOKUP(sizing_w11_vcenter_appliance_size,table_vcenter_appliance_cpu,2,FALSE),0)," CPUs ",": ",IF(sizing_w11_chosen="Included",VLOOKUP(sizing_w11_vcenter_appliance_size,table_vcenter_appliance_ram,2,FALSE),0)," GB")</f>
        <v>0 CPUs : 0 GB</v>
      </c>
      <c r="F46" s="109" t="s">
        <v>215</v>
      </c>
      <c r="G46" s="100" t="str">
        <f>CONCATENATE(IF(sizing_w11_chosen="Included",VLOOKUP(CONCATENATE(sizing_w11_vcenter_appliance_size,sizing_w11_vcenter_storage_size),table_vcenter_disk_gb,2,FALSE),0)," GB")</f>
        <v>0 GB</v>
      </c>
      <c r="H46" s="109" t="s">
        <v>230</v>
      </c>
      <c r="I46" s="109" t="s">
        <v>227</v>
      </c>
      <c r="J46" s="459"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60"/>
      <c r="L46" s="102" t="s">
        <v>216</v>
      </c>
      <c r="M46" s="347" t="s">
        <v>227</v>
      </c>
      <c r="N46" s="455"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56"/>
      <c r="P46" s="102" t="s">
        <v>228</v>
      </c>
      <c r="Q46" s="422"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422"/>
      <c r="S46" s="102" t="s">
        <v>216</v>
      </c>
      <c r="T46" s="422"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432"/>
      <c r="V46" s="347" t="s">
        <v>216</v>
      </c>
      <c r="W46" s="337"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41" t="str">
        <f>IF(sizing_w11_chosen="Included",CONCATENATE("vCenter:",VLOOKUP(sizing_w11_vcenter_appliance_size,vcenter_sizing_limits,2,FALSE)," | NSX LM ",VLOOKUP(sizing_w01_nsxt_appliance_size,nsx_sizing_limits,2,FALSE)),"")</f>
        <v/>
      </c>
      <c r="Y46" s="442"/>
      <c r="Z46" s="442"/>
      <c r="AA46" s="442"/>
      <c r="AB46" s="443"/>
    </row>
    <row r="47" spans="2:28" ht="20.100000000000001" customHeight="1" x14ac:dyDescent="0.25">
      <c r="B47" s="331" t="s">
        <v>240</v>
      </c>
      <c r="C47" s="111" t="s">
        <v>216</v>
      </c>
      <c r="D47" s="109" t="s">
        <v>214</v>
      </c>
      <c r="E47" s="100" t="str">
        <f>CONCATENATE(IF(sizing_w12_chosen="Included",VLOOKUP(sizing_w12_vcenter_appliance_size,table_vcenter_appliance_cpu,2,FALSE),0)," CPUs ",": ",IF(sizing_w12_chosen="Included",VLOOKUP(sizing_w12_vcenter_appliance_size,table_vcenter_appliance_ram,2,FALSE),0)," GB")</f>
        <v>0 CPUs : 0 GB</v>
      </c>
      <c r="F47" s="109" t="s">
        <v>215</v>
      </c>
      <c r="G47" s="100" t="str">
        <f>CONCATENATE(IF(sizing_w12_chosen="Included",VLOOKUP(CONCATENATE(sizing_w12_vcenter_appliance_size,sizing_w12_vcenter_storage_size),table_vcenter_disk_gb,2,FALSE),0)," GB")</f>
        <v>0 GB</v>
      </c>
      <c r="H47" s="109" t="s">
        <v>230</v>
      </c>
      <c r="I47" s="109" t="s">
        <v>227</v>
      </c>
      <c r="J47" s="459"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60"/>
      <c r="L47" s="102" t="s">
        <v>216</v>
      </c>
      <c r="M47" s="347" t="s">
        <v>227</v>
      </c>
      <c r="N47" s="455"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56"/>
      <c r="P47" s="102" t="s">
        <v>228</v>
      </c>
      <c r="Q47" s="422"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422"/>
      <c r="S47" s="102" t="s">
        <v>216</v>
      </c>
      <c r="T47" s="422"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432"/>
      <c r="V47" s="347" t="s">
        <v>216</v>
      </c>
      <c r="W47" s="337"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41" t="str">
        <f>IF(sizing_w12_chosen="Included",CONCATENATE("vCenter:",VLOOKUP(sizing_w12_vcenter_appliance_size,vcenter_sizing_limits,2,FALSE)," | NSX LM ",VLOOKUP(sizing_w12_nsxt_appliance_size,nsx_sizing_limits,2,FALSE)),"")</f>
        <v/>
      </c>
      <c r="Y47" s="442"/>
      <c r="Z47" s="442"/>
      <c r="AA47" s="442"/>
      <c r="AB47" s="443"/>
    </row>
    <row r="48" spans="2:28" ht="20.100000000000001" customHeight="1" x14ac:dyDescent="0.25">
      <c r="B48" s="331" t="s">
        <v>241</v>
      </c>
      <c r="C48" s="111" t="s">
        <v>216</v>
      </c>
      <c r="D48" s="109" t="s">
        <v>214</v>
      </c>
      <c r="E48" s="100" t="str">
        <f>CONCATENATE(IF(sizing_w13_chosen="Included",VLOOKUP(sizing_w13_vcenter_appliance_size,table_vcenter_appliance_cpu,2,FALSE),0)," CPUs ",": ",IF(sizing_w13_chosen="Included",VLOOKUP(sizing_w13_vcenter_appliance_size,table_vcenter_appliance_ram,2,FALSE),0)," GB")</f>
        <v>0 CPUs : 0 GB</v>
      </c>
      <c r="F48" s="109" t="s">
        <v>215</v>
      </c>
      <c r="G48" s="100" t="str">
        <f>CONCATENATE(IF(sizing_w13_chosen="Included",VLOOKUP(CONCATENATE(sizing_w13_vcenter_appliance_size,sizing_w13_vcenter_storage_size),table_vcenter_disk_gb,2,FALSE),0)," GB")</f>
        <v>0 GB</v>
      </c>
      <c r="H48" s="109" t="s">
        <v>230</v>
      </c>
      <c r="I48" s="109" t="s">
        <v>227</v>
      </c>
      <c r="J48" s="459"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60"/>
      <c r="L48" s="102" t="s">
        <v>216</v>
      </c>
      <c r="M48" s="347" t="s">
        <v>227</v>
      </c>
      <c r="N48" s="455"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56"/>
      <c r="P48" s="102" t="s">
        <v>228</v>
      </c>
      <c r="Q48" s="422"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422"/>
      <c r="S48" s="102" t="s">
        <v>216</v>
      </c>
      <c r="T48" s="422"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432"/>
      <c r="V48" s="347" t="s">
        <v>216</v>
      </c>
      <c r="W48" s="337"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41" t="str">
        <f>IF(sizing_w13_chosen="Included",CONCATENATE("vCenter:",VLOOKUP(sizing_w13_vcenter_appliance_size,vcenter_sizing_limits,2,FALSE)," | NSX LM ",VLOOKUP(sizing_w13_nsxt_appliance_size,nsx_sizing_limits,2,FALSE)),"")</f>
        <v/>
      </c>
      <c r="Y48" s="442"/>
      <c r="Z48" s="442"/>
      <c r="AA48" s="442"/>
      <c r="AB48" s="443"/>
    </row>
    <row r="49" spans="1:28" ht="20.100000000000001" customHeight="1" x14ac:dyDescent="0.25">
      <c r="B49" s="331" t="s">
        <v>242</v>
      </c>
      <c r="C49" s="111" t="s">
        <v>216</v>
      </c>
      <c r="D49" s="109" t="s">
        <v>214</v>
      </c>
      <c r="E49" s="100" t="str">
        <f>CONCATENATE(IF(sizing_w14_chosen="Included",VLOOKUP(sizing_w14_vcenter_appliance_size,table_vcenter_appliance_cpu,2,FALSE),0)," CPUs ",": ",IF(sizing_w14_chosen="Included",VLOOKUP(sizing_w14_vcenter_appliance_size,table_vcenter_appliance_ram,2,FALSE),0)," GB")</f>
        <v>0 CPUs : 0 GB</v>
      </c>
      <c r="F49" s="109" t="s">
        <v>215</v>
      </c>
      <c r="G49" s="100" t="str">
        <f>CONCATENATE(IF(sizing_w14_chosen="Included",VLOOKUP(CONCATENATE(sizing_w14_vcenter_appliance_size,sizing_w14_vcenter_storage_size),table_vcenter_disk_gb,2,FALSE),0)," GB")</f>
        <v>0 GB</v>
      </c>
      <c r="H49" s="109" t="s">
        <v>230</v>
      </c>
      <c r="I49" s="109" t="s">
        <v>227</v>
      </c>
      <c r="J49" s="459"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60"/>
      <c r="L49" s="102" t="s">
        <v>216</v>
      </c>
      <c r="M49" s="347" t="s">
        <v>227</v>
      </c>
      <c r="N49" s="455"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56"/>
      <c r="P49" s="102" t="s">
        <v>228</v>
      </c>
      <c r="Q49" s="422"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422"/>
      <c r="S49" s="102" t="s">
        <v>216</v>
      </c>
      <c r="T49" s="422"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432"/>
      <c r="V49" s="347" t="s">
        <v>216</v>
      </c>
      <c r="W49" s="337"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41" t="str">
        <f>IF(sizing_w14_chosen="Included",CONCATENATE("vCenter:",VLOOKUP(sizing_w14_vcenter_appliance_size,vcenter_sizing_limits,2,FALSE)," | NSX LM ",VLOOKUP(sizing_w14_nsxt_appliance_size,nsx_sizing_limits,2,FALSE)),"")</f>
        <v/>
      </c>
      <c r="Y49" s="442"/>
      <c r="Z49" s="442"/>
      <c r="AA49" s="442"/>
      <c r="AB49" s="443"/>
    </row>
    <row r="50" spans="1:28" ht="20.100000000000001" customHeight="1" x14ac:dyDescent="0.25">
      <c r="B50" s="331" t="s">
        <v>243</v>
      </c>
      <c r="C50" s="111" t="s">
        <v>216</v>
      </c>
      <c r="D50" s="109" t="s">
        <v>214</v>
      </c>
      <c r="E50" s="100" t="str">
        <f>CONCATENATE(IF(sizing_w15_chosen="Included",VLOOKUP(sizing_w15_vcenter_appliance_size,table_vcenter_appliance_cpu,2,FALSE),0)," CPUs ",": ",IF(sizing_w15_chosen="Included",VLOOKUP(sizing_w15_vcenter_appliance_size,table_vcenter_appliance_ram,2,FALSE),0)," GB")</f>
        <v>0 CPUs : 0 GB</v>
      </c>
      <c r="F50" s="109" t="s">
        <v>215</v>
      </c>
      <c r="G50" s="100" t="str">
        <f>CONCATENATE(IF(sizing_w15_chosen="Included",VLOOKUP(CONCATENATE(sizing_w15_vcenter_appliance_size,sizing_w15_vcenter_storage_size),table_vcenter_disk_gb,2,FALSE),0)," GB")</f>
        <v>0 GB</v>
      </c>
      <c r="H50" s="109" t="s">
        <v>230</v>
      </c>
      <c r="I50" s="109" t="s">
        <v>227</v>
      </c>
      <c r="J50" s="459"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60"/>
      <c r="L50" s="102" t="s">
        <v>216</v>
      </c>
      <c r="M50" s="347" t="s">
        <v>227</v>
      </c>
      <c r="N50" s="455"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56"/>
      <c r="P50" s="102" t="s">
        <v>228</v>
      </c>
      <c r="Q50" s="422"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422"/>
      <c r="S50" s="102" t="s">
        <v>216</v>
      </c>
      <c r="T50" s="422"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432"/>
      <c r="V50" s="347" t="s">
        <v>216</v>
      </c>
      <c r="W50" s="337"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41" t="str">
        <f>IF(sizing_w15_chosen="Included",CONCATENATE("vCenter:",VLOOKUP(sizing_w15_vcenter_appliance_size,vcenter_sizing_limits,2,FALSE)," | NSX LM ",VLOOKUP(sizing_w15_nsxt_appliance_size,nsx_sizing_limits,2,FALSE)),"")</f>
        <v/>
      </c>
      <c r="Y50" s="442"/>
      <c r="Z50" s="442"/>
      <c r="AA50" s="442"/>
      <c r="AB50" s="443"/>
    </row>
    <row r="51" spans="1:28" ht="20.100000000000001" customHeight="1" x14ac:dyDescent="0.25">
      <c r="B51" s="331" t="s">
        <v>244</v>
      </c>
      <c r="C51" s="111" t="s">
        <v>216</v>
      </c>
      <c r="D51" s="109" t="s">
        <v>214</v>
      </c>
      <c r="E51" s="100" t="str">
        <f>CONCATENATE(IF(sizing_w16_chosen="Included",VLOOKUP(sizing_w16_vcenter_appliance_size,table_vcenter_appliance_cpu,2,FALSE),0)," CPUs ",": ",IF(sizing_w16_chosen="Included",VLOOKUP(sizing_w16_vcenter_appliance_size,table_vcenter_appliance_ram,2,FALSE),0)," GB")</f>
        <v>0 CPUs : 0 GB</v>
      </c>
      <c r="F51" s="109" t="s">
        <v>215</v>
      </c>
      <c r="G51" s="100" t="str">
        <f>CONCATENATE(IF(sizing_w16_chosen="Included",VLOOKUP(CONCATENATE(sizing_w16_vcenter_appliance_size,sizing_w16_vcenter_storage_size),table_vcenter_disk_gb,2,FALSE),0)," GB")</f>
        <v>0 GB</v>
      </c>
      <c r="H51" s="109" t="s">
        <v>230</v>
      </c>
      <c r="I51" s="109" t="s">
        <v>227</v>
      </c>
      <c r="J51" s="459"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60"/>
      <c r="L51" s="102" t="s">
        <v>216</v>
      </c>
      <c r="M51" s="347" t="s">
        <v>227</v>
      </c>
      <c r="N51" s="455"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56"/>
      <c r="P51" s="102" t="s">
        <v>228</v>
      </c>
      <c r="Q51" s="422"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422"/>
      <c r="S51" s="102" t="s">
        <v>216</v>
      </c>
      <c r="T51" s="422"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432"/>
      <c r="V51" s="347" t="s">
        <v>216</v>
      </c>
      <c r="W51" s="337"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41" t="str">
        <f>IF(sizing_w16_chosen="Included",CONCATENATE("vCenter:",VLOOKUP(sizing_w16_vcenter_appliance_size,vcenter_sizing_limits,2,FALSE)," | NSX LM ",VLOOKUP(sizing_w16_nsxt_appliance_size,nsx_sizing_limits,2,FALSE)),"")</f>
        <v/>
      </c>
      <c r="Y51" s="442"/>
      <c r="Z51" s="442"/>
      <c r="AA51" s="442"/>
      <c r="AB51" s="443"/>
    </row>
    <row r="52" spans="1:28" ht="20.100000000000001" customHeight="1" x14ac:dyDescent="0.25">
      <c r="B52" s="331" t="s">
        <v>245</v>
      </c>
      <c r="C52" s="111" t="s">
        <v>216</v>
      </c>
      <c r="D52" s="109" t="s">
        <v>214</v>
      </c>
      <c r="E52" s="100" t="str">
        <f>CONCATENATE(IF(sizing_w17_chosen="Included",VLOOKUP(sizing_w17_vcenter_appliance_size,table_vcenter_appliance_cpu,2,FALSE),0)," CPUs ",": ",IF(sizing_w17_chosen="Included",VLOOKUP(sizing_w17_vcenter_appliance_size,table_vcenter_appliance_ram,2,FALSE),0)," GB")</f>
        <v>0 CPUs : 0 GB</v>
      </c>
      <c r="F52" s="109" t="s">
        <v>215</v>
      </c>
      <c r="G52" s="100" t="str">
        <f>CONCATENATE(IF(sizing_w17_chosen="Included",VLOOKUP(CONCATENATE(sizing_w17_vcenter_appliance_size,sizing_w17_vcenter_storage_size),table_vcenter_disk_gb,2,FALSE),0)," GB")</f>
        <v>0 GB</v>
      </c>
      <c r="H52" s="109" t="s">
        <v>230</v>
      </c>
      <c r="I52" s="109" t="s">
        <v>227</v>
      </c>
      <c r="J52" s="459"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60"/>
      <c r="L52" s="102" t="s">
        <v>216</v>
      </c>
      <c r="M52" s="347" t="s">
        <v>227</v>
      </c>
      <c r="N52" s="455"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56"/>
      <c r="P52" s="102" t="s">
        <v>228</v>
      </c>
      <c r="Q52" s="422"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422"/>
      <c r="S52" s="102" t="s">
        <v>216</v>
      </c>
      <c r="T52" s="422"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432"/>
      <c r="V52" s="347" t="s">
        <v>216</v>
      </c>
      <c r="W52" s="337"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41" t="str">
        <f>IF(sizing_w17_chosen="Included",CONCATENATE("vCenter:",VLOOKUP(sizing_w17_vcenter_appliance_size,vcenter_sizing_limits,2,FALSE)," | NSX LM ",VLOOKUP(sizing_w17_nsxt_appliance_size,nsx_sizing_limits,2,FALSE)),"")</f>
        <v/>
      </c>
      <c r="Y52" s="442"/>
      <c r="Z52" s="442"/>
      <c r="AA52" s="442"/>
      <c r="AB52" s="443"/>
    </row>
    <row r="53" spans="1:28" ht="20.100000000000001" customHeight="1" x14ac:dyDescent="0.25">
      <c r="B53" s="331" t="s">
        <v>246</v>
      </c>
      <c r="C53" s="111" t="s">
        <v>216</v>
      </c>
      <c r="D53" s="109" t="s">
        <v>214</v>
      </c>
      <c r="E53" s="100" t="str">
        <f>CONCATENATE(IF(sizing_w18_chosen="Included",VLOOKUP(sizing_w18_vcenter_appliance_size,table_vcenter_appliance_cpu,2,FALSE),0)," CPUs ",": ",IF(sizing_w18_chosen="Included",VLOOKUP(sizing_w18_vcenter_appliance_size,table_vcenter_appliance_ram,2,FALSE),0)," GB")</f>
        <v>0 CPUs : 0 GB</v>
      </c>
      <c r="F53" s="109" t="s">
        <v>215</v>
      </c>
      <c r="G53" s="100" t="str">
        <f>CONCATENATE(IF(sizing_w18_chosen="Included",VLOOKUP(CONCATENATE(sizing_w18_vcenter_appliance_size,sizing_w18_vcenter_storage_size),table_vcenter_disk_gb,2,FALSE),0)," GB")</f>
        <v>0 GB</v>
      </c>
      <c r="H53" s="109" t="s">
        <v>230</v>
      </c>
      <c r="I53" s="109" t="s">
        <v>227</v>
      </c>
      <c r="J53" s="459"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60"/>
      <c r="L53" s="102" t="s">
        <v>216</v>
      </c>
      <c r="M53" s="347" t="s">
        <v>227</v>
      </c>
      <c r="N53" s="455"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56"/>
      <c r="P53" s="102" t="s">
        <v>228</v>
      </c>
      <c r="Q53" s="422"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422"/>
      <c r="S53" s="102" t="s">
        <v>216</v>
      </c>
      <c r="T53" s="422"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432"/>
      <c r="V53" s="347" t="s">
        <v>216</v>
      </c>
      <c r="W53" s="337"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41" t="str">
        <f>IF(sizing_w18_chosen="Included",CONCATENATE("vCenter:",VLOOKUP(sizing_w18_vcenter_appliance_size,vcenter_sizing_limits,2,FALSE)," | NSX LM ",VLOOKUP(sizing_w18_nsxt_appliance_size,nsx_sizing_limits,2,FALSE)),"")</f>
        <v/>
      </c>
      <c r="Y53" s="442"/>
      <c r="Z53" s="442"/>
      <c r="AA53" s="442"/>
      <c r="AB53" s="443"/>
    </row>
    <row r="54" spans="1:28" ht="20.100000000000001" customHeight="1" x14ac:dyDescent="0.25">
      <c r="B54" s="331" t="s">
        <v>247</v>
      </c>
      <c r="C54" s="111" t="s">
        <v>216</v>
      </c>
      <c r="D54" s="109" t="s">
        <v>214</v>
      </c>
      <c r="E54" s="100" t="str">
        <f>CONCATENATE(IF(sizing_w19_chosen="Included",VLOOKUP(sizing_w19_vcenter_appliance_size,table_vcenter_appliance_cpu,2,FALSE),0)," CPUs ",": ",IF(sizing_w19_chosen="Included",VLOOKUP(sizing_w19_vcenter_appliance_size,table_vcenter_appliance_ram,2,FALSE),0)," GB")</f>
        <v>0 CPUs : 0 GB</v>
      </c>
      <c r="F54" s="109" t="s">
        <v>215</v>
      </c>
      <c r="G54" s="100" t="str">
        <f>CONCATENATE(IF(sizing_w19_chosen="Included",VLOOKUP(CONCATENATE(sizing_w19_vcenter_appliance_size,sizing_w19_vcenter_storage_size),table_vcenter_disk_gb,2,FALSE),0)," GB")</f>
        <v>0 GB</v>
      </c>
      <c r="H54" s="109" t="s">
        <v>230</v>
      </c>
      <c r="I54" s="109" t="s">
        <v>227</v>
      </c>
      <c r="J54" s="459"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60"/>
      <c r="L54" s="102" t="s">
        <v>216</v>
      </c>
      <c r="M54" s="347" t="s">
        <v>227</v>
      </c>
      <c r="N54" s="455"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56"/>
      <c r="P54" s="102" t="s">
        <v>228</v>
      </c>
      <c r="Q54" s="422"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422"/>
      <c r="S54" s="102" t="s">
        <v>216</v>
      </c>
      <c r="T54" s="422"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432"/>
      <c r="V54" s="347" t="s">
        <v>216</v>
      </c>
      <c r="W54" s="337"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41" t="str">
        <f>IF(sizing_w19_chosen="Included",CONCATENATE("vCenter:",VLOOKUP(sizing_w19_vcenter_appliance_size,vcenter_sizing_limits,2,FALSE)," | NSX LM ",VLOOKUP(sizing_w19_nsxt_appliance_size,nsx_sizing_limits,2,FALSE)),"")</f>
        <v/>
      </c>
      <c r="Y54" s="442"/>
      <c r="Z54" s="442"/>
      <c r="AA54" s="442"/>
      <c r="AB54" s="443"/>
    </row>
    <row r="55" spans="1:28" ht="20.100000000000001" customHeight="1" x14ac:dyDescent="0.25">
      <c r="B55" s="331" t="s">
        <v>248</v>
      </c>
      <c r="C55" s="111" t="s">
        <v>216</v>
      </c>
      <c r="D55" s="109" t="s">
        <v>214</v>
      </c>
      <c r="E55" s="100" t="str">
        <f>CONCATENATE(IF(sizing_w20_chosen="Included",VLOOKUP(sizing_w20_vcenter_appliance_size,table_vcenter_appliance_cpu,2,FALSE),0)," CPUs ",": ",IF(sizing_w20_chosen="Included",VLOOKUP(sizing_w20_vcenter_appliance_size,table_vcenter_appliance_ram,2,FALSE),0)," GB")</f>
        <v>0 CPUs : 0 GB</v>
      </c>
      <c r="F55" s="109" t="s">
        <v>215</v>
      </c>
      <c r="G55" s="100" t="str">
        <f>CONCATENATE(IF(sizing_w20_chosen="Included",VLOOKUP(CONCATENATE(sizing_w20_vcenter_appliance_size,sizing_w20_vcenter_storage_size),table_vcenter_disk_gb,2,FALSE),0)," GB")</f>
        <v>0 GB</v>
      </c>
      <c r="H55" s="109" t="s">
        <v>230</v>
      </c>
      <c r="I55" s="109" t="s">
        <v>227</v>
      </c>
      <c r="J55" s="459"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60"/>
      <c r="L55" s="102" t="s">
        <v>216</v>
      </c>
      <c r="M55" s="347" t="s">
        <v>227</v>
      </c>
      <c r="N55" s="455"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56"/>
      <c r="P55" s="102" t="s">
        <v>228</v>
      </c>
      <c r="Q55" s="422"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422"/>
      <c r="S55" s="102" t="s">
        <v>216</v>
      </c>
      <c r="T55" s="422"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432"/>
      <c r="V55" s="347" t="s">
        <v>216</v>
      </c>
      <c r="W55" s="337"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41" t="str">
        <f>IF(sizing_w20_chosen="Included",CONCATENATE("vCenter:",VLOOKUP(sizing_w20_vcenter_appliance_size,vcenter_sizing_limits,2,FALSE)," | NSX LM ",VLOOKUP(sizing_w20_nsxt_appliance_size,nsx_sizing_limits,2,FALSE)),"")</f>
        <v/>
      </c>
      <c r="Y55" s="442"/>
      <c r="Z55" s="442"/>
      <c r="AA55" s="442"/>
      <c r="AB55" s="443"/>
    </row>
    <row r="56" spans="1:28" ht="20.100000000000001" customHeight="1" x14ac:dyDescent="0.25">
      <c r="B56" s="331" t="s">
        <v>249</v>
      </c>
      <c r="C56" s="111" t="s">
        <v>216</v>
      </c>
      <c r="D56" s="109" t="s">
        <v>214</v>
      </c>
      <c r="E56" s="100" t="str">
        <f>CONCATENATE(IF(sizing_w21_chosen="Included",VLOOKUP(sizing_w21_vcenter_appliance_size,table_vcenter_appliance_cpu,2,FALSE),0)," CPUs ",": ",IF(sizing_w21_chosen="Included",VLOOKUP(sizing_w21_vcenter_appliance_size,table_vcenter_appliance_ram,2,FALSE),0)," GB")</f>
        <v>0 CPUs : 0 GB</v>
      </c>
      <c r="F56" s="109" t="s">
        <v>215</v>
      </c>
      <c r="G56" s="100" t="str">
        <f>CONCATENATE(IF(sizing_w21_chosen="Included",VLOOKUP(CONCATENATE(sizing_w21_vcenter_appliance_size,sizing_w21_vcenter_storage_size),table_vcenter_disk_gb,2,FALSE),0)," GB")</f>
        <v>0 GB</v>
      </c>
      <c r="H56" s="109" t="s">
        <v>230</v>
      </c>
      <c r="I56" s="109" t="s">
        <v>227</v>
      </c>
      <c r="J56" s="459"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60"/>
      <c r="L56" s="102" t="s">
        <v>216</v>
      </c>
      <c r="M56" s="347" t="s">
        <v>227</v>
      </c>
      <c r="N56" s="455"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56"/>
      <c r="P56" s="102" t="s">
        <v>228</v>
      </c>
      <c r="Q56" s="422"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422"/>
      <c r="S56" s="102" t="s">
        <v>216</v>
      </c>
      <c r="T56" s="422"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432"/>
      <c r="V56" s="347" t="s">
        <v>216</v>
      </c>
      <c r="W56" s="337"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41" t="str">
        <f>IF(sizing_w21_chosen="Included",CONCATENATE("vCenter:",VLOOKUP(sizing_w21_vcenter_appliance_size,vcenter_sizing_limits,2,FALSE)," | NSX LM ",VLOOKUP(sizing_w21_nsxt_appliance_size,nsx_sizing_limits,2,FALSE)),"")</f>
        <v/>
      </c>
      <c r="Y56" s="442"/>
      <c r="Z56" s="442"/>
      <c r="AA56" s="442"/>
      <c r="AB56" s="443"/>
    </row>
    <row r="57" spans="1:28" ht="20.100000000000001" customHeight="1" x14ac:dyDescent="0.25">
      <c r="B57" s="331" t="s">
        <v>250</v>
      </c>
      <c r="C57" s="111" t="s">
        <v>216</v>
      </c>
      <c r="D57" s="109" t="s">
        <v>214</v>
      </c>
      <c r="E57" s="100" t="str">
        <f>CONCATENATE(IF(sizing_w22_chosen="Included",VLOOKUP(sizing_w22_vcenter_appliance_size,table_vcenter_appliance_cpu,2,FALSE),0)," CPUs ",": ",IF(sizing_w22_chosen="Included",VLOOKUP(sizing_w22_vcenter_appliance_size,table_vcenter_appliance_ram,2,FALSE),0)," GB")</f>
        <v>0 CPUs : 0 GB</v>
      </c>
      <c r="F57" s="109" t="s">
        <v>215</v>
      </c>
      <c r="G57" s="100" t="str">
        <f>CONCATENATE(IF(sizing_w22_chosen="Included",VLOOKUP(CONCATENATE(sizing_w22_vcenter_appliance_size,sizing_w22_vcenter_storage_size),table_vcenter_disk_gb,2,FALSE),0)," GB")</f>
        <v>0 GB</v>
      </c>
      <c r="H57" s="109" t="s">
        <v>230</v>
      </c>
      <c r="I57" s="109" t="s">
        <v>227</v>
      </c>
      <c r="J57" s="459"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60"/>
      <c r="L57" s="102" t="s">
        <v>216</v>
      </c>
      <c r="M57" s="347" t="s">
        <v>227</v>
      </c>
      <c r="N57" s="455"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56"/>
      <c r="P57" s="102" t="s">
        <v>228</v>
      </c>
      <c r="Q57" s="422"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422"/>
      <c r="S57" s="102" t="s">
        <v>216</v>
      </c>
      <c r="T57" s="422"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432"/>
      <c r="V57" s="347" t="s">
        <v>216</v>
      </c>
      <c r="W57" s="337"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41" t="str">
        <f>IF(sizing_w22_chosen="Included",CONCATENATE("vCenter:",VLOOKUP(sizing_w22_vcenter_appliance_size,vcenter_sizing_limits,2,FALSE)," | NSX LM ",VLOOKUP(sizing_w22_nsxt_appliance_size,nsx_sizing_limits,2,FALSE)),"")</f>
        <v/>
      </c>
      <c r="Y57" s="442"/>
      <c r="Z57" s="442"/>
      <c r="AA57" s="442"/>
      <c r="AB57" s="443"/>
    </row>
    <row r="58" spans="1:28" ht="20.100000000000001" customHeight="1" x14ac:dyDescent="0.25">
      <c r="B58" s="331" t="s">
        <v>251</v>
      </c>
      <c r="C58" s="111" t="s">
        <v>216</v>
      </c>
      <c r="D58" s="109" t="s">
        <v>214</v>
      </c>
      <c r="E58" s="100" t="str">
        <f>CONCATENATE(IF(sizing_w23_chosen="Included",VLOOKUP(sizing_w23_vcenter_appliance_size,table_vcenter_appliance_cpu,2,FALSE),0)," CPUs ",": ",IF(sizing_w23_chosen="Included",VLOOKUP(sizing_w23_vcenter_appliance_size,table_vcenter_appliance_ram,2,FALSE),0)," GB")</f>
        <v>0 CPUs : 0 GB</v>
      </c>
      <c r="F58" s="109" t="s">
        <v>215</v>
      </c>
      <c r="G58" s="100" t="str">
        <f>CONCATENATE(IF(sizing_w23_chosen="Included",VLOOKUP(CONCATENATE(sizing_w23_vcenter_appliance_size,sizing_w23_vcenter_storage_size),table_vcenter_disk_gb,2,FALSE),0)," GB")</f>
        <v>0 GB</v>
      </c>
      <c r="H58" s="109" t="s">
        <v>230</v>
      </c>
      <c r="I58" s="109" t="s">
        <v>227</v>
      </c>
      <c r="J58" s="459"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60"/>
      <c r="L58" s="102" t="s">
        <v>216</v>
      </c>
      <c r="M58" s="347" t="s">
        <v>227</v>
      </c>
      <c r="N58" s="455"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56"/>
      <c r="P58" s="102" t="s">
        <v>228</v>
      </c>
      <c r="Q58" s="422"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422"/>
      <c r="S58" s="102" t="s">
        <v>216</v>
      </c>
      <c r="T58" s="422"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432"/>
      <c r="V58" s="347" t="s">
        <v>216</v>
      </c>
      <c r="W58" s="337"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41" t="str">
        <f>IF(sizing_w23_chosen="Included",CONCATENATE("vCenter:",VLOOKUP(sizing_w23_vcenter_appliance_size,vcenter_sizing_limits,2,FALSE)," | NSX LM ",VLOOKUP(sizing_w23_nsxt_appliance_size,nsx_sizing_limits,2,FALSE)),"")</f>
        <v/>
      </c>
      <c r="Y58" s="442"/>
      <c r="Z58" s="442"/>
      <c r="AA58" s="442"/>
      <c r="AB58" s="443"/>
    </row>
    <row r="59" spans="1:28" ht="20.100000000000001" customHeight="1" x14ac:dyDescent="0.25">
      <c r="B59" s="331" t="s">
        <v>252</v>
      </c>
      <c r="C59" s="111" t="s">
        <v>216</v>
      </c>
      <c r="D59" s="109" t="s">
        <v>214</v>
      </c>
      <c r="E59" s="100" t="str">
        <f>CONCATENATE(IF(sizing_w24_chosen="Included",VLOOKUP(sizing_w24_vcenter_appliance_size,table_vcenter_appliance_cpu,2,FALSE),0)," CPUs ",": ",IF(sizing_w24_chosen="Included",VLOOKUP(sizing_w24_vcenter_appliance_size,table_vcenter_appliance_ram,2,FALSE),0)," GB")</f>
        <v>0 CPUs : 0 GB</v>
      </c>
      <c r="F59" s="109" t="s">
        <v>215</v>
      </c>
      <c r="G59" s="100" t="str">
        <f>CONCATENATE(IF(sizing_w24_chosen="Included",VLOOKUP(CONCATENATE(sizing_w24_vcenter_appliance_size,sizing_w24_vcenter_storage_size),table_vcenter_disk_gb,2,FALSE),0)," GB")</f>
        <v>0 GB</v>
      </c>
      <c r="H59" s="109" t="s">
        <v>230</v>
      </c>
      <c r="I59" s="109" t="s">
        <v>227</v>
      </c>
      <c r="J59" s="459"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60"/>
      <c r="L59" s="102" t="s">
        <v>216</v>
      </c>
      <c r="M59" s="347" t="s">
        <v>227</v>
      </c>
      <c r="N59" s="455"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56"/>
      <c r="P59" s="102" t="s">
        <v>228</v>
      </c>
      <c r="Q59" s="422"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422"/>
      <c r="S59" s="102" t="s">
        <v>216</v>
      </c>
      <c r="T59" s="422"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432"/>
      <c r="V59" s="347" t="s">
        <v>216</v>
      </c>
      <c r="W59" s="337"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41" t="str">
        <f>IF(sizing_w24_chosen="Included",CONCATENATE("vCenter:",VLOOKUP(sizing_w24_vcenter_appliance_size,vcenter_sizing_limits,2,FALSE)," | NSX LM ",VLOOKUP(sizing_w24_nsxt_appliance_size,nsx_sizing_limits,2,FALSE)),"")</f>
        <v/>
      </c>
      <c r="Y59" s="442"/>
      <c r="Z59" s="442"/>
      <c r="AA59" s="442"/>
      <c r="AB59" s="443"/>
    </row>
    <row r="60" spans="1:28" ht="20.100000000000001" customHeight="1" x14ac:dyDescent="0.25"/>
    <row r="61" spans="1:28" ht="33.950000000000003" customHeight="1" x14ac:dyDescent="0.25">
      <c r="A61" s="7"/>
      <c r="B61" s="462" t="s">
        <v>253</v>
      </c>
      <c r="C61" s="457"/>
      <c r="D61" s="457"/>
      <c r="E61" s="457"/>
      <c r="F61" s="457"/>
      <c r="G61" s="457"/>
      <c r="H61" s="457"/>
      <c r="I61" s="457"/>
      <c r="J61" s="457"/>
      <c r="K61" s="457"/>
      <c r="L61" s="457"/>
      <c r="M61" s="457"/>
      <c r="N61" s="457"/>
      <c r="O61" s="457"/>
      <c r="P61" s="457"/>
      <c r="Q61" s="457"/>
      <c r="R61" s="500"/>
      <c r="S61" s="7"/>
      <c r="T61" s="7"/>
      <c r="U61" s="7"/>
      <c r="V61" s="7"/>
      <c r="W61" s="7"/>
      <c r="X61" s="7"/>
      <c r="Y61" s="7"/>
      <c r="Z61" s="7"/>
      <c r="AA61" s="7"/>
    </row>
    <row r="62" spans="1:28" ht="20.100000000000001" customHeight="1" x14ac:dyDescent="0.25">
      <c r="A62" s="7"/>
      <c r="B62" s="444" t="s">
        <v>124</v>
      </c>
      <c r="C62" s="444"/>
      <c r="D62" s="444"/>
      <c r="E62" s="451" t="s">
        <v>38</v>
      </c>
      <c r="F62" s="452"/>
      <c r="G62" s="452"/>
      <c r="H62" s="453"/>
      <c r="I62" s="346" t="s">
        <v>125</v>
      </c>
      <c r="J62" s="451" t="s">
        <v>126</v>
      </c>
      <c r="K62" s="452"/>
      <c r="L62" s="452"/>
      <c r="M62" s="452"/>
      <c r="N62" s="452"/>
      <c r="O62" s="452"/>
      <c r="P62" s="452"/>
      <c r="Q62" s="452"/>
      <c r="R62" s="453"/>
      <c r="S62" s="7"/>
      <c r="T62" s="7"/>
      <c r="U62" s="7"/>
      <c r="W62" s="7"/>
      <c r="X62" s="7"/>
      <c r="Y62" s="7"/>
      <c r="Z62" s="7"/>
      <c r="AA62" s="7"/>
    </row>
    <row r="63" spans="1:28" ht="20.100000000000001" customHeight="1" x14ac:dyDescent="0.25">
      <c r="A63" s="7"/>
      <c r="B63" s="481" t="s">
        <v>228</v>
      </c>
      <c r="C63" s="481"/>
      <c r="D63" s="481"/>
      <c r="E63" s="495" t="s">
        <v>254</v>
      </c>
      <c r="F63" s="496"/>
      <c r="G63" s="496"/>
      <c r="H63" s="497"/>
      <c r="I63" s="112" t="str">
        <f>IF(spr_chosen="Management &amp; VI Workload","Included",IF(spr_chosen="Management Only","Included",IF(spr_chosen="VI Workload Only","Included","Excluded")))</f>
        <v>Excluded</v>
      </c>
      <c r="J63" s="482"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83"/>
      <c r="L63" s="483"/>
      <c r="M63" s="483"/>
      <c r="N63" s="483"/>
      <c r="O63" s="483"/>
      <c r="P63" s="483"/>
      <c r="Q63" s="483"/>
      <c r="R63" s="484"/>
      <c r="S63" s="7"/>
      <c r="T63" s="7"/>
      <c r="U63" s="7"/>
      <c r="V63" s="7"/>
      <c r="W63" s="7"/>
      <c r="X63" s="7"/>
      <c r="Y63" s="7"/>
    </row>
    <row r="64" spans="1:28" ht="20.100000000000001" customHeight="1" x14ac:dyDescent="0.25">
      <c r="A64" s="7"/>
      <c r="B64" s="488" t="s">
        <v>228</v>
      </c>
      <c r="C64" s="489"/>
      <c r="D64" s="490"/>
      <c r="E64" s="492" t="s">
        <v>255</v>
      </c>
      <c r="F64" s="493"/>
      <c r="G64" s="493"/>
      <c r="H64" s="494"/>
      <c r="I64" s="112" t="str">
        <f>IF(rwr_chosen="Exclude","Excluded","Included")</f>
        <v>Excluded</v>
      </c>
      <c r="J64" s="482" t="str">
        <f>IF(rwr_chosen="Exclude","Cause: Not Selected. On Premise Ransomware Recovery will not be deployed","On Premise Ransomware Recovery will be deployed")</f>
        <v>Cause: Not Selected. On Premise Ransomware Recovery will not be deployed</v>
      </c>
      <c r="K64" s="483"/>
      <c r="L64" s="483"/>
      <c r="M64" s="483"/>
      <c r="N64" s="483"/>
      <c r="O64" s="483"/>
      <c r="P64" s="483"/>
      <c r="Q64" s="483"/>
      <c r="R64" s="484"/>
      <c r="S64" s="7"/>
      <c r="T64" s="7"/>
      <c r="U64" s="7"/>
      <c r="V64" s="7"/>
      <c r="W64" s="7"/>
      <c r="X64" s="7"/>
      <c r="Y64" s="7"/>
    </row>
    <row r="65" spans="1:25" ht="20.100000000000001" customHeight="1" x14ac:dyDescent="0.25">
      <c r="A65" s="7"/>
      <c r="B65" s="491" t="s">
        <v>228</v>
      </c>
      <c r="C65" s="491"/>
      <c r="D65" s="491"/>
      <c r="E65" s="478" t="s">
        <v>256</v>
      </c>
      <c r="F65" s="479"/>
      <c r="G65" s="479"/>
      <c r="H65" s="480"/>
      <c r="I65" s="337" t="str">
        <f>IF(cbr_chosen="Exclude","Excluded","Included")</f>
        <v>Excluded</v>
      </c>
      <c r="J65" s="441" t="str">
        <f>IF(cbr_chosen="Exclude","Cause: Not Selected. Cloud-Based Ransomware Recovery will not be deployed","Cloud-Based Ransomware Recovery will be deployed")</f>
        <v>Cause: Not Selected. Cloud-Based Ransomware Recovery will not be deployed</v>
      </c>
      <c r="K65" s="442"/>
      <c r="L65" s="442"/>
      <c r="M65" s="442"/>
      <c r="N65" s="442"/>
      <c r="O65" s="442"/>
      <c r="P65" s="442"/>
      <c r="Q65" s="442"/>
      <c r="R65" s="443"/>
      <c r="S65" s="7"/>
      <c r="T65" s="7"/>
      <c r="U65" s="7"/>
      <c r="V65" s="7"/>
      <c r="W65" s="7"/>
      <c r="X65" s="7"/>
      <c r="Y65" s="7"/>
    </row>
    <row r="66" spans="1:25" ht="20.100000000000001" customHeight="1" x14ac:dyDescent="0.25">
      <c r="A66" s="7"/>
      <c r="B66" s="491" t="s">
        <v>228</v>
      </c>
      <c r="C66" s="491"/>
      <c r="D66" s="491"/>
      <c r="E66" s="478" t="s">
        <v>257</v>
      </c>
      <c r="F66" s="479"/>
      <c r="G66" s="479"/>
      <c r="H66" s="480"/>
      <c r="I66" s="337" t="str">
        <f>IF(ccm_chosen="Exclude","Excluded","Included")</f>
        <v>Excluded</v>
      </c>
      <c r="J66" s="441" t="str">
        <f>IF(ccm_chosen="Exclude","Cause: Not Selected. Cross-Cloud Mobility will not be deployed","Cross-Cloud Mobility will be deployed")</f>
        <v>Cause: Not Selected. Cross-Cloud Mobility will not be deployed</v>
      </c>
      <c r="K66" s="442"/>
      <c r="L66" s="442"/>
      <c r="M66" s="442"/>
      <c r="N66" s="442"/>
      <c r="O66" s="442"/>
      <c r="P66" s="442"/>
      <c r="Q66" s="442"/>
      <c r="R66" s="443"/>
      <c r="S66" s="7"/>
      <c r="T66" s="7"/>
      <c r="U66" s="7"/>
      <c r="V66" s="7"/>
      <c r="W66" s="7"/>
      <c r="X66" s="7"/>
      <c r="Y66" s="7"/>
    </row>
    <row r="67" spans="1:25" ht="20.100000000000001" customHeight="1" x14ac:dyDescent="0.25"/>
    <row r="68" spans="1:25" ht="33.950000000000003" customHeight="1" x14ac:dyDescent="0.25">
      <c r="B68" s="335" t="s">
        <v>258</v>
      </c>
      <c r="C68" s="335"/>
      <c r="D68" s="335"/>
      <c r="E68" s="335"/>
      <c r="F68" s="335"/>
      <c r="G68" s="335"/>
      <c r="H68" s="335"/>
      <c r="I68" s="335"/>
      <c r="J68" s="335"/>
      <c r="K68" s="335"/>
      <c r="L68" s="335"/>
      <c r="M68" s="335"/>
      <c r="N68" s="335"/>
      <c r="O68" s="335"/>
      <c r="P68" s="335"/>
      <c r="Q68" s="335"/>
      <c r="R68" s="335"/>
    </row>
    <row r="69" spans="1:25" ht="20.100000000000001" customHeight="1" x14ac:dyDescent="0.25">
      <c r="B69" s="451" t="s">
        <v>259</v>
      </c>
      <c r="C69" s="452"/>
      <c r="D69" s="452"/>
      <c r="E69" s="453"/>
      <c r="F69" s="97" t="s">
        <v>138</v>
      </c>
      <c r="G69" s="359" t="s">
        <v>139</v>
      </c>
      <c r="H69" s="359" t="s">
        <v>140</v>
      </c>
      <c r="I69" s="359" t="s">
        <v>260</v>
      </c>
      <c r="J69" s="359" t="s">
        <v>261</v>
      </c>
      <c r="K69" s="499" t="s">
        <v>5</v>
      </c>
      <c r="L69" s="449"/>
      <c r="M69" s="449"/>
      <c r="N69" s="449"/>
      <c r="O69" s="449"/>
      <c r="P69" s="449"/>
      <c r="Q69" s="449"/>
      <c r="R69" s="450"/>
    </row>
    <row r="70" spans="1:25" ht="20.100000000000001" customHeight="1" x14ac:dyDescent="0.25">
      <c r="B70" s="414" t="s">
        <v>254</v>
      </c>
      <c r="C70" s="415"/>
      <c r="D70" s="415"/>
      <c r="E70" s="415"/>
      <c r="F70" s="415"/>
      <c r="G70" s="415"/>
      <c r="H70" s="415"/>
      <c r="I70" s="415"/>
      <c r="J70" s="415"/>
      <c r="K70" s="415"/>
      <c r="L70" s="415"/>
      <c r="M70" s="415"/>
      <c r="N70" s="415"/>
      <c r="O70" s="415"/>
      <c r="P70" s="415"/>
      <c r="Q70" s="415"/>
      <c r="R70" s="416"/>
    </row>
    <row r="71" spans="1:25" ht="20.100000000000001" customHeight="1" x14ac:dyDescent="0.25">
      <c r="B71" s="441" t="s">
        <v>262</v>
      </c>
      <c r="C71" s="442"/>
      <c r="D71" s="442"/>
      <c r="E71" s="443"/>
      <c r="F71" s="337"/>
      <c r="G71" s="331">
        <f>IF(OR(spr_mo_result="True",spr_mw_result="True"),1,0)</f>
        <v>0</v>
      </c>
      <c r="H71" s="331">
        <f>IF(OR(spr_mo_result="True",spr_mw_result="True"),VLOOKUP(input_mgmt_srm_vm_size,table_srm_cpu,2,FALSE),0)</f>
        <v>0</v>
      </c>
      <c r="I71" s="331">
        <f>IF(OR(spr_mo_result="True",spr_mw_result="True"),VLOOKUP(input_mgmt_srm_vm_size,table_srm_ram,2,FALSE),0)</f>
        <v>0</v>
      </c>
      <c r="J71" s="331">
        <f>IF(OR(spr_mo_result="True",spr_mw_result="True"),VLOOKUP(input_mgmt_srm_vm_size,table_srm_disk,2,FALSE),0)</f>
        <v>0</v>
      </c>
      <c r="K71" s="432" t="s">
        <v>263</v>
      </c>
      <c r="L71" s="498"/>
      <c r="M71" s="498"/>
      <c r="N71" s="498"/>
      <c r="O71" s="498"/>
      <c r="P71" s="498"/>
      <c r="Q71" s="498"/>
      <c r="R71" s="433"/>
    </row>
    <row r="72" spans="1:25" ht="20.100000000000001" customHeight="1" x14ac:dyDescent="0.25">
      <c r="B72" s="423" t="s">
        <v>264</v>
      </c>
      <c r="C72" s="423"/>
      <c r="D72" s="423"/>
      <c r="E72" s="423"/>
      <c r="F72" s="337"/>
      <c r="G72" s="331">
        <f>COUNTIF(P36:P59,"Include")</f>
        <v>0</v>
      </c>
      <c r="H72" s="331">
        <f>IF(OR(spr_wo_result="True",spr_mw_result="True"),VLOOKUP(input_wld_srm_vm_size,table_srm_cpu,2,FALSE),0)</f>
        <v>0</v>
      </c>
      <c r="I72" s="331">
        <f>IF(OR(spr_wo_result="True",spr_mw_result="True"),VLOOKUP(input_wld_srm_vm_size,table_srm_ram,2,FALSE),0)</f>
        <v>0</v>
      </c>
      <c r="J72" s="331">
        <f>IF(OR(spr_wo_result="True",spr_mw_result="True"),VLOOKUP(input_wld_srm_vm_size,table_srm_disk,2,FALSE),0)</f>
        <v>0</v>
      </c>
      <c r="K72" s="432"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98"/>
      <c r="M72" s="498"/>
      <c r="N72" s="498"/>
      <c r="O72" s="498"/>
      <c r="P72" s="498"/>
      <c r="Q72" s="498"/>
      <c r="R72" s="433"/>
    </row>
    <row r="73" spans="1:25" ht="20.100000000000001" customHeight="1" x14ac:dyDescent="0.25">
      <c r="B73" s="475" t="s">
        <v>265</v>
      </c>
      <c r="C73" s="476"/>
      <c r="D73" s="476"/>
      <c r="E73" s="476"/>
      <c r="F73" s="476"/>
      <c r="G73" s="476"/>
      <c r="H73" s="476"/>
      <c r="I73" s="476"/>
      <c r="J73" s="476"/>
      <c r="K73" s="476"/>
      <c r="L73" s="476"/>
      <c r="M73" s="476"/>
      <c r="N73" s="476"/>
      <c r="O73" s="476"/>
      <c r="P73" s="476"/>
      <c r="Q73" s="476"/>
      <c r="R73" s="477"/>
    </row>
    <row r="74" spans="1:25" ht="20.100000000000001" customHeight="1" x14ac:dyDescent="0.25">
      <c r="B74" s="441" t="s">
        <v>266</v>
      </c>
      <c r="C74" s="442"/>
      <c r="D74" s="442"/>
      <c r="E74" s="442"/>
      <c r="F74" s="337" t="s">
        <v>267</v>
      </c>
      <c r="G74" s="331">
        <f>IF(rwr_result="Excluded",0,1)</f>
        <v>0</v>
      </c>
      <c r="H74" s="331">
        <f>IF(rwr_result="Excluded",0,8)</f>
        <v>0</v>
      </c>
      <c r="I74" s="331">
        <f>IF(rwr_result="Excluded",0,24)</f>
        <v>0</v>
      </c>
      <c r="J74" s="331">
        <f>IF(rwr_result="Excluded",0,800)</f>
        <v>0</v>
      </c>
      <c r="K74" s="432" t="s">
        <v>263</v>
      </c>
      <c r="L74" s="498"/>
      <c r="M74" s="498"/>
      <c r="N74" s="498"/>
      <c r="O74" s="498"/>
      <c r="P74" s="498"/>
      <c r="Q74" s="498"/>
      <c r="R74" s="433"/>
    </row>
    <row r="75" spans="1:25" ht="20.100000000000001" customHeight="1" x14ac:dyDescent="0.25">
      <c r="B75" s="475" t="s">
        <v>268</v>
      </c>
      <c r="C75" s="476"/>
      <c r="D75" s="476"/>
      <c r="E75" s="476"/>
      <c r="F75" s="476"/>
      <c r="G75" s="476"/>
      <c r="H75" s="476"/>
      <c r="I75" s="476"/>
      <c r="J75" s="476"/>
      <c r="K75" s="476"/>
      <c r="L75" s="476"/>
      <c r="M75" s="476"/>
      <c r="N75" s="476"/>
      <c r="O75" s="476"/>
      <c r="P75" s="476"/>
      <c r="Q75" s="476"/>
      <c r="R75" s="477"/>
    </row>
    <row r="76" spans="1:25" ht="20.100000000000001" customHeight="1" x14ac:dyDescent="0.25">
      <c r="B76" s="423" t="s">
        <v>269</v>
      </c>
      <c r="C76" s="423"/>
      <c r="D76" s="423"/>
      <c r="E76" s="423"/>
      <c r="F76" s="197" t="s">
        <v>267</v>
      </c>
      <c r="G76" s="337">
        <f>IF(cbr_result="Excluded",0,2)</f>
        <v>0</v>
      </c>
      <c r="H76" s="337">
        <f>IF(cbr_result="Excluded",0,sizing_cbr_cpu)</f>
        <v>0</v>
      </c>
      <c r="I76" s="331">
        <f>IF(cbr_result="Excluded",0,sizing_cbr_ram)</f>
        <v>0</v>
      </c>
      <c r="J76" s="331">
        <f>IF(cbr_result="Excluded",0,sizing_cbr_disk)</f>
        <v>0</v>
      </c>
      <c r="K76" s="485" t="s">
        <v>263</v>
      </c>
      <c r="L76" s="486"/>
      <c r="M76" s="486"/>
      <c r="N76" s="486"/>
      <c r="O76" s="486"/>
      <c r="P76" s="486"/>
      <c r="Q76" s="486"/>
      <c r="R76" s="487"/>
    </row>
    <row r="77" spans="1:25" ht="20.100000000000001" customHeight="1" x14ac:dyDescent="0.25">
      <c r="B77" s="475" t="s">
        <v>270</v>
      </c>
      <c r="C77" s="476"/>
      <c r="D77" s="476"/>
      <c r="E77" s="476"/>
      <c r="F77" s="476"/>
      <c r="G77" s="476"/>
      <c r="H77" s="476"/>
      <c r="I77" s="476"/>
      <c r="J77" s="476"/>
      <c r="K77" s="476"/>
      <c r="L77" s="476"/>
      <c r="M77" s="476"/>
      <c r="N77" s="476"/>
      <c r="O77" s="476"/>
      <c r="P77" s="476"/>
      <c r="Q77" s="476"/>
      <c r="R77" s="477"/>
    </row>
    <row r="78" spans="1:25" ht="20.100000000000001" customHeight="1" x14ac:dyDescent="0.25">
      <c r="B78" s="423" t="s">
        <v>271</v>
      </c>
      <c r="C78" s="423"/>
      <c r="D78" s="423"/>
      <c r="E78" s="423"/>
      <c r="F78" s="197" t="s">
        <v>267</v>
      </c>
      <c r="G78" s="337">
        <f>IF(ccm_result="Excluded",0,1)</f>
        <v>0</v>
      </c>
      <c r="H78" s="337">
        <f>IF(ccm_result="Excluded",0,sizing_ccm_hcx_cpu)</f>
        <v>0</v>
      </c>
      <c r="I78" s="331">
        <f>IF(ccm_result="Excluded",0,sizing_ccm_hcx_ram)</f>
        <v>0</v>
      </c>
      <c r="J78" s="331">
        <f>IF(ccm_result="Excluded",0,sizing_ccm_hcx_disk)</f>
        <v>0</v>
      </c>
      <c r="K78" s="485" t="s">
        <v>263</v>
      </c>
      <c r="L78" s="486"/>
      <c r="M78" s="486"/>
      <c r="N78" s="486"/>
      <c r="O78" s="486"/>
      <c r="P78" s="486"/>
      <c r="Q78" s="486"/>
      <c r="R78" s="487"/>
    </row>
    <row r="79" spans="1:25" ht="20.100000000000001" customHeight="1" x14ac:dyDescent="0.25">
      <c r="E79" s="471" t="s">
        <v>200</v>
      </c>
      <c r="F79" s="472"/>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100000000000001" customHeight="1" x14ac:dyDescent="0.25"/>
    <row r="81" spans="3:11" ht="20.100000000000001" customHeight="1" x14ac:dyDescent="0.25"/>
    <row r="82" spans="3:11" ht="20.100000000000001" customHeight="1" x14ac:dyDescent="0.25">
      <c r="H82" s="2"/>
      <c r="J82" s="3"/>
      <c r="K82" s="3"/>
    </row>
    <row r="83" spans="3:11" ht="20.100000000000001" customHeight="1" x14ac:dyDescent="0.25">
      <c r="H83" s="2"/>
      <c r="J83" s="3"/>
      <c r="K83" s="3"/>
    </row>
    <row r="84" spans="3:11" ht="20.100000000000001" customHeight="1" x14ac:dyDescent="0.25">
      <c r="H84" s="2"/>
      <c r="J84" s="3"/>
      <c r="K84" s="3"/>
    </row>
    <row r="85" spans="3:11" x14ac:dyDescent="0.25">
      <c r="H85" s="2"/>
      <c r="J85" s="3"/>
      <c r="K85" s="3"/>
    </row>
    <row r="86" spans="3:11" x14ac:dyDescent="0.25">
      <c r="H86" s="2"/>
      <c r="J86" s="3"/>
      <c r="K86" s="3"/>
    </row>
    <row r="87" spans="3:11" x14ac:dyDescent="0.25">
      <c r="C87" s="1"/>
    </row>
    <row r="97" spans="22:22" ht="15.75" x14ac:dyDescent="0.25">
      <c r="V97" s="23"/>
    </row>
    <row r="98" spans="22:22" ht="15.75" x14ac:dyDescent="0.25">
      <c r="V98" s="23"/>
    </row>
    <row r="99" spans="22:22" ht="15.75" x14ac:dyDescent="0.25">
      <c r="V99" s="23"/>
    </row>
    <row r="100" spans="22:22" ht="15.75" x14ac:dyDescent="0.25">
      <c r="V100" s="23"/>
    </row>
    <row r="101" spans="22:22" ht="15.75" x14ac:dyDescent="0.25">
      <c r="V101" s="23"/>
    </row>
    <row r="102" spans="22:22" ht="15.75" x14ac:dyDescent="0.25">
      <c r="V102" s="23"/>
    </row>
  </sheetData>
  <sheetProtection algorithmName="SHA-512" hashValue="5z4g7YEimcWYGrhWaGRMP7C3oJXLg/IvzdqLBqFC06BTyE7xaEXm8b2svXRyBwbjk5aROFHENxxMkR3yV+yuxA==" saltValue="c/CqFmHu8KbUHdmu3ZS0rw==" spinCount="100000" sheet="1" selectLockedCells="1"/>
  <dataConsolidate/>
  <mergeCells count="234">
    <mergeCell ref="B61:R61"/>
    <mergeCell ref="Q56:R56"/>
    <mergeCell ref="X52:AB52"/>
    <mergeCell ref="T51:U51"/>
    <mergeCell ref="X44:AB44"/>
    <mergeCell ref="X45:AB45"/>
    <mergeCell ref="X46:AB46"/>
    <mergeCell ref="X47:AB47"/>
    <mergeCell ref="X49:AB49"/>
    <mergeCell ref="X50:AB50"/>
    <mergeCell ref="X51:AB51"/>
    <mergeCell ref="X48:AB48"/>
    <mergeCell ref="T50:U50"/>
    <mergeCell ref="T44:U44"/>
    <mergeCell ref="J57:K57"/>
    <mergeCell ref="N48:O48"/>
    <mergeCell ref="N49:O49"/>
    <mergeCell ref="J47:K47"/>
    <mergeCell ref="J48:K48"/>
    <mergeCell ref="J54:K54"/>
    <mergeCell ref="J51:K51"/>
    <mergeCell ref="J52:K52"/>
    <mergeCell ref="J49:K49"/>
    <mergeCell ref="J56:K56"/>
    <mergeCell ref="B71:E71"/>
    <mergeCell ref="B74:E74"/>
    <mergeCell ref="T57:U57"/>
    <mergeCell ref="X59:AB59"/>
    <mergeCell ref="B65:D65"/>
    <mergeCell ref="X58:AB58"/>
    <mergeCell ref="X57:AB57"/>
    <mergeCell ref="E64:H64"/>
    <mergeCell ref="E63:H63"/>
    <mergeCell ref="J62:R62"/>
    <mergeCell ref="J58:K58"/>
    <mergeCell ref="N57:O57"/>
    <mergeCell ref="Q57:R57"/>
    <mergeCell ref="Q58:R58"/>
    <mergeCell ref="N59:O59"/>
    <mergeCell ref="N58:O58"/>
    <mergeCell ref="K74:R74"/>
    <mergeCell ref="B66:D66"/>
    <mergeCell ref="J64:R64"/>
    <mergeCell ref="B73:R73"/>
    <mergeCell ref="K72:R72"/>
    <mergeCell ref="K71:R71"/>
    <mergeCell ref="K69:R69"/>
    <mergeCell ref="J66:R66"/>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E66:H66"/>
    <mergeCell ref="J65:R65"/>
    <mergeCell ref="K78:R78"/>
    <mergeCell ref="B69:E69"/>
    <mergeCell ref="B77:R77"/>
    <mergeCell ref="K76:R76"/>
    <mergeCell ref="B64:D64"/>
    <mergeCell ref="B78:E78"/>
    <mergeCell ref="B76:E76"/>
    <mergeCell ref="B72:E72"/>
    <mergeCell ref="N56:O56"/>
    <mergeCell ref="X53:AB53"/>
    <mergeCell ref="X54:AB54"/>
    <mergeCell ref="X55:AB55"/>
    <mergeCell ref="Q54:R54"/>
    <mergeCell ref="T59:U59"/>
    <mergeCell ref="T58:U58"/>
    <mergeCell ref="T56:U56"/>
    <mergeCell ref="Q59:R59"/>
    <mergeCell ref="X56:AB56"/>
    <mergeCell ref="Q55:R55"/>
    <mergeCell ref="X36:AB36"/>
    <mergeCell ref="X37:AB37"/>
    <mergeCell ref="X38:AB38"/>
    <mergeCell ref="X39:AB39"/>
    <mergeCell ref="X40:AB40"/>
    <mergeCell ref="X41:AB41"/>
    <mergeCell ref="X42:AB42"/>
    <mergeCell ref="X43:AB43"/>
    <mergeCell ref="T41:U41"/>
    <mergeCell ref="T42:U42"/>
    <mergeCell ref="T39:U39"/>
    <mergeCell ref="T40:U40"/>
    <mergeCell ref="T36:U36"/>
    <mergeCell ref="T37:U37"/>
    <mergeCell ref="B18:E18"/>
    <mergeCell ref="B19:D19"/>
    <mergeCell ref="B20:D20"/>
    <mergeCell ref="B21:D21"/>
    <mergeCell ref="B11:E11"/>
    <mergeCell ref="B14:D14"/>
    <mergeCell ref="B15:D15"/>
    <mergeCell ref="B16:D16"/>
    <mergeCell ref="Q6:S6"/>
    <mergeCell ref="O10:Q10"/>
    <mergeCell ref="R8:S8"/>
    <mergeCell ref="O9:Q9"/>
    <mergeCell ref="R9:S9"/>
    <mergeCell ref="R10:S10"/>
    <mergeCell ref="R17:S17"/>
    <mergeCell ref="R18:S18"/>
    <mergeCell ref="O8:Q8"/>
    <mergeCell ref="R15:S15"/>
    <mergeCell ref="R16:S16"/>
    <mergeCell ref="G13:I13"/>
    <mergeCell ref="G15:I15"/>
    <mergeCell ref="G11:I11"/>
    <mergeCell ref="G12:I12"/>
    <mergeCell ref="G14:I14"/>
    <mergeCell ref="B3:AB3"/>
    <mergeCell ref="B2:AB2"/>
    <mergeCell ref="G6:M6"/>
    <mergeCell ref="B6:E6"/>
    <mergeCell ref="B7:D7"/>
    <mergeCell ref="G7:I7"/>
    <mergeCell ref="O7:Q7"/>
    <mergeCell ref="R7:S7"/>
    <mergeCell ref="U7:AB28"/>
    <mergeCell ref="G19:I19"/>
    <mergeCell ref="G18:I18"/>
    <mergeCell ref="G8:I8"/>
    <mergeCell ref="G9:I9"/>
    <mergeCell ref="G10:I10"/>
    <mergeCell ref="R13:S13"/>
    <mergeCell ref="R19:S19"/>
    <mergeCell ref="B8:D8"/>
    <mergeCell ref="B9:D9"/>
    <mergeCell ref="B12:D12"/>
    <mergeCell ref="B13:D13"/>
    <mergeCell ref="B25:D25"/>
    <mergeCell ref="B22:D22"/>
    <mergeCell ref="B23:D23"/>
    <mergeCell ref="B24:D24"/>
    <mergeCell ref="N36:O36"/>
    <mergeCell ref="N38:O38"/>
    <mergeCell ref="Q31:T31"/>
    <mergeCell ref="R32:T32"/>
    <mergeCell ref="U31:W31"/>
    <mergeCell ref="V35:W35"/>
    <mergeCell ref="N41:O41"/>
    <mergeCell ref="N42:O42"/>
    <mergeCell ref="N43:O43"/>
    <mergeCell ref="Q41:R41"/>
    <mergeCell ref="Q42:R42"/>
    <mergeCell ref="Q43:R43"/>
    <mergeCell ref="N37:O37"/>
    <mergeCell ref="N40:O40"/>
    <mergeCell ref="Q40:R40"/>
    <mergeCell ref="T38:U38"/>
    <mergeCell ref="Q38:R38"/>
    <mergeCell ref="J55:K55"/>
    <mergeCell ref="Q53:R53"/>
    <mergeCell ref="N45:O45"/>
    <mergeCell ref="T54:U54"/>
    <mergeCell ref="T55:U55"/>
    <mergeCell ref="Q50:R50"/>
    <mergeCell ref="Q51:R51"/>
    <mergeCell ref="N46:O46"/>
    <mergeCell ref="Q45:R45"/>
    <mergeCell ref="Q46:R46"/>
    <mergeCell ref="Q47:R47"/>
    <mergeCell ref="J45:K45"/>
    <mergeCell ref="J46:K46"/>
    <mergeCell ref="N47:O47"/>
    <mergeCell ref="J50:K50"/>
    <mergeCell ref="N55:O55"/>
    <mergeCell ref="Q52:R52"/>
    <mergeCell ref="Q48:R48"/>
    <mergeCell ref="Q49:R49"/>
    <mergeCell ref="T45:U45"/>
    <mergeCell ref="T46:U46"/>
    <mergeCell ref="T47:U47"/>
    <mergeCell ref="T48:U48"/>
    <mergeCell ref="T49:U49"/>
    <mergeCell ref="J53:K53"/>
    <mergeCell ref="J39:K39"/>
    <mergeCell ref="J40:K40"/>
    <mergeCell ref="J43:K43"/>
    <mergeCell ref="J44:K44"/>
    <mergeCell ref="J41:K41"/>
    <mergeCell ref="J42:K42"/>
    <mergeCell ref="T43:U43"/>
    <mergeCell ref="T52:U52"/>
    <mergeCell ref="T53:U53"/>
    <mergeCell ref="Q39:R39"/>
    <mergeCell ref="N44:O44"/>
    <mergeCell ref="Q44:R44"/>
    <mergeCell ref="B26:D26"/>
    <mergeCell ref="B27:D27"/>
    <mergeCell ref="N39:O39"/>
    <mergeCell ref="L31:N31"/>
    <mergeCell ref="J38:K38"/>
    <mergeCell ref="I35:K35"/>
    <mergeCell ref="O31:P31"/>
    <mergeCell ref="M35:O35"/>
    <mergeCell ref="M32:N32"/>
    <mergeCell ref="P35:R35"/>
    <mergeCell ref="D31:E31"/>
    <mergeCell ref="F35:G35"/>
    <mergeCell ref="D35:E35"/>
    <mergeCell ref="J36:K36"/>
    <mergeCell ref="J37:K37"/>
    <mergeCell ref="F31:G31"/>
    <mergeCell ref="N30:AB30"/>
    <mergeCell ref="V32:W32"/>
    <mergeCell ref="J32:K32"/>
    <mergeCell ref="X35:AB35"/>
    <mergeCell ref="R34:AB34"/>
    <mergeCell ref="S35:U35"/>
    <mergeCell ref="Q36:R36"/>
    <mergeCell ref="Q37:R37"/>
    <mergeCell ref="G20:I20"/>
    <mergeCell ref="R14:S14"/>
    <mergeCell ref="I31:K31"/>
    <mergeCell ref="G21:I21"/>
    <mergeCell ref="G22:I22"/>
    <mergeCell ref="G23:I23"/>
    <mergeCell ref="G24:I24"/>
    <mergeCell ref="G25:I25"/>
    <mergeCell ref="G17:I17"/>
    <mergeCell ref="R20:S20"/>
    <mergeCell ref="R21:S21"/>
  </mergeCells>
  <phoneticPr fontId="4" type="noConversion"/>
  <conditionalFormatting sqref="B63:C63">
    <cfRule type="expression" dxfId="2122" priority="209">
      <formula>(spr_chosen="Exclude")</formula>
    </cfRule>
    <cfRule type="expression" dxfId="2121" priority="211">
      <formula>AND((spr_chosen&lt;&gt;"Exclude"),(spr_result="Included"))</formula>
    </cfRule>
    <cfRule type="expression" dxfId="2120" priority="210">
      <formula>AND((spr_chosen&lt;&gt;"Exclude"),(spr_result="Excluded"))</formula>
    </cfRule>
  </conditionalFormatting>
  <conditionalFormatting sqref="B65:C65">
    <cfRule type="expression" dxfId="2119" priority="224">
      <formula>AND((cbr_chosen&lt;&gt;"Exclude"),(cbr_result="Excluded"))</formula>
    </cfRule>
    <cfRule type="expression" dxfId="2118" priority="223">
      <formula>(cbr_chosen="Exclude")</formula>
    </cfRule>
    <cfRule type="expression" dxfId="2117" priority="230">
      <formula>AND((cbr_chosen&lt;&gt;"Exclude"),(cbr_result="Included"))</formula>
    </cfRule>
  </conditionalFormatting>
  <conditionalFormatting sqref="B66:C66">
    <cfRule type="expression" dxfId="2116" priority="232">
      <formula>(ccm_chosen="Exclude")</formula>
    </cfRule>
    <cfRule type="expression" dxfId="2115" priority="231">
      <formula>AND((ccm_chosen&lt;&gt;"Exclude"),(ccm_result="Excluded"))</formula>
    </cfRule>
    <cfRule type="expression" dxfId="2114" priority="225">
      <formula>AND((ccm_chosen&lt;&gt;"Exclude"),(ccm_result="Included"))</formula>
    </cfRule>
  </conditionalFormatting>
  <conditionalFormatting sqref="B64:D64 I64:R64">
    <cfRule type="expression" dxfId="2113" priority="63">
      <formula>(rwr_chosen="Exclude")</formula>
    </cfRule>
    <cfRule type="expression" dxfId="2112" priority="62">
      <formula>(rwr_chosen="Include")</formula>
    </cfRule>
  </conditionalFormatting>
  <conditionalFormatting sqref="C40:J40">
    <cfRule type="expression" dxfId="2111" priority="697">
      <formula>(sizing_w05_chosen="Included")</formula>
    </cfRule>
  </conditionalFormatting>
  <conditionalFormatting sqref="C41:J41">
    <cfRule type="expression" dxfId="2110" priority="695">
      <formula>(sizing_w06_chosen="Included")</formula>
    </cfRule>
  </conditionalFormatting>
  <conditionalFormatting sqref="C42:J42">
    <cfRule type="expression" dxfId="2109" priority="693">
      <formula>(sizing_w07_chosen="Included")</formula>
    </cfRule>
  </conditionalFormatting>
  <conditionalFormatting sqref="C43:J43">
    <cfRule type="expression" dxfId="2108" priority="691">
      <formula>(sizing_w08_chosen="Included")</formula>
    </cfRule>
  </conditionalFormatting>
  <conditionalFormatting sqref="C44:J44">
    <cfRule type="expression" dxfId="2107" priority="690">
      <formula>(sizing_w09_chosen="Included")</formula>
    </cfRule>
  </conditionalFormatting>
  <conditionalFormatting sqref="C45:J45">
    <cfRule type="expression" dxfId="2106" priority="689">
      <formula>(sizing_w10_chosen="Included")</formula>
    </cfRule>
  </conditionalFormatting>
  <conditionalFormatting sqref="C46:J46">
    <cfRule type="expression" dxfId="2105" priority="685">
      <formula>(sizing_w11_chosen="Included")</formula>
    </cfRule>
  </conditionalFormatting>
  <conditionalFormatting sqref="C47:J47">
    <cfRule type="expression" dxfId="2104" priority="688">
      <formula>(sizing_w12_chosen="Included")</formula>
    </cfRule>
  </conditionalFormatting>
  <conditionalFormatting sqref="C48:J48">
    <cfRule type="expression" dxfId="2103" priority="687">
      <formula>(sizing_w13_chosen="Included")</formula>
    </cfRule>
  </conditionalFormatting>
  <conditionalFormatting sqref="C49:J49">
    <cfRule type="expression" dxfId="2102" priority="686">
      <formula>(sizing_w14_chosen="Included")</formula>
    </cfRule>
  </conditionalFormatting>
  <conditionalFormatting sqref="C50:J50">
    <cfRule type="expression" dxfId="2101" priority="678">
      <formula>(sizing_w15_chosen="Included")</formula>
    </cfRule>
  </conditionalFormatting>
  <conditionalFormatting sqref="C51:J51">
    <cfRule type="expression" dxfId="2100" priority="682">
      <formula>(sizing_w16_chosen="Included")</formula>
    </cfRule>
  </conditionalFormatting>
  <conditionalFormatting sqref="C52:J52">
    <cfRule type="expression" dxfId="2099" priority="681">
      <formula>(sizing_w17_chosen="Included")</formula>
    </cfRule>
  </conditionalFormatting>
  <conditionalFormatting sqref="C53:J53">
    <cfRule type="expression" dxfId="2098" priority="679">
      <formula>(sizing_w18_chosen="Included")</formula>
    </cfRule>
  </conditionalFormatting>
  <conditionalFormatting sqref="C54:J54">
    <cfRule type="expression" dxfId="2097" priority="677">
      <formula>(sizing_w19_chosen="Included")</formula>
    </cfRule>
  </conditionalFormatting>
  <conditionalFormatting sqref="C55:J55">
    <cfRule type="expression" dxfId="2096" priority="675">
      <formula>(sizing_w20_chosen="Included")</formula>
    </cfRule>
  </conditionalFormatting>
  <conditionalFormatting sqref="C56:J56">
    <cfRule type="expression" dxfId="2095" priority="672">
      <formula>(sizing_w21_chosen="Included")</formula>
    </cfRule>
  </conditionalFormatting>
  <conditionalFormatting sqref="C57:J57">
    <cfRule type="expression" dxfId="2094" priority="670">
      <formula>(sizing_w22_chosen="Included")</formula>
    </cfRule>
  </conditionalFormatting>
  <conditionalFormatting sqref="C58:J58">
    <cfRule type="expression" dxfId="2093" priority="560">
      <formula>(sizing_w23_chosen="Included")</formula>
    </cfRule>
  </conditionalFormatting>
  <conditionalFormatting sqref="C59:J59">
    <cfRule type="expression" dxfId="2092" priority="559">
      <formula>(sizing_w24_chosen="Included")</formula>
    </cfRule>
  </conditionalFormatting>
  <conditionalFormatting sqref="C37:K37">
    <cfRule type="expression" dxfId="2091" priority="711">
      <formula>(sizing_w02_chosen="Included")</formula>
    </cfRule>
  </conditionalFormatting>
  <conditionalFormatting sqref="C38:K38">
    <cfRule type="expression" dxfId="2090" priority="1102">
      <formula>(sizing_w03_chosen="Included")</formula>
    </cfRule>
  </conditionalFormatting>
  <conditionalFormatting sqref="C39:K39">
    <cfRule type="expression" dxfId="2089" priority="700">
      <formula>(sizing_w04_chosen="Included")</formula>
    </cfRule>
  </conditionalFormatting>
  <conditionalFormatting sqref="D36:J36 L36:N36 P36:Q36 S36:W36">
    <cfRule type="expression" dxfId="2088" priority="4">
      <formula>(sizing_w01_chosen="Excluded")</formula>
    </cfRule>
  </conditionalFormatting>
  <conditionalFormatting sqref="D40:J40 L40:N40 P40:Q40 S40:W40">
    <cfRule type="expression" dxfId="2087" priority="10">
      <formula>(sizing_w05_chosen="Excluded")</formula>
    </cfRule>
  </conditionalFormatting>
  <conditionalFormatting sqref="D41:J41 L41:N41 P41:Q41 S41:W41">
    <cfRule type="expression" dxfId="2086" priority="11">
      <formula>(sizing_w06_chosen="Excluded")</formula>
    </cfRule>
  </conditionalFormatting>
  <conditionalFormatting sqref="D42:J42 L42:N42 P42:Q42 S42:W42">
    <cfRule type="expression" dxfId="2085" priority="12">
      <formula>(sizing_w07_chosen="Excluded")</formula>
    </cfRule>
  </conditionalFormatting>
  <conditionalFormatting sqref="D43:J43 L43:N43 P43:Q43 S43:W43">
    <cfRule type="expression" dxfId="2084" priority="13">
      <formula>(sizing_w08_chosen="Excluded")</formula>
    </cfRule>
  </conditionalFormatting>
  <conditionalFormatting sqref="D44:J44 L44:N44 P44:Q44 S44:W44">
    <cfRule type="expression" dxfId="2083" priority="14">
      <formula>(sizing_w09_chosen="Excluded")</formula>
    </cfRule>
  </conditionalFormatting>
  <conditionalFormatting sqref="D45:J45 L45:N45 P45:Q45 S45:W45">
    <cfRule type="expression" dxfId="2082" priority="15">
      <formula>(sizing_w10_chosen="Excluded")</formula>
    </cfRule>
  </conditionalFormatting>
  <conditionalFormatting sqref="D46:J46 L46:N46 P46:Q46 S46:W46">
    <cfRule type="expression" dxfId="2081" priority="16">
      <formula>(sizing_w11_chosen="Excluded")</formula>
    </cfRule>
  </conditionalFormatting>
  <conditionalFormatting sqref="D47:J47 L47:N47 P47:Q47 S47:W47">
    <cfRule type="expression" dxfId="2080" priority="17">
      <formula>(sizing_w12_chosen="Excluded")</formula>
    </cfRule>
  </conditionalFormatting>
  <conditionalFormatting sqref="D48:J48 L48:N48 P48:Q48 S48:W48">
    <cfRule type="expression" dxfId="2079" priority="18">
      <formula>(sizing_w13_chosen="Excluded")</formula>
    </cfRule>
  </conditionalFormatting>
  <conditionalFormatting sqref="D49:J49 L49:N49 P49:Q49 S49:W49">
    <cfRule type="expression" dxfId="2078" priority="19">
      <formula>(sizing_w14_chosen="Excluded")</formula>
    </cfRule>
  </conditionalFormatting>
  <conditionalFormatting sqref="D50:J50 L50:N50 P50:Q50 S50:W50">
    <cfRule type="expression" dxfId="2077" priority="20">
      <formula>(sizing_w15_chosen="Excluded")</formula>
    </cfRule>
  </conditionalFormatting>
  <conditionalFormatting sqref="D51:J51 L51:N51 P51:Q51 S51:W51">
    <cfRule type="expression" dxfId="2076" priority="21">
      <formula>(sizing_w16_chosen="Excluded")</formula>
    </cfRule>
  </conditionalFormatting>
  <conditionalFormatting sqref="D52:J52 L52:N52 P52:Q52 S52:W52">
    <cfRule type="expression" dxfId="2075" priority="22">
      <formula>(sizing_w17_chosen="Excluded")</formula>
    </cfRule>
  </conditionalFormatting>
  <conditionalFormatting sqref="D53:J53 L53:N53 P53:Q53 S53:W53">
    <cfRule type="expression" dxfId="2074" priority="23">
      <formula>(sizing_w18_chosen="Excluded")</formula>
    </cfRule>
  </conditionalFormatting>
  <conditionalFormatting sqref="D54:J54 L54:N54 P54:Q54 S54:W54">
    <cfRule type="expression" dxfId="2073" priority="24">
      <formula>(sizing_w19_chosen="Excluded")</formula>
    </cfRule>
  </conditionalFormatting>
  <conditionalFormatting sqref="D55:J55 L55:N55 P55:Q55 S55:W55">
    <cfRule type="expression" dxfId="2072" priority="25">
      <formula>(sizing_w20_chosen="Excluded")</formula>
    </cfRule>
  </conditionalFormatting>
  <conditionalFormatting sqref="D56:J56 L56:N56 P56:Q56 S56:W56">
    <cfRule type="expression" dxfId="2071" priority="26">
      <formula>(sizing_w21_chosen="Excluded")</formula>
    </cfRule>
  </conditionalFormatting>
  <conditionalFormatting sqref="D57:J57 L57:N57 P57:Q57 S57:W57">
    <cfRule type="expression" dxfId="2070" priority="27">
      <formula>(sizing_w22_chosen="Excluded")</formula>
    </cfRule>
  </conditionalFormatting>
  <conditionalFormatting sqref="D58:J58 L58:N58 P58:Q58 S58:W58">
    <cfRule type="expression" dxfId="2069" priority="30">
      <formula>(sizing_w23_chosen="Excluded")</formula>
    </cfRule>
  </conditionalFormatting>
  <conditionalFormatting sqref="D59:J59 L59:N59 P59:Q59 S59:W59">
    <cfRule type="expression" dxfId="2068" priority="49">
      <formula>(sizing_w24_chosen="Excluded")</formula>
    </cfRule>
  </conditionalFormatting>
  <conditionalFormatting sqref="D38:N38 P38:Q38 S38:W38">
    <cfRule type="expression" dxfId="2067" priority="8">
      <formula>(sizing_w03_chosen="Excluded")</formula>
    </cfRule>
  </conditionalFormatting>
  <conditionalFormatting sqref="D39:N39 P39:Q39 S39:W39">
    <cfRule type="expression" dxfId="2066" priority="9" stopIfTrue="1">
      <formula>(sizing_w04_chosen="Excluded")</formula>
    </cfRule>
  </conditionalFormatting>
  <conditionalFormatting sqref="D37:W37">
    <cfRule type="expression" dxfId="2065" priority="7">
      <formula>(sizing_w02_chosen="Excluded")</formula>
    </cfRule>
  </conditionalFormatting>
  <conditionalFormatting sqref="E8:E9 C32:J32 L32:M32 O32:R32 F76 F78 E13:E16 F71:F72 S36:T36">
    <cfRule type="notContainsBlanks" dxfId="2064" priority="1100">
      <formula>LEN(TRIM(C8))&gt;0</formula>
    </cfRule>
  </conditionalFormatting>
  <conditionalFormatting sqref="E20:E27">
    <cfRule type="containsBlanks" dxfId="2063" priority="93">
      <formula>LEN(TRIM(E20))=0</formula>
    </cfRule>
    <cfRule type="notContainsBlanks" dxfId="2062" priority="94">
      <formula>LEN(TRIM(E20))&gt;0</formula>
    </cfRule>
  </conditionalFormatting>
  <conditionalFormatting sqref="E21">
    <cfRule type="expression" dxfId="2061" priority="92">
      <formula>sizing_vcfops_ha_chosen="Exclude"</formula>
    </cfRule>
  </conditionalFormatting>
  <conditionalFormatting sqref="E22">
    <cfRule type="expression" dxfId="2060" priority="57">
      <formula>sizing_vcfops_collector_chosen="Exclude"</formula>
    </cfRule>
  </conditionalFormatting>
  <conditionalFormatting sqref="E23">
    <cfRule type="expression" dxfId="2059" priority="89">
      <formula>sizing_vcfauto_chosen="Exclude"</formula>
    </cfRule>
  </conditionalFormatting>
  <conditionalFormatting sqref="E24">
    <cfRule type="expression" dxfId="2058" priority="90">
      <formula>sizing_vcfops_logs_chosen="Exclude"</formula>
    </cfRule>
  </conditionalFormatting>
  <conditionalFormatting sqref="E25">
    <cfRule type="expression" dxfId="2057" priority="59">
      <formula>sizing_vcfops_net_chosen="Exclude"</formula>
    </cfRule>
  </conditionalFormatting>
  <conditionalFormatting sqref="E26">
    <cfRule type="expression" dxfId="2056" priority="58">
      <formula>sizing_vcfops_net_collector_chosen="Exclude"</formula>
    </cfRule>
  </conditionalFormatting>
  <conditionalFormatting sqref="E27">
    <cfRule type="expression" dxfId="2055" priority="88">
      <formula>sizing_vcfvidb_chosen="Exclude"</formula>
    </cfRule>
  </conditionalFormatting>
  <conditionalFormatting sqref="F71:F72 E13:E16 D32:E32">
    <cfRule type="containsBlanks" dxfId="2054" priority="1096">
      <formula>LEN(TRIM(D13))=0</formula>
    </cfRule>
  </conditionalFormatting>
  <conditionalFormatting sqref="F76 F78 O32:R32 L32:M32 E8:E9 I32:J32">
    <cfRule type="containsBlanks" dxfId="2053" priority="1098">
      <formula>LEN(TRIM(E8))=0</formula>
    </cfRule>
  </conditionalFormatting>
  <conditionalFormatting sqref="F76">
    <cfRule type="expression" dxfId="2052" priority="396">
      <formula>cbr_result="Excluded"</formula>
    </cfRule>
  </conditionalFormatting>
  <conditionalFormatting sqref="F78">
    <cfRule type="expression" dxfId="2051" priority="394">
      <formula>ccm_result="Excluded"</formula>
    </cfRule>
  </conditionalFormatting>
  <conditionalFormatting sqref="F74:J74">
    <cfRule type="expression" dxfId="2050" priority="60">
      <formula>rwr_chosen="Include"</formula>
    </cfRule>
  </conditionalFormatting>
  <conditionalFormatting sqref="F74:K74">
    <cfRule type="expression" dxfId="2049" priority="61">
      <formula>rwr_chosen="Exclude"</formula>
    </cfRule>
  </conditionalFormatting>
  <conditionalFormatting sqref="F71:R71">
    <cfRule type="expression" dxfId="2048" priority="91">
      <formula>AND((spr_mo_result="False"),(spr_mw_result="False"))</formula>
    </cfRule>
  </conditionalFormatting>
  <conditionalFormatting sqref="F72:R72">
    <cfRule type="expression" dxfId="2047" priority="53">
      <formula>AND((spr_wo_result="False"),(spr_mw_result="False"))</formula>
    </cfRule>
  </conditionalFormatting>
  <conditionalFormatting sqref="G71:J71">
    <cfRule type="expression" dxfId="2046" priority="54">
      <formula>$G$71=1</formula>
    </cfRule>
  </conditionalFormatting>
  <conditionalFormatting sqref="G72:J72">
    <cfRule type="expression" dxfId="2045" priority="387">
      <formula>$G$72&gt;0</formula>
    </cfRule>
  </conditionalFormatting>
  <conditionalFormatting sqref="G76:J76">
    <cfRule type="expression" dxfId="2044" priority="56">
      <formula>cbr_result="Included"</formula>
    </cfRule>
    <cfRule type="expression" dxfId="2043" priority="196">
      <formula>cbr_result="Excluded"</formula>
    </cfRule>
  </conditionalFormatting>
  <conditionalFormatting sqref="G78:J78">
    <cfRule type="expression" dxfId="2042" priority="197">
      <formula>ccm_result="Excluded"</formula>
    </cfRule>
    <cfRule type="expression" dxfId="2041" priority="55">
      <formula>ccm_result="Included"</formula>
    </cfRule>
  </conditionalFormatting>
  <conditionalFormatting sqref="H36">
    <cfRule type="expression" dxfId="2040" priority="486">
      <formula>AND(sizing_w01_chosen="Isolated Vi Workload Domain",sizing_w01_nsxt_model="Shared")</formula>
    </cfRule>
  </conditionalFormatting>
  <conditionalFormatting sqref="I65">
    <cfRule type="expression" dxfId="2039" priority="218">
      <formula>AND((cbr_chosen&lt;&gt;"Exclude"),(cbr_result="Included"))</formula>
    </cfRule>
    <cfRule type="expression" dxfId="2038" priority="219">
      <formula>AND((cbr_chosen&lt;&gt;"Exclude"),(cbr_result="Excluded"))</formula>
    </cfRule>
  </conditionalFormatting>
  <conditionalFormatting sqref="I66">
    <cfRule type="expression" dxfId="2037" priority="228" stopIfTrue="1">
      <formula>AND((ccm_chosen&lt;&gt;"Exclude"),(ccm_result="Excluded"))</formula>
    </cfRule>
    <cfRule type="expression" dxfId="2036" priority="229">
      <formula>(ccm_chosen="Exclude")</formula>
    </cfRule>
  </conditionalFormatting>
  <conditionalFormatting sqref="I40:J40">
    <cfRule type="expression" dxfId="2035" priority="583">
      <formula>(sizing_w05_nsxt_model="Shared")</formula>
    </cfRule>
  </conditionalFormatting>
  <conditionalFormatting sqref="I41:J41">
    <cfRule type="expression" dxfId="2034" priority="582">
      <formula>(sizing_w06_nsxt_model="Shared")</formula>
    </cfRule>
  </conditionalFormatting>
  <conditionalFormatting sqref="I42:J42">
    <cfRule type="expression" dxfId="2033" priority="581">
      <formula>(sizing_w07_nsxt_model="Shared")</formula>
    </cfRule>
  </conditionalFormatting>
  <conditionalFormatting sqref="I43:J43">
    <cfRule type="expression" dxfId="2032" priority="580">
      <formula>(sizing_w08_nsxt_model="Shared")</formula>
    </cfRule>
  </conditionalFormatting>
  <conditionalFormatting sqref="I44:J44">
    <cfRule type="expression" dxfId="2031" priority="579">
      <formula>(sizing_w09_nsxt_model="Shared")</formula>
    </cfRule>
  </conditionalFormatting>
  <conditionalFormatting sqref="I45:J45">
    <cfRule type="expression" dxfId="2030" priority="578">
      <formula>(sizing_w10_nsxt_model="Shared")</formula>
    </cfRule>
  </conditionalFormatting>
  <conditionalFormatting sqref="I46:J46">
    <cfRule type="expression" dxfId="2029" priority="577">
      <formula>(sizing_w11_nsxt_model="Shared")</formula>
    </cfRule>
  </conditionalFormatting>
  <conditionalFormatting sqref="I47:J47">
    <cfRule type="expression" dxfId="2028" priority="576">
      <formula>(sizing_w12_nsxt_model="Shared")</formula>
    </cfRule>
  </conditionalFormatting>
  <conditionalFormatting sqref="I48:J48">
    <cfRule type="expression" dxfId="2027" priority="575">
      <formula>(sizing_w13_nsxt_model="Shared")</formula>
    </cfRule>
  </conditionalFormatting>
  <conditionalFormatting sqref="I49:J49">
    <cfRule type="expression" dxfId="2026" priority="574">
      <formula>(sizing_w14_nsxt_model="Shared")</formula>
    </cfRule>
  </conditionalFormatting>
  <conditionalFormatting sqref="I63:J63">
    <cfRule type="expression" dxfId="2025" priority="206">
      <formula>(spr_chosen="Exclude")</formula>
    </cfRule>
    <cfRule type="expression" dxfId="2024" priority="208">
      <formula>AND((spr_chosen&lt;&gt;"Exclude"),(spr_result="Included"))</formula>
    </cfRule>
    <cfRule type="expression" dxfId="2023" priority="207">
      <formula>AND((spr_chosen&lt;&gt;"Exclude"),(spr_result="Excluded"))</formula>
    </cfRule>
  </conditionalFormatting>
  <conditionalFormatting sqref="I37:K37">
    <cfRule type="expression" dxfId="2022" priority="710">
      <formula>(sizing_w02_nsxt_model="Shared")</formula>
    </cfRule>
  </conditionalFormatting>
  <conditionalFormatting sqref="I38:K38">
    <cfRule type="expression" dxfId="2021" priority="585">
      <formula>(sizing_w03_nsxt_model="Shared")</formula>
    </cfRule>
  </conditionalFormatting>
  <conditionalFormatting sqref="I39:K39">
    <cfRule type="expression" dxfId="2020" priority="584">
      <formula>(sizing_w04_nsxt_model="Shared")</formula>
    </cfRule>
  </conditionalFormatting>
  <conditionalFormatting sqref="I65:K65">
    <cfRule type="expression" dxfId="2019" priority="220">
      <formula>(cbr_chosen="Exclude")</formula>
    </cfRule>
  </conditionalFormatting>
  <conditionalFormatting sqref="I66:K66">
    <cfRule type="expression" dxfId="2018" priority="222">
      <formula>AND((ccm_chosen&lt;&gt;"Exclude"),(ccm_result="Included"))</formula>
    </cfRule>
  </conditionalFormatting>
  <conditionalFormatting sqref="J65:K65">
    <cfRule type="expression" dxfId="2017" priority="226">
      <formula>AND((cbr_chosen&lt;&gt;"Exclude"),(cbr_result="Included"))</formula>
    </cfRule>
    <cfRule type="expression" dxfId="2016" priority="221">
      <formula>AND((cbr_chosen&lt;&gt;"Exclude"),(cbr_result="Excluded"))</formula>
    </cfRule>
  </conditionalFormatting>
  <conditionalFormatting sqref="J66:K66">
    <cfRule type="expression" dxfId="2015" priority="234" stopIfTrue="1">
      <formula>(ccm_chosen="Exclude")</formula>
    </cfRule>
    <cfRule type="expression" dxfId="2014" priority="233">
      <formula>AND((ccm_chosen&lt;&gt;"Exclude"),(ccm_result="Excluded"))</formula>
    </cfRule>
  </conditionalFormatting>
  <conditionalFormatting sqref="L32:M32">
    <cfRule type="expression" dxfId="2013" priority="96">
      <formula>sizing_m01_nsxt_edge_size="Excluded"</formula>
    </cfRule>
  </conditionalFormatting>
  <conditionalFormatting sqref="L37:M37">
    <cfRule type="expression" dxfId="2012" priority="709">
      <formula>(sizing_w02_gm_result&lt;&gt;"Excluded")</formula>
    </cfRule>
  </conditionalFormatting>
  <conditionalFormatting sqref="L36:N36 S36:T36 C36:J36 P36:Q36">
    <cfRule type="expression" dxfId="2011" priority="718">
      <formula>(sizing_w01_chosen="Included")</formula>
    </cfRule>
  </conditionalFormatting>
  <conditionalFormatting sqref="L36:N36">
    <cfRule type="expression" dxfId="2010" priority="714">
      <formula>(sizing_w01_gm_chosen="Excluded")</formula>
    </cfRule>
    <cfRule type="expression" dxfId="2009" priority="717">
      <formula>(sizing_w01_gm_chosen&lt;&gt;"Excluded")</formula>
    </cfRule>
  </conditionalFormatting>
  <conditionalFormatting sqref="L38:N38">
    <cfRule type="expression" dxfId="2008" priority="562">
      <formula>(sizing_w03_gm_chosen="Excluded")</formula>
    </cfRule>
    <cfRule type="expression" dxfId="2007" priority="706">
      <formula>(sizing_w03_gm_chosen&lt;&gt;"Excluded")</formula>
    </cfRule>
  </conditionalFormatting>
  <conditionalFormatting sqref="L39:N39">
    <cfRule type="expression" dxfId="2006" priority="699">
      <formula>(sizing_w04_gm_chosen&lt;&gt;"Excluded")</formula>
    </cfRule>
    <cfRule type="expression" dxfId="2005" priority="563">
      <formula>(sizing_w04_gm_chosen="Excluded")</formula>
    </cfRule>
  </conditionalFormatting>
  <conditionalFormatting sqref="L40:N40">
    <cfRule type="expression" dxfId="2004" priority="698">
      <formula>(sizing_w05_gm_chosen&lt;&gt;"Excluded")</formula>
    </cfRule>
    <cfRule type="expression" dxfId="2003" priority="564">
      <formula>(sizing_w05_gm_chosen="Excluded")</formula>
    </cfRule>
  </conditionalFormatting>
  <conditionalFormatting sqref="L41:N41">
    <cfRule type="expression" dxfId="2002" priority="565">
      <formula>(sizing_w06_gm_chosen="Excluded")</formula>
    </cfRule>
    <cfRule type="expression" dxfId="2001" priority="696">
      <formula>(sizing_w06_gm_chosen&lt;&gt;"Excluded")</formula>
    </cfRule>
  </conditionalFormatting>
  <conditionalFormatting sqref="L42:N42">
    <cfRule type="expression" dxfId="2000" priority="566">
      <formula>(sizing_w07_gm_chosen="Excluded")</formula>
    </cfRule>
    <cfRule type="expression" dxfId="1999" priority="694">
      <formula>(sizing_w07_gm_chosen&lt;&gt;"Excluded")</formula>
    </cfRule>
  </conditionalFormatting>
  <conditionalFormatting sqref="L43:N43">
    <cfRule type="expression" dxfId="1998" priority="651">
      <formula>(sizing_w08_gm_chosen="Excluded")</formula>
    </cfRule>
    <cfRule type="expression" dxfId="1997" priority="680">
      <formula>(sizing_w08_gm_chosen&lt;&gt;"Excluded")</formula>
    </cfRule>
  </conditionalFormatting>
  <conditionalFormatting sqref="L44:N44">
    <cfRule type="expression" dxfId="1996" priority="567">
      <formula>(sizing_w09_gm_chosen="Excluded")</formula>
    </cfRule>
    <cfRule type="expression" dxfId="1995" priority="676" stopIfTrue="1">
      <formula>(sizing_w09_gm_chosen&lt;&gt;"Excluded")</formula>
    </cfRule>
  </conditionalFormatting>
  <conditionalFormatting sqref="L45:N45">
    <cfRule type="expression" dxfId="1994" priority="652">
      <formula>(sizing_w10_gm_chosen="Excluded")</formula>
    </cfRule>
    <cfRule type="expression" dxfId="1993" priority="674">
      <formula>(sizing_w10_gm_chosen&lt;&gt;"Excluded")</formula>
    </cfRule>
  </conditionalFormatting>
  <conditionalFormatting sqref="L46:N46">
    <cfRule type="expression" dxfId="1992" priority="653">
      <formula>(sizing_w11_gm_chosen="Excluded")</formula>
    </cfRule>
    <cfRule type="expression" dxfId="1991" priority="673">
      <formula>(sizing_w11_gm_chosen&lt;&gt;"Excluded")</formula>
    </cfRule>
  </conditionalFormatting>
  <conditionalFormatting sqref="L47:N47">
    <cfRule type="expression" dxfId="1990" priority="671">
      <formula>(sizing_w12_gm_chosen&lt;&gt;"Excluded")</formula>
    </cfRule>
    <cfRule type="expression" dxfId="1989" priority="654">
      <formula>(sizing_w12_gm_chosen="Excluded")</formula>
    </cfRule>
  </conditionalFormatting>
  <conditionalFormatting sqref="L48:N48">
    <cfRule type="expression" dxfId="1988" priority="655">
      <formula>(sizing_w13_gm_chosen="Excluded")</formula>
    </cfRule>
  </conditionalFormatting>
  <conditionalFormatting sqref="L49:N49">
    <cfRule type="expression" dxfId="1987" priority="668">
      <formula>(sizing_w14_gm_chosen&lt;&gt;"Excluded")</formula>
    </cfRule>
    <cfRule type="expression" dxfId="1986" priority="656">
      <formula>(sizing_w14_gm_chosen="Excluded")</formula>
    </cfRule>
  </conditionalFormatting>
  <conditionalFormatting sqref="L50:N50">
    <cfRule type="expression" dxfId="1985" priority="657">
      <formula>(sizing_w15_gm_chosen="Excluded")</formula>
    </cfRule>
    <cfRule type="expression" dxfId="1984" priority="667">
      <formula>(sizing_w15_gm_chosen&lt;&gt;"Excluded")</formula>
    </cfRule>
  </conditionalFormatting>
  <conditionalFormatting sqref="L51:N51">
    <cfRule type="expression" dxfId="1983" priority="509">
      <formula>(sizing_w16_gm_chosen="Excluded")</formula>
    </cfRule>
    <cfRule type="expression" dxfId="1982" priority="664">
      <formula>(sizing_w16_gm_chosen&lt;&gt;"Excluded")</formula>
    </cfRule>
  </conditionalFormatting>
  <conditionalFormatting sqref="L52:N52">
    <cfRule type="expression" dxfId="1981" priority="510">
      <formula>(sizing_w17_gm_chosen="Excluded")</formula>
    </cfRule>
    <cfRule type="expression" dxfId="1980" priority="665">
      <formula>(sizing_w17_gm_chosen&lt;&gt;"Excluded")</formula>
    </cfRule>
  </conditionalFormatting>
  <conditionalFormatting sqref="L53:N53">
    <cfRule type="expression" dxfId="1979" priority="511">
      <formula>(sizing_w18_gm_chosen="Excluded")</formula>
    </cfRule>
    <cfRule type="expression" dxfId="1978" priority="666">
      <formula>(sizing_w18_gm_chosen&lt;&gt;"Excluded")</formula>
    </cfRule>
  </conditionalFormatting>
  <conditionalFormatting sqref="L54:N54">
    <cfRule type="expression" dxfId="1977" priority="512">
      <formula>(sizing_w19_gm_chosen="Excluded")</formula>
    </cfRule>
    <cfRule type="expression" dxfId="1976" priority="663">
      <formula>(sizing_w19_gm_chosen&lt;&gt;"Excluded")</formula>
    </cfRule>
  </conditionalFormatting>
  <conditionalFormatting sqref="L55:N55">
    <cfRule type="expression" dxfId="1975" priority="662">
      <formula>(sizing_w20_gm_chosen&lt;&gt;"Excluded")</formula>
    </cfRule>
    <cfRule type="expression" dxfId="1974" priority="513">
      <formula>(sizing_w20_gm_chosen="Excluded")</formula>
    </cfRule>
  </conditionalFormatting>
  <conditionalFormatting sqref="L56:N56">
    <cfRule type="expression" dxfId="1973" priority="514">
      <formula>(sizing_w21_gm_chosen="Excluded")</formula>
    </cfRule>
    <cfRule type="expression" dxfId="1972" priority="661">
      <formula>(sizing_w21_gm_chosen&lt;&gt;"Excluded")</formula>
    </cfRule>
  </conditionalFormatting>
  <conditionalFormatting sqref="L57:N57">
    <cfRule type="expression" dxfId="1971" priority="660">
      <formula>(sizing_w22_gm_chosen&lt;&gt;"Excluded")</formula>
    </cfRule>
    <cfRule type="expression" dxfId="1970" priority="515">
      <formula>(sizing_w22_gm_chosen="Excluded")</formula>
    </cfRule>
  </conditionalFormatting>
  <conditionalFormatting sqref="L58:N58">
    <cfRule type="expression" dxfId="1969" priority="659">
      <formula>(sizing_w23_gm_chosen&lt;&gt;"Excluded")</formula>
    </cfRule>
    <cfRule type="expression" dxfId="1968" priority="516">
      <formula>(sizing_w23_gm_chosen="Excluded")</formula>
    </cfRule>
  </conditionalFormatting>
  <conditionalFormatting sqref="L59:N59">
    <cfRule type="expression" dxfId="1967" priority="658">
      <formula>(sizing_w24_gm_chosen&lt;&gt;"Excluded")</formula>
    </cfRule>
    <cfRule type="expression" dxfId="1966" priority="538">
      <formula>(sizing_w24_gm_chosen="Excluded")</formula>
    </cfRule>
  </conditionalFormatting>
  <conditionalFormatting sqref="L37:O37">
    <cfRule type="expression" dxfId="1965" priority="702">
      <formula>(sizing_w02_gm_chosen="Excluded")</formula>
    </cfRule>
    <cfRule type="expression" dxfId="1964" priority="712">
      <formula>(sizing_w02_gm_chosen&lt;&gt;"Excluded")</formula>
    </cfRule>
  </conditionalFormatting>
  <conditionalFormatting sqref="M36:N36">
    <cfRule type="expression" dxfId="1963" priority="713">
      <formula>(sizing_w01_gm_chosen="Connect Instance")</formula>
    </cfRule>
    <cfRule type="expression" dxfId="1962" priority="716">
      <formula>(sizing_w01_gm_result="Included")</formula>
    </cfRule>
    <cfRule type="expression" dxfId="1961" priority="192" stopIfTrue="1">
      <formula>(sizing_w01_gm_result&lt;&gt;"Included")</formula>
    </cfRule>
  </conditionalFormatting>
  <conditionalFormatting sqref="M38:N38">
    <cfRule type="expression" dxfId="1960" priority="649">
      <formula>(sizing_w03_gm_result&lt;&gt;"Excluded")</formula>
    </cfRule>
    <cfRule type="expression" dxfId="1959" priority="346">
      <formula>(sizing_w03_gm_chosen="Connect Instance")</formula>
    </cfRule>
  </conditionalFormatting>
  <conditionalFormatting sqref="M39:N39">
    <cfRule type="expression" dxfId="1958" priority="647">
      <formula>(sizing_w04_gm_result&lt;&gt;"Excluded")</formula>
    </cfRule>
    <cfRule type="expression" dxfId="1957" priority="238">
      <formula>(sizing_w04_gm_chosen="Connect Instance")</formula>
    </cfRule>
  </conditionalFormatting>
  <conditionalFormatting sqref="M40:N40">
    <cfRule type="expression" dxfId="1956" priority="279">
      <formula>(sizing_w05_gm_chosen="Connect Instance")</formula>
    </cfRule>
    <cfRule type="expression" dxfId="1955" priority="645">
      <formula>(sizing_w05_gm_result&lt;&gt;"Excluded")</formula>
    </cfRule>
  </conditionalFormatting>
  <conditionalFormatting sqref="M41:N41">
    <cfRule type="expression" dxfId="1954" priority="278">
      <formula>(sizing_w06_gm_chosen="Connect Instance")</formula>
    </cfRule>
    <cfRule type="expression" dxfId="1953" priority="643">
      <formula>(sizing_w06_gm_result&lt;&gt;"Excluded")</formula>
    </cfRule>
  </conditionalFormatting>
  <conditionalFormatting sqref="M42:N42">
    <cfRule type="expression" dxfId="1952" priority="640">
      <formula>(sizing_w07_gm_result&lt;&gt;"Excluded")</formula>
    </cfRule>
    <cfRule type="expression" dxfId="1951" priority="300">
      <formula>(sizing_w07_gm_chosen="Connect Instance")</formula>
    </cfRule>
  </conditionalFormatting>
  <conditionalFormatting sqref="M43:N43">
    <cfRule type="expression" dxfId="1950" priority="277">
      <formula>(sizing_w08_gm_chosen="Connect Instance")</formula>
    </cfRule>
    <cfRule type="expression" dxfId="1949" priority="639">
      <formula>(sizing_w08_gm_result&lt;&gt;"Excluded")</formula>
    </cfRule>
  </conditionalFormatting>
  <conditionalFormatting sqref="M44:N44">
    <cfRule type="expression" dxfId="1948" priority="276">
      <formula>(sizing_w09_gm_chosen="Connect Instance")</formula>
    </cfRule>
    <cfRule type="expression" dxfId="1947" priority="636">
      <formula>(sizing_w09_gm_result&lt;&gt;"Excluded")</formula>
    </cfRule>
  </conditionalFormatting>
  <conditionalFormatting sqref="M45:N45">
    <cfRule type="expression" dxfId="1946" priority="634">
      <formula>(sizing_w10_gm_result&lt;&gt;"Excluded")</formula>
    </cfRule>
    <cfRule type="expression" dxfId="1945" priority="275">
      <formula>(sizing_w10_gm_chosen="Connect Instance")</formula>
    </cfRule>
  </conditionalFormatting>
  <conditionalFormatting sqref="M46:N46">
    <cfRule type="expression" dxfId="1944" priority="632">
      <formula>(sizing_w11_gm_result&lt;&gt;"Excluded")</formula>
    </cfRule>
    <cfRule type="expression" dxfId="1943" priority="274">
      <formula>(sizing_w11_gm_chosen="Connect Instance")</formula>
    </cfRule>
  </conditionalFormatting>
  <conditionalFormatting sqref="M47:N47">
    <cfRule type="expression" dxfId="1942" priority="273">
      <formula>(sizing_w12_gm_chosen="Connect Instance")</formula>
    </cfRule>
    <cfRule type="expression" dxfId="1941" priority="628">
      <formula>(sizing_w12_gm_result&lt;&gt;"Excluded")</formula>
    </cfRule>
  </conditionalFormatting>
  <conditionalFormatting sqref="M48:N48">
    <cfRule type="expression" dxfId="1940" priority="626">
      <formula>(sizing_w13_gm_result&lt;&gt;"Excluded")</formula>
    </cfRule>
    <cfRule type="expression" dxfId="1939" priority="75">
      <formula>(sizing_w13_gm_chosen="Connect Instance")</formula>
    </cfRule>
  </conditionalFormatting>
  <conditionalFormatting sqref="M49:N49 L48:N48">
    <cfRule type="expression" dxfId="1938" priority="669">
      <formula>(sizing_w13_gm_chosen&lt;&gt;"Excluded")</formula>
    </cfRule>
  </conditionalFormatting>
  <conditionalFormatting sqref="M49:N49">
    <cfRule type="expression" dxfId="1937" priority="271">
      <formula>(sizing_w14_gm_chosen="Connect Instance")</formula>
    </cfRule>
    <cfRule type="expression" dxfId="1936" priority="624">
      <formula>(sizing_w14_gm_result&lt;&gt;"Excluded")</formula>
    </cfRule>
  </conditionalFormatting>
  <conditionalFormatting sqref="M50:N50">
    <cfRule type="expression" dxfId="1935" priority="270">
      <formula>(sizing_w15_gm_chosen="Connect Instance")</formula>
    </cfRule>
  </conditionalFormatting>
  <conditionalFormatting sqref="M51:N51">
    <cfRule type="expression" dxfId="1934" priority="72">
      <formula>(sizing_w16_gm_chosen="Connect Instance")</formula>
    </cfRule>
  </conditionalFormatting>
  <conditionalFormatting sqref="M52:N52">
    <cfRule type="expression" dxfId="1933" priority="268">
      <formula>(sizing_w17_gm_chosen="Connect Instance")</formula>
    </cfRule>
  </conditionalFormatting>
  <conditionalFormatting sqref="M53:N53">
    <cfRule type="expression" dxfId="1932" priority="267">
      <formula>(sizing_w18_gm_chosen="Connect Instance")</formula>
    </cfRule>
  </conditionalFormatting>
  <conditionalFormatting sqref="M54:N54">
    <cfRule type="expression" dxfId="1931" priority="266">
      <formula>(sizing_w19_gm_chosen="Connect Instance")</formula>
    </cfRule>
  </conditionalFormatting>
  <conditionalFormatting sqref="M55:N55">
    <cfRule type="expression" dxfId="1930" priority="265">
      <formula>(sizing_w20_gm_chosen="Connect Instance")</formula>
    </cfRule>
  </conditionalFormatting>
  <conditionalFormatting sqref="M56:N56">
    <cfRule type="expression" dxfId="1929" priority="264">
      <formula>(sizing_w21_gm_chosen="Connect Instance")</formula>
    </cfRule>
  </conditionalFormatting>
  <conditionalFormatting sqref="M57:N57">
    <cfRule type="expression" dxfId="1928" priority="263">
      <formula>(sizing_w22_gm_chosen="Connect Instance")</formula>
    </cfRule>
  </conditionalFormatting>
  <conditionalFormatting sqref="M58:N58">
    <cfRule type="expression" dxfId="1927" priority="262">
      <formula>(sizing_w23_gm_chosen="Connect Instance")</formula>
    </cfRule>
  </conditionalFormatting>
  <conditionalFormatting sqref="M59:N59">
    <cfRule type="expression" dxfId="1926" priority="64">
      <formula>(sizing_w14_gm_chosen="Connect Instance")</formula>
    </cfRule>
  </conditionalFormatting>
  <conditionalFormatting sqref="M37:O37">
    <cfRule type="expression" dxfId="1925" priority="348">
      <formula>(sizing_w02_gm_chosen="Connect Instance")</formula>
    </cfRule>
  </conditionalFormatting>
  <conditionalFormatting sqref="O32:P32">
    <cfRule type="expression" dxfId="1924" priority="95">
      <formula>sizing_m01_nsxt_gm_appliance_size="Excluded"</formula>
    </cfRule>
  </conditionalFormatting>
  <conditionalFormatting sqref="P36:Q36">
    <cfRule type="expression" dxfId="1923" priority="381">
      <formula>(sizing_w01_spr_chosen="Exclude")</formula>
    </cfRule>
    <cfRule type="expression" dxfId="1922" priority="715">
      <formula>(sizing_w01_spr_chosen="Include")</formula>
    </cfRule>
  </conditionalFormatting>
  <conditionalFormatting sqref="P37:Q37">
    <cfRule type="expression" dxfId="1921" priority="705">
      <formula>(sizing_w02_spr_chosen="Include")</formula>
    </cfRule>
    <cfRule type="expression" dxfId="1920" priority="703">
      <formula>(sizing_w02_spr_chosen="Exclude")</formula>
    </cfRule>
  </conditionalFormatting>
  <conditionalFormatting sqref="P38:Q38">
    <cfRule type="expression" dxfId="1919" priority="623">
      <formula>(sizing_w03_spr_chosen="Include")</formula>
    </cfRule>
    <cfRule type="expression" dxfId="1918" priority="622">
      <formula>(sizing_w03_spr_chosen="Exclude")</formula>
    </cfRule>
  </conditionalFormatting>
  <conditionalFormatting sqref="P39:Q39">
    <cfRule type="expression" dxfId="1917" priority="619">
      <formula>(sizing_w04_spr_chosen="Exclude")</formula>
    </cfRule>
    <cfRule type="expression" dxfId="1916" priority="620">
      <formula>(sizing_w04_spr_chosen="Include")</formula>
    </cfRule>
  </conditionalFormatting>
  <conditionalFormatting sqref="P40:Q40">
    <cfRule type="expression" dxfId="1915" priority="617" stopIfTrue="1">
      <formula>(sizing_w05_spr_chosen="Include")</formula>
    </cfRule>
    <cfRule type="expression" dxfId="1914" priority="616">
      <formula>(sizing_w05_spr_chosen="Exclude")</formula>
    </cfRule>
    <cfRule type="expression" dxfId="1913" priority="615">
      <formula>(sizing_w05_result="Excluded")</formula>
    </cfRule>
  </conditionalFormatting>
  <conditionalFormatting sqref="P41:Q41">
    <cfRule type="expression" dxfId="1912" priority="614">
      <formula>(sizing_w06_spr_chosen="Include")</formula>
    </cfRule>
    <cfRule type="expression" dxfId="1911" priority="613">
      <formula>(sizing_w06_spr_chosen="Exclude")</formula>
    </cfRule>
    <cfRule type="expression" dxfId="1910" priority="612">
      <formula>(sizing_w06_result="Excluded")</formula>
    </cfRule>
  </conditionalFormatting>
  <conditionalFormatting sqref="P42:Q42">
    <cfRule type="expression" dxfId="1909" priority="611">
      <formula>(sizing_w07_spr_chosen="Include")</formula>
    </cfRule>
    <cfRule type="expression" dxfId="1908" priority="610">
      <formula>(sizing_w07_spr_chosen="Exclude")</formula>
    </cfRule>
  </conditionalFormatting>
  <conditionalFormatting sqref="P43:Q43">
    <cfRule type="expression" dxfId="1907" priority="608">
      <formula>(sizing_w08_spr_chosen="Exclude")</formula>
    </cfRule>
    <cfRule type="expression" dxfId="1906" priority="606">
      <formula>(sizing_w08_spr_chosen="Include")</formula>
    </cfRule>
  </conditionalFormatting>
  <conditionalFormatting sqref="P44:Q44">
    <cfRule type="expression" dxfId="1905" priority="604">
      <formula>(sizing_w09_spr_chosen="Exclude")</formula>
    </cfRule>
    <cfRule type="expression" dxfId="1904" priority="605">
      <formula>(sizing_w09_spr_chosen="Include")</formula>
    </cfRule>
  </conditionalFormatting>
  <conditionalFormatting sqref="P45:Q45">
    <cfRule type="expression" dxfId="1903" priority="602">
      <formula>(sizing_w10_spr_chosen="Include")</formula>
    </cfRule>
    <cfRule type="expression" dxfId="1902" priority="601">
      <formula>(sizing_w10_spr_chosen="Exclude")</formula>
    </cfRule>
  </conditionalFormatting>
  <conditionalFormatting sqref="P46:Q46">
    <cfRule type="expression" dxfId="1901" priority="599">
      <formula>(sizing_w11_spr_chosen="Include")</formula>
    </cfRule>
    <cfRule type="expression" dxfId="1900" priority="598">
      <formula>(sizing_w11_spr_chosen="Exclude")</formula>
    </cfRule>
  </conditionalFormatting>
  <conditionalFormatting sqref="P47:Q47">
    <cfRule type="expression" dxfId="1899" priority="595">
      <formula>(sizing_w12_spr_chosen="Include")</formula>
    </cfRule>
    <cfRule type="expression" dxfId="1898" priority="593">
      <formula>(sizing_w12_spr_chosen="Exclude")</formula>
    </cfRule>
  </conditionalFormatting>
  <conditionalFormatting sqref="P48:Q48">
    <cfRule type="expression" dxfId="1897" priority="591">
      <formula>(sizing_w13_spr_chosen="Include")</formula>
    </cfRule>
    <cfRule type="expression" dxfId="1896" priority="590">
      <formula>(sizing_w13_spr_chosen="Exclude")</formula>
    </cfRule>
  </conditionalFormatting>
  <conditionalFormatting sqref="P49:Q49">
    <cfRule type="expression" dxfId="1895" priority="588">
      <formula>(sizing_w14_spr_chosen="Include")</formula>
    </cfRule>
    <cfRule type="expression" dxfId="1894" priority="587">
      <formula>(sizing_w14_spr_chosen="Exclude")</formula>
    </cfRule>
  </conditionalFormatting>
  <conditionalFormatting sqref="P50:Q50">
    <cfRule type="expression" dxfId="1893" priority="558">
      <formula>(sizing_w15_spr_chosen="Include")</formula>
    </cfRule>
    <cfRule type="expression" dxfId="1892" priority="537">
      <formula>(sizing_w15_spr_chosen="Exclude")</formula>
    </cfRule>
  </conditionalFormatting>
  <conditionalFormatting sqref="P51:Q51">
    <cfRule type="expression" dxfId="1891" priority="536">
      <formula>(sizing_w16_spr_chosen="Include")</formula>
    </cfRule>
    <cfRule type="expression" dxfId="1890" priority="526">
      <formula>(sizing_w16_spr_chosen="Exclude")</formula>
    </cfRule>
  </conditionalFormatting>
  <conditionalFormatting sqref="P52:Q52">
    <cfRule type="expression" dxfId="1889" priority="535">
      <formula>(sizing_w17_spr_chosen="Include")</formula>
    </cfRule>
    <cfRule type="expression" dxfId="1888" priority="525">
      <formula>(sizing_w17_spr_chosen="Exclude")</formula>
    </cfRule>
  </conditionalFormatting>
  <conditionalFormatting sqref="P53:Q53">
    <cfRule type="expression" dxfId="1887" priority="501">
      <formula>(sizing_w18_spr_chosen="Exclude")</formula>
    </cfRule>
    <cfRule type="expression" dxfId="1886" priority="534">
      <formula>(sizing_w18_spr_chosen="Include")</formula>
    </cfRule>
  </conditionalFormatting>
  <conditionalFormatting sqref="P54:Q54">
    <cfRule type="expression" dxfId="1885" priority="523">
      <formula>(sizing_w19_spr_chosen="Exclude")</formula>
    </cfRule>
    <cfRule type="expression" dxfId="1884" priority="533">
      <formula>(sizing_w19_spr_chosen="Include")</formula>
    </cfRule>
  </conditionalFormatting>
  <conditionalFormatting sqref="P55:Q55">
    <cfRule type="expression" dxfId="1883" priority="532">
      <formula>(sizing_w20_spr_chosen="Include")</formula>
    </cfRule>
    <cfRule type="expression" dxfId="1882" priority="522">
      <formula>(sizing_w20_spr_chosen="Exclude")</formula>
    </cfRule>
  </conditionalFormatting>
  <conditionalFormatting sqref="P56:Q56">
    <cfRule type="expression" dxfId="1881" priority="531">
      <formula>(sizing_w21_spr_chosen="Include")</formula>
    </cfRule>
    <cfRule type="expression" dxfId="1880" priority="521">
      <formula>(sizing_w21_spr_chosen="Exclude")</formula>
    </cfRule>
  </conditionalFormatting>
  <conditionalFormatting sqref="P57:Q57">
    <cfRule type="expression" dxfId="1879" priority="520">
      <formula>(sizing_w22_spr_chosen="Exclude")</formula>
    </cfRule>
    <cfRule type="expression" dxfId="1878" priority="530">
      <formula>(sizing_w22_spr_chosen="Include")</formula>
    </cfRule>
  </conditionalFormatting>
  <conditionalFormatting sqref="P58:Q58">
    <cfRule type="expression" dxfId="1877" priority="529">
      <formula>(sizing_w23_spr_chosen="Include")</formula>
    </cfRule>
    <cfRule type="expression" dxfId="1876" priority="519">
      <formula>(sizing_w23_spr_chosen="Exclude")</formula>
    </cfRule>
  </conditionalFormatting>
  <conditionalFormatting sqref="P59:Q59">
    <cfRule type="expression" dxfId="1875" priority="528">
      <formula>(sizing_w24_spr_chosen="Include")</formula>
    </cfRule>
    <cfRule type="expression" dxfId="1874" priority="518">
      <formula>(sizing_w24_spr_chosen="Exclude")</formula>
    </cfRule>
  </conditionalFormatting>
  <conditionalFormatting sqref="Q32:R32">
    <cfRule type="expression" dxfId="1873" priority="384" stopIfTrue="1">
      <formula>sizing_mgmt_avi_lb_appliance_size="Excluded"</formula>
    </cfRule>
  </conditionalFormatting>
  <conditionalFormatting sqref="R18:S19 R21:S21">
    <cfRule type="expression" dxfId="1872" priority="1">
      <formula>OR((sizing_storage_type="FC"),(sizing_storage_type="NFS"))</formula>
    </cfRule>
  </conditionalFormatting>
  <conditionalFormatting sqref="S36:T36">
    <cfRule type="expression" dxfId="1871" priority="707">
      <formula>sizing_w01_avi_appliance_size="Excluded"</formula>
    </cfRule>
  </conditionalFormatting>
  <conditionalFormatting sqref="S37:T37">
    <cfRule type="expression" dxfId="1870" priority="362">
      <formula>OR((sizing_w02_spr_chosen&lt;&gt;"Exclude"),(sizing_w02_gm_chosen&lt;&gt;"Excluded"))</formula>
    </cfRule>
    <cfRule type="expression" dxfId="1869" priority="1104">
      <formula>(sizing_w02_avi_appliance_size&lt;&gt;"Excluded")</formula>
    </cfRule>
    <cfRule type="expression" dxfId="1868" priority="561">
      <formula>(sizing_w02_avi_appliance_size="Excluded")</formula>
    </cfRule>
  </conditionalFormatting>
  <conditionalFormatting sqref="S38:T38">
    <cfRule type="expression" dxfId="1867" priority="357" stopIfTrue="1">
      <formula>sizing_w03_spr_chosen&lt;&gt;"Exclude"</formula>
    </cfRule>
    <cfRule type="expression" dxfId="1866" priority="546">
      <formula>sizing_w03_avi_appliance_size="Excluded"</formula>
    </cfRule>
    <cfRule type="expression" dxfId="1865" priority="692">
      <formula>sizing_w03_avi_appliance_size&lt;&gt;"Excluded"</formula>
    </cfRule>
  </conditionalFormatting>
  <conditionalFormatting sqref="S39:T39">
    <cfRule type="expression" dxfId="1864" priority="547" stopIfTrue="1">
      <formula>(sizing_w04_avi_appliance_size&lt;&gt;"Excluded")</formula>
    </cfRule>
    <cfRule type="expression" dxfId="1863" priority="280">
      <formula>sizing_w04_spr_chosen&lt;&gt;"Exclude"</formula>
    </cfRule>
    <cfRule type="expression" dxfId="1862" priority="303" stopIfTrue="1">
      <formula>(sizing_w04_avi_appliance_size="Excluded")</formula>
    </cfRule>
  </conditionalFormatting>
  <conditionalFormatting sqref="S40:T40">
    <cfRule type="expression" dxfId="1861" priority="343">
      <formula>(sizing_w05_avi_appliance_size="Excluded")</formula>
    </cfRule>
    <cfRule type="expression" dxfId="1860" priority="302">
      <formula>sizing_w05_spr_chosen&lt;&gt;"Exclude"</formula>
    </cfRule>
    <cfRule type="expression" dxfId="1859" priority="548">
      <formula>(sizing_w05_avi_appliance_size&lt;&gt;"Excluded")</formula>
    </cfRule>
  </conditionalFormatting>
  <conditionalFormatting sqref="S41:T41">
    <cfRule type="expression" dxfId="1858" priority="364" stopIfTrue="1">
      <formula>sizing_w06_avi_appliance_size="Excluded"</formula>
    </cfRule>
    <cfRule type="expression" dxfId="1857" priority="549">
      <formula>(sizing_w06_avi_appliance_size&lt;&gt;"Excluded")</formula>
    </cfRule>
    <cfRule type="expression" dxfId="1856" priority="301">
      <formula>sizing_w06_spr_chosen&lt;&gt;"Exclude"</formula>
    </cfRule>
  </conditionalFormatting>
  <conditionalFormatting sqref="S42:T42">
    <cfRule type="expression" dxfId="1855" priority="341" stopIfTrue="1">
      <formula>sizing_w07_spr_chosen&lt;&gt;"Exclude"</formula>
    </cfRule>
    <cfRule type="expression" dxfId="1854" priority="1103">
      <formula>(sizing_w07_avi_appliance_size&lt;&gt;"Excluded")</formula>
    </cfRule>
    <cfRule type="expression" dxfId="1853" priority="550">
      <formula>sizing_w07_avi_appliance_size="Excluded"</formula>
    </cfRule>
  </conditionalFormatting>
  <conditionalFormatting sqref="S43:T43">
    <cfRule type="expression" dxfId="1852" priority="488">
      <formula>(sizing_w08_avi_appliance_size="Excluded")</formula>
    </cfRule>
    <cfRule type="expression" dxfId="1851" priority="551">
      <formula>(sizing_w08_avi_appliance_size&lt;&gt;"Excluded")</formula>
    </cfRule>
    <cfRule type="expression" dxfId="1850" priority="299" stopIfTrue="1">
      <formula>sizing_w08_spr_chosen&lt;&gt;"Exclude"</formula>
    </cfRule>
  </conditionalFormatting>
  <conditionalFormatting sqref="S44:T44">
    <cfRule type="expression" dxfId="1849" priority="489">
      <formula>(sizing_w09_avi_appliance_size="Excluded")</formula>
    </cfRule>
    <cfRule type="expression" dxfId="1848" priority="552">
      <formula>(sizing_w09_avi_appliance_size&lt;&gt;"Excluded")</formula>
    </cfRule>
    <cfRule type="expression" dxfId="1847" priority="298" stopIfTrue="1">
      <formula>sizing_w09_spr_chosen&lt;&gt;"Exclude"</formula>
    </cfRule>
  </conditionalFormatting>
  <conditionalFormatting sqref="S45:T45">
    <cfRule type="expression" dxfId="1846" priority="490">
      <formula>(sizing_w10_avi_appliance_size="Excluded")</formula>
    </cfRule>
    <cfRule type="expression" dxfId="1845" priority="297">
      <formula>sizing_w10_spr_chosen&lt;&gt;"Exclude"</formula>
    </cfRule>
    <cfRule type="expression" dxfId="1844" priority="553">
      <formula>(sizing_w10_avi_appliance_size&lt;&gt;"Excluded")</formula>
    </cfRule>
  </conditionalFormatting>
  <conditionalFormatting sqref="S46:T46">
    <cfRule type="expression" dxfId="1843" priority="333">
      <formula>sizing_w11_spr_chosen&lt;&gt;"Exclude"</formula>
    </cfRule>
    <cfRule type="expression" dxfId="1842" priority="492">
      <formula>(sizing_w11_avi_appliance_size="Excluded")</formula>
    </cfRule>
    <cfRule type="expression" dxfId="1841" priority="554">
      <formula>(sizing_w11_avi_appliance_size&lt;&gt;"Excluded")</formula>
    </cfRule>
  </conditionalFormatting>
  <conditionalFormatting sqref="S47:T47">
    <cfRule type="expression" dxfId="1840" priority="555">
      <formula>(sizing_w12_avi_appliance_size&lt;&gt;"Excluded")</formula>
    </cfRule>
    <cfRule type="expression" dxfId="1839" priority="493">
      <formula>(sizing_w12_avi_appliance_size="Excluded")</formula>
    </cfRule>
    <cfRule type="expression" dxfId="1838" priority="295">
      <formula>sizing_w12_spr_chosen&lt;&gt;"Exclude"</formula>
    </cfRule>
  </conditionalFormatting>
  <conditionalFormatting sqref="S48:T48">
    <cfRule type="expression" dxfId="1837" priority="494">
      <formula>(sizing_w13_avi_appliance_size="Excluded")</formula>
    </cfRule>
    <cfRule type="expression" dxfId="1836" priority="294">
      <formula>sizing_w13_spr_chosen&lt;&gt;"Exclude"</formula>
    </cfRule>
    <cfRule type="expression" dxfId="1835" priority="556">
      <formula>(sizing_w13_avi_appliance_size&lt;&gt;"Excluded")</formula>
    </cfRule>
  </conditionalFormatting>
  <conditionalFormatting sqref="S49:T49">
    <cfRule type="expression" dxfId="1834" priority="557">
      <formula>(sizing_w14_avi_appliance_size&lt;&gt;"Excluded")</formula>
    </cfRule>
    <cfRule type="expression" dxfId="1833" priority="327">
      <formula>sizing_w14_spr_chosen&lt;&gt;"Exclude"</formula>
    </cfRule>
    <cfRule type="expression" dxfId="1832" priority="495">
      <formula>(sizing_w14_avi_appliance_size="Excluded")</formula>
    </cfRule>
  </conditionalFormatting>
  <conditionalFormatting sqref="S50:T50">
    <cfRule type="expression" dxfId="1831" priority="496" stopIfTrue="1">
      <formula>(sizing_w15_avi_appliance_size="Excluded")</formula>
    </cfRule>
    <cfRule type="expression" dxfId="1830" priority="292">
      <formula>sizing_w15_spr_chosen&lt;&gt;"Exclude"</formula>
    </cfRule>
    <cfRule type="expression" dxfId="1829" priority="527">
      <formula>(sizing_w15_avi_appliance_size&lt;&gt;"Excluded")</formula>
    </cfRule>
  </conditionalFormatting>
  <conditionalFormatting sqref="S51:T51">
    <cfRule type="expression" dxfId="1828" priority="499">
      <formula>(sizing_w16_avi_appliance_size&lt;&gt;"Excluded")</formula>
    </cfRule>
    <cfRule type="expression" dxfId="1827" priority="497" stopIfTrue="1">
      <formula>(sizing_w16_avi_appliance_size="Excluded")</formula>
    </cfRule>
    <cfRule type="expression" dxfId="1826" priority="291">
      <formula>sizing_w16_spr_chosen&lt;&gt;"Exclude"</formula>
    </cfRule>
  </conditionalFormatting>
  <conditionalFormatting sqref="S52:T52">
    <cfRule type="expression" dxfId="1825" priority="524">
      <formula>(sizing_w17_avi_appliance_size&lt;&gt;"Excluded")</formula>
    </cfRule>
    <cfRule type="expression" dxfId="1824" priority="290">
      <formula>sizing_w17_spr_chosen&lt;&gt;"Exclude"</formula>
    </cfRule>
    <cfRule type="expression" dxfId="1823" priority="500" stopIfTrue="1">
      <formula>(sizing_w17_avi_appliance_size="Excluded")</formula>
    </cfRule>
  </conditionalFormatting>
  <conditionalFormatting sqref="S53:T53">
    <cfRule type="expression" dxfId="1822" priority="289">
      <formula>(sizing_w18_avi_appliance_size="Excluded")</formula>
    </cfRule>
    <cfRule type="expression" dxfId="1821" priority="282">
      <formula>sizing_w18_spr_chosen&lt;&gt;"Exclude"</formula>
    </cfRule>
    <cfRule type="expression" dxfId="1820" priority="491">
      <formula>(sizing_w18_avi_appliance_size&lt;&gt;"Excluded")</formula>
    </cfRule>
  </conditionalFormatting>
  <conditionalFormatting sqref="S54:T54">
    <cfRule type="expression" dxfId="1819" priority="288">
      <formula>sizing_w19_spr_chosen&lt;&gt;"Exclude"</formula>
    </cfRule>
    <cfRule type="expression" dxfId="1818" priority="589">
      <formula>(sizing_w19_avi_appliance_size&lt;&gt;"Excluded")</formula>
    </cfRule>
    <cfRule type="expression" dxfId="1817" priority="502">
      <formula>(sizing_w19_avi_appliance_size="Excluded")</formula>
    </cfRule>
  </conditionalFormatting>
  <conditionalFormatting sqref="S55:T55">
    <cfRule type="expression" dxfId="1816" priority="503" stopIfTrue="1">
      <formula>(sizing_w20_avi_appliance_size="Excluded")</formula>
    </cfRule>
    <cfRule type="expression" dxfId="1815" priority="316">
      <formula>sizing_w20_spr_chosen&lt;&gt;"Exclude"</formula>
    </cfRule>
    <cfRule type="expression" dxfId="1814" priority="592">
      <formula>(sizing_w20_avi_appliance_size&lt;&gt;"Excluded")</formula>
    </cfRule>
  </conditionalFormatting>
  <conditionalFormatting sqref="S56:T56">
    <cfRule type="expression" dxfId="1813" priority="314">
      <formula>sizing_w21_spr_chosen&lt;&gt;"Exclude"</formula>
    </cfRule>
    <cfRule type="expression" dxfId="1812" priority="504" stopIfTrue="1">
      <formula>(sizing_w21_avi_appliance_size="Excluded")</formula>
    </cfRule>
    <cfRule type="expression" dxfId="1811" priority="597">
      <formula>(sizing_w21_avi_appliance_size&lt;&gt;"Excluded")</formula>
    </cfRule>
  </conditionalFormatting>
  <conditionalFormatting sqref="S57:T57">
    <cfRule type="expression" dxfId="1810" priority="600">
      <formula>(sizing_w22_avi_appliance_size&lt;&gt;"Excluded")</formula>
    </cfRule>
    <cfRule type="expression" dxfId="1809" priority="311">
      <formula>sizing_w22_spr_chosen&lt;&gt;"Exclude"</formula>
    </cfRule>
    <cfRule type="expression" dxfId="1808" priority="505">
      <formula>(sizing_w22_avi_appliance_size="Excluded")</formula>
    </cfRule>
  </conditionalFormatting>
  <conditionalFormatting sqref="S58:T58">
    <cfRule type="expression" dxfId="1807" priority="603">
      <formula>(sizing_w23_avi_appliance_size&lt;&gt;"Excluded")</formula>
    </cfRule>
    <cfRule type="expression" dxfId="1806" priority="507">
      <formula>(sizing_w23_avi_appliance_size="Excluded")</formula>
    </cfRule>
    <cfRule type="expression" dxfId="1805" priority="284">
      <formula>sizing_w23_spr_chosen&lt;&gt;"Exclude"</formula>
    </cfRule>
  </conditionalFormatting>
  <conditionalFormatting sqref="S59:T59">
    <cfRule type="expression" dxfId="1804" priority="508">
      <formula>(sizing_w24_avi_appliance_size="Excluded")</formula>
    </cfRule>
    <cfRule type="expression" dxfId="1803" priority="607">
      <formula>(sizing_w24_avi_appliance_size&lt;&gt;"Excluded")</formula>
    </cfRule>
    <cfRule type="expression" dxfId="1802" priority="283">
      <formula>sizing_w24_spr_chosen&lt;&gt;"Exclude"</formula>
    </cfRule>
  </conditionalFormatting>
  <conditionalFormatting sqref="S36:U36">
    <cfRule type="expression" dxfId="1801" priority="87">
      <formula>OR((sizing_w01_spr_chosen&lt;&gt;"Exclude"),(sizing_w01_gm_chosen&lt;&gt;"Excluded"))</formula>
    </cfRule>
  </conditionalFormatting>
  <conditionalFormatting sqref="T37">
    <cfRule type="notContainsBlanks" dxfId="1800" priority="1101">
      <formula>LEN(TRIM(T37))&gt;0</formula>
    </cfRule>
  </conditionalFormatting>
  <conditionalFormatting sqref="U32:W32">
    <cfRule type="expression" dxfId="1799" priority="2">
      <formula>sizing_m01_ssp_chosen&lt;&gt;"Excluded"</formula>
    </cfRule>
    <cfRule type="expression" dxfId="1798" priority="3">
      <formula>sizing_m01_ssp_chosen="Excluded"</formula>
    </cfRule>
  </conditionalFormatting>
  <conditionalFormatting sqref="V36:W36">
    <cfRule type="expression" dxfId="1797" priority="5">
      <formula>sizing_w01_ssp_chosen&lt;&gt;"Excluded"</formula>
    </cfRule>
    <cfRule type="expression" dxfId="1796" priority="6">
      <formula>sizing_w01_ssp_chosen="Excluded"</formula>
    </cfRule>
  </conditionalFormatting>
  <conditionalFormatting sqref="V37:W37">
    <cfRule type="expression" dxfId="1795" priority="42">
      <formula>sizing_w02_ssp_chosen&lt;&gt;"Excluded"</formula>
    </cfRule>
    <cfRule type="expression" dxfId="1794" priority="86">
      <formula>sizing_w02_ssp_chosen="Excluded"</formula>
    </cfRule>
  </conditionalFormatting>
  <conditionalFormatting sqref="V38:W38">
    <cfRule type="expression" dxfId="1793" priority="85">
      <formula>sizing_w03_ssp_chosen="Excluded"</formula>
    </cfRule>
    <cfRule type="expression" dxfId="1792" priority="41">
      <formula>sizing_w03_ssp_chosen&lt;&gt;"Excluded"</formula>
    </cfRule>
  </conditionalFormatting>
  <conditionalFormatting sqref="V39:W39">
    <cfRule type="expression" dxfId="1791" priority="84">
      <formula>sizing_w04_ssp_chosen="Excluded"</formula>
    </cfRule>
    <cfRule type="expression" dxfId="1790" priority="40">
      <formula>sizing_w04_ssp_chosen&lt;&gt;"Excluded"</formula>
    </cfRule>
  </conditionalFormatting>
  <conditionalFormatting sqref="V40:W40">
    <cfRule type="expression" dxfId="1789" priority="83">
      <formula>sizing_w05_ssp_chosen="Excluded"</formula>
    </cfRule>
    <cfRule type="expression" dxfId="1788" priority="39">
      <formula>sizing_w05_ssp_chosen&lt;&gt;"Excluded"</formula>
    </cfRule>
  </conditionalFormatting>
  <conditionalFormatting sqref="V41:W41">
    <cfRule type="expression" dxfId="1787" priority="82">
      <formula>sizing_w06_ssp_chosen="Excluded"</formula>
    </cfRule>
    <cfRule type="expression" dxfId="1786" priority="38">
      <formula>sizing_w06_ssp_chosen&lt;&gt;"Excluded"</formula>
    </cfRule>
  </conditionalFormatting>
  <conditionalFormatting sqref="V42:W42">
    <cfRule type="expression" dxfId="1785" priority="81">
      <formula>sizing_w07_ssp_chosen="Excluded"</formula>
    </cfRule>
    <cfRule type="expression" dxfId="1784" priority="37">
      <formula>sizing_w07_ssp_chosen&lt;&gt;"Excluded"</formula>
    </cfRule>
  </conditionalFormatting>
  <conditionalFormatting sqref="V43:W43">
    <cfRule type="expression" dxfId="1783" priority="80">
      <formula>sizing_w08_ssp_chosen="Excluded"</formula>
    </cfRule>
    <cfRule type="expression" dxfId="1782" priority="36">
      <formula>sizing_w08_ssp_chosen&lt;&gt;"Excluded"</formula>
    </cfRule>
  </conditionalFormatting>
  <conditionalFormatting sqref="V44:W44">
    <cfRule type="expression" dxfId="1781" priority="79">
      <formula>sizing_w09_ssp_chosen="Excluded"</formula>
    </cfRule>
    <cfRule type="expression" dxfId="1780" priority="35">
      <formula>sizing_w09_ssp_chosen&lt;&gt;"Excluded"</formula>
    </cfRule>
  </conditionalFormatting>
  <conditionalFormatting sqref="V45:W45">
    <cfRule type="expression" dxfId="1779" priority="78">
      <formula>sizing_w10_ssp_chosen="Excluded"</formula>
    </cfRule>
    <cfRule type="expression" dxfId="1778" priority="34">
      <formula>sizing_w10_ssp_chosen&lt;&gt;"Excluded"</formula>
    </cfRule>
  </conditionalFormatting>
  <conditionalFormatting sqref="V46:W46">
    <cfRule type="expression" dxfId="1777" priority="33">
      <formula>sizing_w11_ssp_chosen&lt;&gt;"Excluded"</formula>
    </cfRule>
    <cfRule type="expression" dxfId="1776" priority="77">
      <formula>sizing_w11_ssp_chosen="Excluded"</formula>
    </cfRule>
  </conditionalFormatting>
  <conditionalFormatting sqref="V47:W47">
    <cfRule type="expression" dxfId="1775" priority="31">
      <formula>sizing_w12_ssp_chosen&lt;&gt;"Excluded"</formula>
    </cfRule>
    <cfRule type="expression" dxfId="1774" priority="74">
      <formula>sizing_w12_ssp_chosen="Excluded"</formula>
    </cfRule>
  </conditionalFormatting>
  <conditionalFormatting sqref="V48:W48">
    <cfRule type="expression" dxfId="1773" priority="76">
      <formula>sizing_w13_ssp_chosen="Excluded"</formula>
    </cfRule>
    <cfRule type="expression" dxfId="1772" priority="29">
      <formula>sizing_w13_ssp_chosen&lt;&gt;"Excluded"</formula>
    </cfRule>
  </conditionalFormatting>
  <conditionalFormatting sqref="V49:W49">
    <cfRule type="expression" dxfId="1771" priority="73">
      <formula>sizing_w14_ssp_chosen="Excluded"</formula>
    </cfRule>
    <cfRule type="expression" dxfId="1770" priority="28">
      <formula>sizing_w14_ssp_chosen&lt;&gt;"Excluded"</formula>
    </cfRule>
  </conditionalFormatting>
  <conditionalFormatting sqref="V50:W50">
    <cfRule type="expression" dxfId="1769" priority="32">
      <formula>sizing_w15_ssp_chosen&lt;&gt;"Excluded"</formula>
    </cfRule>
    <cfRule type="expression" dxfId="1768" priority="272">
      <formula>sizing_w15_ssp_chosen="Excluded"</formula>
    </cfRule>
  </conditionalFormatting>
  <conditionalFormatting sqref="V51:W51">
    <cfRule type="expression" dxfId="1767" priority="269">
      <formula>sizing_w16_ssp_chosen="Excluded"</formula>
    </cfRule>
    <cfRule type="expression" dxfId="1766" priority="43">
      <formula>sizing_w16_ssp_chosen&lt;&gt;"Excluded"</formula>
    </cfRule>
  </conditionalFormatting>
  <conditionalFormatting sqref="V52:W52">
    <cfRule type="expression" dxfId="1765" priority="71">
      <formula>sizing_w17_ssp_chosen="Excluded"</formula>
    </cfRule>
    <cfRule type="expression" dxfId="1764" priority="44">
      <formula>sizing_w17_ssp_chosen&lt;&gt;"Excluded"</formula>
    </cfRule>
  </conditionalFormatting>
  <conditionalFormatting sqref="V53:W53">
    <cfRule type="expression" dxfId="1763" priority="45">
      <formula>sizing_w18_ssp_chosen&lt;&gt;"Excluded"</formula>
    </cfRule>
    <cfRule type="expression" dxfId="1762" priority="70">
      <formula>sizing_w18_ssp_chosen="Excluded"</formula>
    </cfRule>
  </conditionalFormatting>
  <conditionalFormatting sqref="V54:W54">
    <cfRule type="expression" dxfId="1761" priority="46">
      <formula>sizing_w19_ssp_chosen&lt;&gt;"Excluded"</formula>
    </cfRule>
    <cfRule type="expression" dxfId="1760" priority="69">
      <formula>sizing_w19_ssp_chosen="Excluded"</formula>
    </cfRule>
  </conditionalFormatting>
  <conditionalFormatting sqref="V55:W55">
    <cfRule type="expression" dxfId="1759" priority="47">
      <formula>sizing_w20_ssp_chosen&lt;&gt;"Excluded"</formula>
    </cfRule>
    <cfRule type="expression" dxfId="1758" priority="68">
      <formula>sizing_w20_ssp_chosen="Excluded"</formula>
    </cfRule>
  </conditionalFormatting>
  <conditionalFormatting sqref="V56:W56">
    <cfRule type="expression" dxfId="1757" priority="67">
      <formula>sizing_w21_ssp_chosen="Excluded"</formula>
    </cfRule>
    <cfRule type="expression" dxfId="1756" priority="48">
      <formula>sizing_w21_ssp_chosen&lt;&gt;"Excluded"</formula>
    </cfRule>
  </conditionalFormatting>
  <conditionalFormatting sqref="V57:W57">
    <cfRule type="expression" dxfId="1755" priority="50">
      <formula>sizing_w22_ssp_chosen&lt;&gt;"Excluded"</formula>
    </cfRule>
    <cfRule type="expression" dxfId="1754" priority="66">
      <formula>sizing_w22_ssp_chosen="Excluded"</formula>
    </cfRule>
  </conditionalFormatting>
  <conditionalFormatting sqref="V58:W58">
    <cfRule type="expression" dxfId="1753" priority="51">
      <formula>sizing_w23_ssp_chosen&lt;&gt;"Excluded"</formula>
    </cfRule>
    <cfRule type="expression" dxfId="1752" priority="65">
      <formula>sizing_w23_ssp_chosen="Excluded"</formula>
    </cfRule>
  </conditionalFormatting>
  <conditionalFormatting sqref="V59:W59">
    <cfRule type="expression" dxfId="1751" priority="52">
      <formula>sizing_w24_ssp_chosen&lt;&gt;"Excluded"</formula>
    </cfRule>
    <cfRule type="expression" dxfId="1750" priority="261">
      <formula>sizing_w24_ssp_chosen="Excluded"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 type="list" allowBlank="1" showInputMessage="1" showErrorMessage="1" sqref="R13:S13" xr:uid="{0946D42E-9096-CE4F-B282-8EEC98399D0B}">
      <formula1>"vSAN-ESA,vSAN-OSA,NFS,FC"</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23"/>
  <sheetViews>
    <sheetView showGridLines="0" topLeftCell="E1" zoomScale="85" zoomScaleNormal="85" workbookViewId="0">
      <pane ySplit="4" topLeftCell="A5" activePane="bottomLeft" state="frozen"/>
      <selection pane="bottomLeft" activeCell="L44" sqref="L44"/>
    </sheetView>
  </sheetViews>
  <sheetFormatPr defaultColWidth="11" defaultRowHeight="15" x14ac:dyDescent="0.2"/>
  <cols>
    <col min="1" max="1" width="2.875" style="7" customWidth="1"/>
    <col min="2" max="2" width="1.875" style="7" customWidth="1"/>
    <col min="3" max="3" width="2.375" style="7" customWidth="1"/>
    <col min="4" max="4" width="1.875" style="7" customWidth="1"/>
    <col min="5" max="5" width="25.875" style="2" customWidth="1"/>
    <col min="6" max="6" width="1.875" style="2" customWidth="1"/>
    <col min="7" max="7" width="2.875" style="2" customWidth="1"/>
    <col min="8" max="8" width="1.875" style="2" customWidth="1"/>
    <col min="9" max="9" width="2.875" style="2" customWidth="1"/>
    <col min="10" max="10" width="75.375" style="8" bestFit="1" customWidth="1"/>
    <col min="11" max="11" width="80.875" style="2" customWidth="1"/>
    <col min="12" max="12" width="80.875" style="8" customWidth="1"/>
    <col min="13" max="13" width="104.625" style="2" customWidth="1"/>
    <col min="14" max="14" width="10.875" style="8" customWidth="1"/>
    <col min="15" max="19" width="11" style="8" customWidth="1"/>
    <col min="20" max="16384" width="11" style="8"/>
  </cols>
  <sheetData>
    <row r="1" spans="1:23" s="2" customFormat="1" ht="15.95" customHeight="1" x14ac:dyDescent="0.2">
      <c r="A1" s="39"/>
      <c r="B1" s="7"/>
      <c r="C1" s="7"/>
      <c r="D1" s="7"/>
      <c r="E1" s="7"/>
      <c r="F1" s="7"/>
      <c r="G1" s="7"/>
      <c r="H1" s="7"/>
      <c r="I1" s="7"/>
      <c r="N1" s="8"/>
      <c r="O1" s="8"/>
      <c r="P1" s="8"/>
      <c r="Q1" s="8"/>
      <c r="R1" s="8"/>
    </row>
    <row r="2" spans="1:23" s="2" customFormat="1" ht="54" customHeight="1" x14ac:dyDescent="0.2">
      <c r="A2" s="7"/>
      <c r="B2" s="401" t="s">
        <v>272</v>
      </c>
      <c r="C2" s="401"/>
      <c r="D2" s="401"/>
      <c r="E2" s="401"/>
      <c r="F2" s="401"/>
      <c r="G2" s="401"/>
      <c r="H2" s="401"/>
      <c r="I2" s="401"/>
      <c r="J2" s="401"/>
      <c r="K2" s="401"/>
      <c r="L2" s="401"/>
      <c r="M2" s="402"/>
      <c r="N2" s="8"/>
      <c r="O2" s="8"/>
      <c r="P2" s="8"/>
      <c r="Q2" s="8"/>
      <c r="R2" s="8"/>
    </row>
    <row r="3" spans="1:23" s="2" customFormat="1" ht="20.100000000000001" customHeight="1" x14ac:dyDescent="0.2">
      <c r="A3" s="7"/>
      <c r="B3" s="403" t="s">
        <v>273</v>
      </c>
      <c r="C3" s="403"/>
      <c r="D3" s="403"/>
      <c r="E3" s="403"/>
      <c r="F3" s="403"/>
      <c r="G3" s="403"/>
      <c r="H3" s="403"/>
      <c r="I3" s="403"/>
      <c r="J3" s="403"/>
      <c r="K3" s="403"/>
      <c r="L3" s="403"/>
      <c r="M3" s="404"/>
      <c r="N3" s="8"/>
      <c r="O3" s="8"/>
      <c r="P3" s="8"/>
      <c r="Q3" s="8"/>
      <c r="R3" s="8"/>
    </row>
    <row r="4" spans="1:23" s="2" customFormat="1" x14ac:dyDescent="0.25">
      <c r="A4" s="7"/>
      <c r="B4" s="7"/>
      <c r="C4" s="7"/>
      <c r="D4" s="7"/>
      <c r="E4" s="7"/>
      <c r="F4" s="7"/>
      <c r="G4" s="7"/>
      <c r="H4" s="7"/>
      <c r="I4" s="40"/>
      <c r="L4" s="10"/>
      <c r="M4" s="3"/>
      <c r="N4" s="3"/>
    </row>
    <row r="5" spans="1:23" ht="15.95" customHeight="1" x14ac:dyDescent="0.2">
      <c r="E5" s="7"/>
      <c r="F5" s="7"/>
      <c r="G5" s="7"/>
      <c r="H5" s="7"/>
      <c r="I5" s="7"/>
    </row>
    <row r="6" spans="1:23" ht="33.950000000000003" customHeight="1" x14ac:dyDescent="0.2">
      <c r="B6" s="8"/>
      <c r="C6" s="8"/>
      <c r="D6" s="8"/>
      <c r="E6" s="8"/>
      <c r="F6" s="8"/>
      <c r="G6" s="8"/>
      <c r="H6" s="8"/>
      <c r="I6" s="8"/>
      <c r="J6" s="408" t="s">
        <v>274</v>
      </c>
      <c r="K6" s="409"/>
      <c r="L6" s="409"/>
      <c r="M6" s="410"/>
      <c r="N6" s="41"/>
      <c r="O6" s="41"/>
      <c r="P6" s="41"/>
      <c r="Q6" s="41"/>
      <c r="R6" s="41"/>
    </row>
    <row r="7" spans="1:23" ht="20.100000000000001" customHeight="1" x14ac:dyDescent="0.2">
      <c r="B7" s="8"/>
      <c r="C7" s="8"/>
      <c r="D7" s="8"/>
      <c r="E7" s="8"/>
      <c r="F7" s="8"/>
      <c r="G7" s="8"/>
      <c r="H7" s="8"/>
      <c r="I7" s="8"/>
      <c r="J7" s="405" t="s">
        <v>275</v>
      </c>
      <c r="K7" s="406"/>
      <c r="L7" s="406"/>
      <c r="M7" s="407"/>
      <c r="N7" s="42"/>
      <c r="O7" s="42"/>
      <c r="P7" s="42"/>
      <c r="Q7" s="42"/>
      <c r="R7" s="42"/>
      <c r="S7" s="42"/>
      <c r="T7" s="42"/>
      <c r="U7" s="42"/>
      <c r="V7" s="42"/>
      <c r="W7" s="42"/>
    </row>
    <row r="8" spans="1:23" ht="20.100000000000001" customHeight="1" x14ac:dyDescent="0.2">
      <c r="J8" s="43" t="s">
        <v>37</v>
      </c>
      <c r="K8" s="346" t="s">
        <v>276</v>
      </c>
      <c r="L8" s="346" t="s">
        <v>277</v>
      </c>
      <c r="M8" s="346" t="s">
        <v>5</v>
      </c>
      <c r="N8" s="42"/>
      <c r="O8" s="42"/>
      <c r="P8" s="42"/>
      <c r="Q8" s="42"/>
      <c r="R8" s="42"/>
      <c r="S8" s="42"/>
      <c r="T8" s="42"/>
      <c r="U8" s="42"/>
      <c r="V8" s="42"/>
      <c r="W8" s="42"/>
    </row>
    <row r="9" spans="1:23" ht="20.100000000000001" customHeight="1" x14ac:dyDescent="0.2">
      <c r="J9" s="398" t="s">
        <v>278</v>
      </c>
      <c r="K9" s="362" t="s">
        <v>279</v>
      </c>
      <c r="L9" s="347" t="s">
        <v>4025</v>
      </c>
      <c r="M9" s="337"/>
      <c r="N9" s="42"/>
      <c r="O9" s="42"/>
      <c r="P9" s="42"/>
      <c r="Q9" s="42"/>
      <c r="R9" s="42"/>
      <c r="S9" s="42"/>
      <c r="T9" s="42"/>
      <c r="U9" s="42"/>
      <c r="V9" s="42"/>
      <c r="W9" s="42"/>
    </row>
    <row r="10" spans="1:23" ht="20.100000000000001" customHeight="1" x14ac:dyDescent="0.2">
      <c r="J10" s="351" t="s">
        <v>280</v>
      </c>
      <c r="K10" s="362" t="s">
        <v>281</v>
      </c>
      <c r="L10" s="399" t="s">
        <v>4026</v>
      </c>
      <c r="M10" s="337" t="str">
        <f>IF(mgmt_offline_depot_chosen="Online", "Input is masked out and only required if using offline depot","")</f>
        <v/>
      </c>
    </row>
    <row r="11" spans="1:23" ht="20.100000000000001" customHeight="1" x14ac:dyDescent="0.2">
      <c r="J11" s="351" t="s">
        <v>282</v>
      </c>
      <c r="K11" s="362">
        <v>443</v>
      </c>
      <c r="L11" s="399">
        <v>8888</v>
      </c>
      <c r="M11" s="337"/>
    </row>
    <row r="12" spans="1:23" ht="20.100000000000001" customHeight="1" x14ac:dyDescent="0.2">
      <c r="J12" s="351" t="s">
        <v>283</v>
      </c>
      <c r="K12" s="362" t="s">
        <v>284</v>
      </c>
      <c r="L12" s="399" t="s">
        <v>496</v>
      </c>
      <c r="M12" s="337"/>
    </row>
    <row r="13" spans="1:23" ht="20.100000000000001" customHeight="1" x14ac:dyDescent="0.2">
      <c r="B13" s="44"/>
      <c r="C13" s="44"/>
      <c r="D13" s="44"/>
      <c r="E13" s="44"/>
      <c r="F13" s="44"/>
      <c r="G13" s="44"/>
      <c r="H13" s="44"/>
      <c r="J13" s="351" t="s">
        <v>285</v>
      </c>
      <c r="K13" s="362" t="s">
        <v>286</v>
      </c>
      <c r="L13" s="399" t="s">
        <v>323</v>
      </c>
      <c r="M13" s="337"/>
    </row>
    <row r="14" spans="1:23" ht="20.100000000000001" customHeight="1" x14ac:dyDescent="0.25">
      <c r="A14" s="45"/>
      <c r="B14" s="19"/>
      <c r="C14" s="46" t="s">
        <v>287</v>
      </c>
      <c r="D14" s="19"/>
      <c r="E14" s="19"/>
      <c r="F14" s="19"/>
      <c r="G14" s="19"/>
      <c r="H14" s="47"/>
      <c r="I14" s="40"/>
      <c r="J14" s="351" t="s">
        <v>288</v>
      </c>
      <c r="K14" s="362" t="s">
        <v>289</v>
      </c>
      <c r="L14" s="399" t="s">
        <v>289</v>
      </c>
      <c r="M14" s="337" t="str">
        <f>IF(mgmt_internet_proxy_chosen="Unselected", "Input is masked out and only required if using Proxy Server for depot connectivity","")</f>
        <v/>
      </c>
    </row>
    <row r="15" spans="1:23" ht="20.100000000000001" customHeight="1" x14ac:dyDescent="0.25">
      <c r="A15" s="45"/>
      <c r="B15" s="46"/>
      <c r="C15" s="48"/>
      <c r="D15" s="49"/>
      <c r="E15" s="49"/>
      <c r="F15" s="49"/>
      <c r="G15" s="49"/>
      <c r="H15" s="50"/>
      <c r="I15" s="40"/>
      <c r="J15" s="351" t="s">
        <v>290</v>
      </c>
      <c r="K15" s="362" t="s">
        <v>291</v>
      </c>
      <c r="L15" s="399" t="s">
        <v>4026</v>
      </c>
      <c r="M15" s="337"/>
    </row>
    <row r="16" spans="1:23" ht="20.100000000000001" customHeight="1" x14ac:dyDescent="0.25">
      <c r="A16" s="45"/>
      <c r="B16" s="51"/>
      <c r="C16" s="52" t="s">
        <v>184</v>
      </c>
      <c r="D16" s="53"/>
      <c r="E16" s="53"/>
      <c r="F16" s="53"/>
      <c r="G16" s="54"/>
      <c r="H16" s="50"/>
      <c r="I16" s="40"/>
      <c r="J16" s="351" t="s">
        <v>292</v>
      </c>
      <c r="K16" s="362">
        <v>443</v>
      </c>
      <c r="L16" s="399">
        <v>8888</v>
      </c>
      <c r="M16" s="337"/>
    </row>
    <row r="17" spans="1:13" ht="20.100000000000001" customHeight="1" x14ac:dyDescent="0.25">
      <c r="A17" s="45"/>
      <c r="B17" s="51"/>
      <c r="C17" s="52" t="s">
        <v>191</v>
      </c>
      <c r="D17" s="53"/>
      <c r="E17" s="53"/>
      <c r="F17" s="53"/>
      <c r="G17" s="54"/>
      <c r="H17" s="50"/>
      <c r="I17" s="40"/>
      <c r="J17" s="351" t="s">
        <v>293</v>
      </c>
      <c r="K17" s="362" t="s">
        <v>286</v>
      </c>
      <c r="L17" s="347" t="s">
        <v>323</v>
      </c>
      <c r="M17" s="345"/>
    </row>
    <row r="18" spans="1:13" ht="20.100000000000001" customHeight="1" x14ac:dyDescent="0.2">
      <c r="A18" s="45"/>
      <c r="B18" s="19"/>
      <c r="C18" s="55"/>
      <c r="D18" s="55"/>
      <c r="E18" s="55"/>
      <c r="F18" s="55"/>
      <c r="G18" s="55"/>
      <c r="H18" s="50"/>
      <c r="I18" s="40"/>
      <c r="J18" s="351" t="s">
        <v>294</v>
      </c>
      <c r="K18" s="362" t="s">
        <v>295</v>
      </c>
      <c r="L18" s="347" t="s">
        <v>4027</v>
      </c>
      <c r="M18" s="345" t="str">
        <f>IF(mgmt_internet_proxy_auth_chosen="Unselected", "Input is masked out and only required if using Proxy Server that required authentication","")</f>
        <v/>
      </c>
    </row>
    <row r="19" spans="1:13" ht="20.100000000000001" customHeight="1" x14ac:dyDescent="0.25">
      <c r="A19" s="45"/>
      <c r="B19" s="19"/>
      <c r="C19" s="252" t="str">
        <f>CONCATENATE(mgmt_domain_deployment_type_chosen, " Instance")</f>
        <v>VMware Cloud Foundation Instance</v>
      </c>
      <c r="D19" s="46"/>
      <c r="E19" s="46"/>
      <c r="F19" s="19"/>
      <c r="G19" s="57"/>
      <c r="H19" s="50"/>
      <c r="I19" s="40"/>
      <c r="J19" s="351" t="s">
        <v>296</v>
      </c>
      <c r="K19" s="362" t="s">
        <v>297</v>
      </c>
      <c r="L19" s="347" t="s">
        <v>4028</v>
      </c>
      <c r="M19" s="345"/>
    </row>
    <row r="20" spans="1:13" ht="20.100000000000001" customHeight="1" x14ac:dyDescent="0.2">
      <c r="A20" s="45"/>
      <c r="B20" s="19"/>
      <c r="C20" s="58"/>
      <c r="D20" s="59"/>
      <c r="E20" s="59"/>
      <c r="F20" s="59"/>
      <c r="G20" s="57"/>
      <c r="H20" s="50"/>
      <c r="I20" s="40"/>
    </row>
    <row r="21" spans="1:13" ht="33.950000000000003" customHeight="1" x14ac:dyDescent="0.25">
      <c r="A21" s="45"/>
      <c r="B21" s="19"/>
      <c r="C21" s="58"/>
      <c r="D21" s="60"/>
      <c r="E21" s="46" t="str">
        <f>IF(mgmt_domain_deployment_type_chosen="VCF","Management Domain","Components")</f>
        <v>Components</v>
      </c>
      <c r="F21" s="61"/>
      <c r="G21" s="57"/>
      <c r="H21" s="50"/>
      <c r="I21" s="7"/>
      <c r="J21" s="408" t="s">
        <v>298</v>
      </c>
      <c r="K21" s="409"/>
      <c r="L21" s="409"/>
      <c r="M21" s="410"/>
    </row>
    <row r="22" spans="1:13" ht="20.100000000000001" customHeight="1" x14ac:dyDescent="0.2">
      <c r="A22" s="45"/>
      <c r="B22" s="19"/>
      <c r="C22" s="58"/>
      <c r="D22" s="60"/>
      <c r="E22" s="49"/>
      <c r="F22" s="61"/>
      <c r="G22" s="57"/>
      <c r="H22" s="50"/>
      <c r="I22" s="7"/>
      <c r="J22" s="411"/>
      <c r="K22" s="412"/>
      <c r="L22" s="412"/>
      <c r="M22" s="413"/>
    </row>
    <row r="23" spans="1:13" ht="20.100000000000001" customHeight="1" x14ac:dyDescent="0.2">
      <c r="A23" s="45"/>
      <c r="B23" s="19"/>
      <c r="C23" s="58"/>
      <c r="D23" s="62"/>
      <c r="E23" s="63" t="s">
        <v>299</v>
      </c>
      <c r="F23" s="61"/>
      <c r="G23" s="57"/>
      <c r="H23" s="50"/>
      <c r="I23" s="7"/>
      <c r="J23" s="346" t="s">
        <v>37</v>
      </c>
      <c r="K23" s="346" t="s">
        <v>276</v>
      </c>
      <c r="L23" s="346" t="s">
        <v>277</v>
      </c>
      <c r="M23" s="346" t="s">
        <v>5</v>
      </c>
    </row>
    <row r="24" spans="1:13" ht="20.100000000000001" customHeight="1" x14ac:dyDescent="0.2">
      <c r="A24" s="45"/>
      <c r="B24" s="19"/>
      <c r="C24" s="58"/>
      <c r="D24" s="62"/>
      <c r="E24" s="63" t="s">
        <v>300</v>
      </c>
      <c r="F24" s="61"/>
      <c r="G24" s="57"/>
      <c r="H24" s="50"/>
      <c r="I24" s="7"/>
      <c r="J24" s="4" t="s">
        <v>301</v>
      </c>
      <c r="K24" s="362" t="s">
        <v>122</v>
      </c>
      <c r="L24" s="337" t="str">
        <f>mgmt_domain_deployment_type_chosen</f>
        <v>VMware Cloud Foundation</v>
      </c>
      <c r="M24" s="337"/>
    </row>
    <row r="25" spans="1:13" ht="20.100000000000001" customHeight="1" x14ac:dyDescent="0.2">
      <c r="A25" s="45"/>
      <c r="B25" s="19"/>
      <c r="C25" s="58"/>
      <c r="D25" s="62"/>
      <c r="E25" s="64" t="s">
        <v>302</v>
      </c>
      <c r="F25" s="61"/>
      <c r="G25" s="57"/>
      <c r="H25" s="50"/>
      <c r="I25" s="7"/>
      <c r="J25" s="4" t="s">
        <v>123</v>
      </c>
      <c r="K25" s="362" t="s">
        <v>131</v>
      </c>
      <c r="L25" s="337" t="str">
        <f>IF(vcf_granular_option_chosen="Deploy a new VCF fleet","Deploy a new VCF fleet",IF(vcf_granular_option_chosen="Deploy a VCF Instance in an existing VCF fleet","Deploy a VCF Instance in an existing VCF fleet",""))</f>
        <v>Deploy a new VCF fleet</v>
      </c>
      <c r="M25" s="286" t="s">
        <v>303</v>
      </c>
    </row>
    <row r="26" spans="1:13" ht="20.100000000000001" customHeight="1" x14ac:dyDescent="0.2">
      <c r="A26" s="45"/>
      <c r="B26" s="19"/>
      <c r="C26" s="58"/>
      <c r="D26" s="62"/>
      <c r="E26" s="65" t="s">
        <v>147</v>
      </c>
      <c r="F26" s="61"/>
      <c r="G26" s="57"/>
      <c r="H26" s="50"/>
      <c r="I26" s="7"/>
      <c r="J26" s="69"/>
      <c r="M26" s="306"/>
    </row>
    <row r="27" spans="1:13" ht="33.950000000000003" customHeight="1" x14ac:dyDescent="0.2">
      <c r="A27" s="45"/>
      <c r="B27" s="19"/>
      <c r="C27" s="58"/>
      <c r="D27" s="67"/>
      <c r="E27" s="59"/>
      <c r="F27" s="68"/>
      <c r="G27" s="57"/>
      <c r="H27" s="50"/>
      <c r="I27" s="7"/>
      <c r="J27" s="408" t="s">
        <v>304</v>
      </c>
      <c r="K27" s="409"/>
      <c r="L27" s="409"/>
      <c r="M27" s="410"/>
    </row>
    <row r="28" spans="1:13" ht="20.100000000000001" customHeight="1" x14ac:dyDescent="0.2">
      <c r="A28" s="45"/>
      <c r="B28" s="19"/>
      <c r="C28" s="70"/>
      <c r="D28" s="55"/>
      <c r="E28" s="55"/>
      <c r="F28" s="55"/>
      <c r="G28" s="71"/>
      <c r="H28" s="50"/>
      <c r="I28" s="7"/>
      <c r="J28" s="405" t="s">
        <v>305</v>
      </c>
      <c r="K28" s="406"/>
      <c r="L28" s="406"/>
      <c r="M28" s="407"/>
    </row>
    <row r="29" spans="1:13" ht="20.100000000000001" customHeight="1" x14ac:dyDescent="0.2">
      <c r="A29" s="45"/>
      <c r="B29" s="49"/>
      <c r="C29" s="49"/>
      <c r="D29" s="49"/>
      <c r="E29" s="49"/>
      <c r="F29" s="49"/>
      <c r="G29" s="49"/>
      <c r="H29" s="72"/>
      <c r="I29" s="7"/>
      <c r="J29" s="346" t="s">
        <v>37</v>
      </c>
      <c r="K29" s="346" t="s">
        <v>276</v>
      </c>
      <c r="L29" s="346" t="s">
        <v>277</v>
      </c>
      <c r="M29" s="346" t="s">
        <v>5</v>
      </c>
    </row>
    <row r="30" spans="1:13" ht="20.100000000000001" customHeight="1" x14ac:dyDescent="0.2">
      <c r="E30" s="73"/>
      <c r="F30" s="73"/>
      <c r="G30" s="73"/>
      <c r="H30" s="73"/>
      <c r="I30" s="7"/>
      <c r="J30" s="4" t="s">
        <v>184</v>
      </c>
      <c r="K30" s="362" t="s">
        <v>286</v>
      </c>
      <c r="L30" s="347" t="s">
        <v>286</v>
      </c>
      <c r="M30" s="186"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100000000000001" customHeight="1" x14ac:dyDescent="0.2">
      <c r="E31" s="73"/>
      <c r="F31" s="73"/>
      <c r="G31" s="73"/>
      <c r="H31" s="73"/>
      <c r="I31" s="7"/>
      <c r="J31" s="74" t="s">
        <v>306</v>
      </c>
      <c r="K31" s="362" t="s">
        <v>286</v>
      </c>
      <c r="L31" s="347" t="s">
        <v>286</v>
      </c>
      <c r="M31" s="186" t="s">
        <v>307</v>
      </c>
    </row>
    <row r="32" spans="1:13" ht="20.100000000000001" customHeight="1" x14ac:dyDescent="0.2">
      <c r="I32" s="7"/>
      <c r="J32" s="4" t="s">
        <v>308</v>
      </c>
      <c r="K32" s="362" t="s">
        <v>286</v>
      </c>
      <c r="L32" s="75" t="s">
        <v>286</v>
      </c>
      <c r="M32" s="186"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100000000000001" customHeight="1" x14ac:dyDescent="0.2">
      <c r="I33" s="7"/>
      <c r="J33" s="372"/>
      <c r="K33" s="344"/>
      <c r="L33" s="76"/>
      <c r="M33" s="344"/>
    </row>
    <row r="34" spans="5:13" ht="33.950000000000003" customHeight="1" x14ac:dyDescent="0.2">
      <c r="J34" s="408" t="s">
        <v>309</v>
      </c>
      <c r="K34" s="409"/>
      <c r="L34" s="409"/>
      <c r="M34" s="410"/>
    </row>
    <row r="35" spans="5:13" ht="20.100000000000001" customHeight="1" x14ac:dyDescent="0.2">
      <c r="J35" s="405" t="s">
        <v>310</v>
      </c>
      <c r="K35" s="406"/>
      <c r="L35" s="406"/>
      <c r="M35" s="407"/>
    </row>
    <row r="36" spans="5:13" ht="20.100000000000001" customHeight="1" x14ac:dyDescent="0.2">
      <c r="J36" s="346" t="s">
        <v>37</v>
      </c>
      <c r="K36" s="346" t="s">
        <v>276</v>
      </c>
      <c r="L36" s="346" t="s">
        <v>277</v>
      </c>
      <c r="M36" s="346" t="s">
        <v>5</v>
      </c>
    </row>
    <row r="37" spans="5:13" ht="20.100000000000001" customHeight="1" x14ac:dyDescent="0.2">
      <c r="J37" s="4" t="s">
        <v>121</v>
      </c>
      <c r="K37" s="362" t="str">
        <f>vcf_version_chosen</f>
        <v>9.0.2.0</v>
      </c>
      <c r="L37" s="77" t="str">
        <f>vcf_version_chosen</f>
        <v>9.0.2.0</v>
      </c>
      <c r="M37" s="337"/>
    </row>
    <row r="38" spans="5:13" ht="20.100000000000001" customHeight="1" x14ac:dyDescent="0.2">
      <c r="J38" s="4" t="s">
        <v>311</v>
      </c>
      <c r="K38" s="78" t="str">
        <f>IF(mgmt_domain_chosen="First Instance","San Francisco","Los Angeles")</f>
        <v>San Francisco</v>
      </c>
      <c r="L38" s="79" t="s">
        <v>4065</v>
      </c>
      <c r="M38" s="337" t="s">
        <v>312</v>
      </c>
    </row>
    <row r="39" spans="5:13" ht="20.100000000000001" customHeight="1" x14ac:dyDescent="0.2">
      <c r="J39" s="4" t="s">
        <v>313</v>
      </c>
      <c r="K39" s="362" t="str">
        <f>CONCATENATE(this_instance,"-m01")</f>
        <v>sfo-m01</v>
      </c>
      <c r="L39" s="347" t="s">
        <v>4064</v>
      </c>
      <c r="M39" s="337"/>
    </row>
    <row r="40" spans="5:13" ht="20.100000000000001" customHeight="1" x14ac:dyDescent="0.2">
      <c r="J40" s="4" t="s">
        <v>314</v>
      </c>
      <c r="K40" s="362" t="s">
        <v>286</v>
      </c>
      <c r="L40" s="347" t="s">
        <v>286</v>
      </c>
      <c r="M40" s="186"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20.100000000000001" customHeight="1" x14ac:dyDescent="0.2">
      <c r="J41" s="4" t="s">
        <v>315</v>
      </c>
      <c r="K41" s="362" t="s">
        <v>316</v>
      </c>
      <c r="L41" s="347" t="s">
        <v>316</v>
      </c>
      <c r="M41" s="186" t="s">
        <v>317</v>
      </c>
    </row>
    <row r="42" spans="5:13" ht="20.100000000000001" customHeight="1" x14ac:dyDescent="0.2">
      <c r="J42" s="405" t="s">
        <v>88</v>
      </c>
      <c r="K42" s="406"/>
      <c r="L42" s="406"/>
      <c r="M42" s="407"/>
    </row>
    <row r="43" spans="5:13" ht="20.100000000000001" customHeight="1" x14ac:dyDescent="0.2">
      <c r="J43" s="4" t="s">
        <v>318</v>
      </c>
      <c r="K43" s="362" t="s">
        <v>77</v>
      </c>
      <c r="L43" s="347" t="s">
        <v>4098</v>
      </c>
      <c r="M43" s="337" t="str">
        <f>IF(mgmt_domain_existing_vcenter_chosen="Selected","Inputs are masked out as you are importing a vCenter. DNS inputs will be captured from vCenter during import","")</f>
        <v/>
      </c>
    </row>
    <row r="44" spans="5:13" ht="20.100000000000001" customHeight="1" x14ac:dyDescent="0.2">
      <c r="J44" s="4" t="s">
        <v>319</v>
      </c>
      <c r="K44" s="362" t="str">
        <f>IF(mgmt_dpg_reuse_result="Included",CONCATENATE(prefix_mgmt_az1_cidr,"10.4"),CONCATENATE(prefix_mgmt_az1_cidr,"11.4"))</f>
        <v>10.11.10.4</v>
      </c>
      <c r="L44" s="347" t="s">
        <v>4029</v>
      </c>
      <c r="M44" s="337" t="str">
        <f>IF(mgmt_domain_existing_vcenter_chosen="Selected","Inputs are masked out as you are importing a vCenter. DNS inputs will be captured from vCenter during import","")</f>
        <v/>
      </c>
    </row>
    <row r="45" spans="5:13" ht="20.100000000000001" customHeight="1" x14ac:dyDescent="0.2">
      <c r="J45" s="4" t="s">
        <v>320</v>
      </c>
      <c r="K45" s="362" t="str">
        <f>IF(mgmt_dpg_reuse_result="Included",CONCATENATE(prefix_mgmt_az1_cidr,"10.5"),CONCATENATE(prefix_mgmt_az1_cidr,"11.5"))</f>
        <v>10.11.10.5</v>
      </c>
      <c r="L45" s="347"/>
      <c r="M45" s="337" t="str">
        <f>IF(mgmt_domain_existing_vcenter_chosen="Selected","Inputs are masked out as you are importing a vCenter. DNS inputs will be captured from vCenter during import","")</f>
        <v/>
      </c>
    </row>
    <row r="46" spans="5:13" ht="20.100000000000001" customHeight="1" x14ac:dyDescent="0.2">
      <c r="E46" s="73"/>
      <c r="F46" s="73"/>
      <c r="G46" s="73"/>
      <c r="H46" s="73"/>
      <c r="J46" s="405" t="s">
        <v>100</v>
      </c>
      <c r="K46" s="406"/>
      <c r="L46" s="406"/>
      <c r="M46" s="407"/>
    </row>
    <row r="47" spans="5:13" ht="20.100000000000001" customHeight="1" x14ac:dyDescent="0.2">
      <c r="E47" s="73"/>
      <c r="F47" s="73"/>
      <c r="G47" s="73"/>
      <c r="H47" s="73"/>
      <c r="J47" s="4" t="s">
        <v>319</v>
      </c>
      <c r="K47" s="362" t="str">
        <f>CONCATENATE("ntp0.",this_instance,".rainpole.io")</f>
        <v>ntp0.sfo.rainpole.io</v>
      </c>
      <c r="L47" s="347" t="s">
        <v>4029</v>
      </c>
      <c r="M47" s="337" t="str">
        <f>IF(mgmt_domain_existing_vcenter_chosen="Selected","Inputs are masked out as you are importing a vCenter. NTP inputs will be captured from vCenter during import","")</f>
        <v/>
      </c>
    </row>
    <row r="48" spans="5:13" ht="20.100000000000001" customHeight="1" x14ac:dyDescent="0.2">
      <c r="E48" s="73"/>
      <c r="F48" s="73"/>
      <c r="G48" s="73"/>
      <c r="H48" s="73"/>
      <c r="I48" s="7"/>
      <c r="J48" s="4" t="s">
        <v>320</v>
      </c>
      <c r="K48" s="362" t="str">
        <f>CONCATENATE("ntp1.",this_instance,".rainpole.io")</f>
        <v>ntp1.sfo.rainpole.io</v>
      </c>
      <c r="L48" s="347"/>
      <c r="M48" s="337" t="str">
        <f>IF(mgmt_domain_existing_vcenter_chosen="Selected","Inputs are masked out as you are importing a vCenter. NTP inputs will be captured from vCenter during import","")</f>
        <v/>
      </c>
    </row>
    <row r="49" spans="5:13" ht="18.95" customHeight="1" x14ac:dyDescent="0.2">
      <c r="E49" s="7"/>
      <c r="F49" s="7"/>
      <c r="G49" s="7"/>
      <c r="H49" s="7"/>
      <c r="I49" s="7"/>
      <c r="J49" s="4" t="s">
        <v>321</v>
      </c>
      <c r="K49" s="362" t="s">
        <v>286</v>
      </c>
      <c r="L49" s="347" t="s">
        <v>286</v>
      </c>
      <c r="M49" s="337"/>
    </row>
    <row r="50" spans="5:13" ht="20.100000000000001" customHeight="1" x14ac:dyDescent="0.2">
      <c r="J50" s="4" t="s">
        <v>322</v>
      </c>
      <c r="K50" s="362" t="s">
        <v>323</v>
      </c>
      <c r="L50" s="347" t="s">
        <v>323</v>
      </c>
      <c r="M50" s="337"/>
    </row>
    <row r="51" spans="5:13" ht="20.100000000000001" customHeight="1" x14ac:dyDescent="0.2">
      <c r="E51" s="7"/>
      <c r="F51" s="7"/>
      <c r="G51" s="7"/>
      <c r="H51" s="7"/>
      <c r="I51" s="7"/>
      <c r="J51" s="372"/>
      <c r="K51" s="344"/>
      <c r="L51" s="344"/>
      <c r="M51" s="344"/>
    </row>
    <row r="52" spans="5:13" ht="33.950000000000003" customHeight="1" x14ac:dyDescent="0.2">
      <c r="E52" s="7"/>
      <c r="F52" s="7"/>
      <c r="G52" s="7"/>
      <c r="H52" s="7"/>
      <c r="I52" s="7"/>
      <c r="J52" s="408" t="s">
        <v>184</v>
      </c>
      <c r="K52" s="409"/>
      <c r="L52" s="409"/>
      <c r="M52" s="410"/>
    </row>
    <row r="53" spans="5:13" ht="20.100000000000001" customHeight="1" x14ac:dyDescent="0.2">
      <c r="E53" s="7"/>
      <c r="F53" s="7"/>
      <c r="G53" s="7"/>
      <c r="H53" s="7"/>
      <c r="I53" s="7"/>
      <c r="J53" s="405" t="s">
        <v>324</v>
      </c>
      <c r="K53" s="406"/>
      <c r="L53" s="406"/>
      <c r="M53" s="407"/>
    </row>
    <row r="54" spans="5:13" ht="20.100000000000001" customHeight="1" x14ac:dyDescent="0.2">
      <c r="E54" s="7"/>
      <c r="F54" s="7"/>
      <c r="G54" s="7"/>
      <c r="H54" s="7"/>
      <c r="I54" s="7"/>
      <c r="J54" s="346" t="s">
        <v>37</v>
      </c>
      <c r="K54" s="346" t="s">
        <v>276</v>
      </c>
      <c r="L54" s="346" t="s">
        <v>277</v>
      </c>
      <c r="M54" s="346" t="s">
        <v>5</v>
      </c>
    </row>
    <row r="55" spans="5:13" ht="20.100000000000001" customHeight="1" x14ac:dyDescent="0.2">
      <c r="E55" s="7"/>
      <c r="F55" s="7"/>
      <c r="G55" s="7"/>
      <c r="H55" s="7"/>
      <c r="I55" s="7"/>
      <c r="J55" s="405" t="s">
        <v>184</v>
      </c>
      <c r="K55" s="406"/>
      <c r="L55" s="406"/>
      <c r="M55" s="407"/>
    </row>
    <row r="56" spans="5:13" ht="20.100000000000001" customHeight="1" x14ac:dyDescent="0.2">
      <c r="E56" s="7"/>
      <c r="F56" s="7"/>
      <c r="G56" s="7"/>
      <c r="H56" s="7"/>
      <c r="I56" s="7"/>
      <c r="J56" s="4" t="s">
        <v>325</v>
      </c>
      <c r="K56" s="362" t="s">
        <v>214</v>
      </c>
      <c r="L56" s="347" t="s">
        <v>214</v>
      </c>
      <c r="M56" s="337"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f>
        <v>8 vCPU, 32GB RAM, 274 GB Storage Per Appliance</v>
      </c>
    </row>
    <row r="57" spans="5:13" ht="20.100000000000001" customHeight="1" x14ac:dyDescent="0.2">
      <c r="E57" s="7"/>
      <c r="F57" s="7"/>
      <c r="G57" s="7"/>
      <c r="H57" s="7"/>
      <c r="I57" s="7"/>
      <c r="J57" s="4" t="s">
        <v>326</v>
      </c>
      <c r="K57" s="80" t="str">
        <f>CONCATENATE(prefix_portable_component,"-ops01a.",sample_parent_dns_zone)</f>
        <v>flt-ops01a.rainpole.io</v>
      </c>
      <c r="L57" s="347" t="s">
        <v>4079</v>
      </c>
      <c r="M57" s="337"/>
    </row>
    <row r="58" spans="5:13" ht="20.100000000000001" customHeight="1" x14ac:dyDescent="0.2">
      <c r="E58" s="7"/>
      <c r="F58" s="7"/>
      <c r="G58" s="7"/>
      <c r="H58" s="7"/>
      <c r="I58" s="7"/>
      <c r="J58" s="4" t="s">
        <v>327</v>
      </c>
      <c r="K58" s="80" t="str">
        <f>CONCATENATE(prefix_portable_component,"-ops01b.",sample_parent_dns_zone)</f>
        <v>flt-ops01b.rainpole.io</v>
      </c>
      <c r="L58" s="347" t="s">
        <v>4080</v>
      </c>
      <c r="M58" s="337"/>
    </row>
    <row r="59" spans="5:13" ht="20.100000000000001" customHeight="1" x14ac:dyDescent="0.2">
      <c r="E59" s="7"/>
      <c r="F59" s="7"/>
      <c r="G59" s="7"/>
      <c r="H59" s="7"/>
      <c r="I59" s="7"/>
      <c r="J59" s="4" t="s">
        <v>328</v>
      </c>
      <c r="K59" s="362" t="str">
        <f>CONCATENATE(prefix_portable_component,"-ops01c.",sample_parent_dns_zone)</f>
        <v>flt-ops01c.rainpole.io</v>
      </c>
      <c r="L59" s="347" t="s">
        <v>4081</v>
      </c>
      <c r="M59" s="337"/>
    </row>
    <row r="60" spans="5:13" ht="20.100000000000001" customHeight="1" x14ac:dyDescent="0.2">
      <c r="E60" s="7"/>
      <c r="F60" s="7"/>
      <c r="G60" s="7"/>
      <c r="H60" s="7"/>
      <c r="I60" s="7"/>
      <c r="J60" s="74" t="s">
        <v>329</v>
      </c>
      <c r="K60" s="81" t="s">
        <v>297</v>
      </c>
      <c r="L60" s="82" t="s">
        <v>4028</v>
      </c>
      <c r="M60" s="186" t="str">
        <f>IF(mgmt_domain_password_creation_chosen="Selected","Inputs are masked out as you have opted to deploy with system generated passwords","Minimum 15 Characters, 1 Uppercase, 1 Special")</f>
        <v>Minimum 15 Characters, 1 Uppercase, 1 Special</v>
      </c>
    </row>
    <row r="61" spans="5:13" ht="20.100000000000001" customHeight="1" x14ac:dyDescent="0.2">
      <c r="E61" s="7"/>
      <c r="F61" s="7"/>
      <c r="G61" s="7"/>
      <c r="H61" s="7"/>
      <c r="I61" s="7"/>
      <c r="J61" s="4" t="s">
        <v>330</v>
      </c>
      <c r="K61" s="362" t="s">
        <v>297</v>
      </c>
      <c r="L61" s="83" t="s">
        <v>4028</v>
      </c>
      <c r="M61" s="337" t="str">
        <f>IF(mgmt_domain_password_creation_chosen="Selected","Inputs are masked out as you have opted to deploy with system generated passwords","Minimum 15 Characters, 1 Uppercase, 1 Special")</f>
        <v>Minimum 15 Characters, 1 Uppercase, 1 Special</v>
      </c>
    </row>
    <row r="62" spans="5:13" ht="20.100000000000001" customHeight="1" x14ac:dyDescent="0.2">
      <c r="E62" s="7"/>
      <c r="F62" s="7"/>
      <c r="G62" s="7"/>
      <c r="H62" s="7"/>
      <c r="I62" s="7"/>
      <c r="J62" s="405" t="s">
        <v>331</v>
      </c>
      <c r="K62" s="406"/>
      <c r="L62" s="406"/>
      <c r="M62" s="407"/>
    </row>
    <row r="63" spans="5:13" ht="20.100000000000001" customHeight="1" x14ac:dyDescent="0.2">
      <c r="E63" s="7"/>
      <c r="F63" s="7"/>
      <c r="G63" s="7"/>
      <c r="H63" s="7"/>
      <c r="I63" s="7"/>
      <c r="J63" s="4" t="s">
        <v>332</v>
      </c>
      <c r="K63" s="80" t="str">
        <f>CONCATENATE(prefix_portable_component,"-ops01.",sample_parent_dns_zone)</f>
        <v>flt-ops01.rainpole.io</v>
      </c>
      <c r="L63" s="347" t="s">
        <v>4082</v>
      </c>
      <c r="M63" s="337" t="s">
        <v>333</v>
      </c>
    </row>
    <row r="64" spans="5:13" ht="20.100000000000001" customHeight="1" x14ac:dyDescent="0.2">
      <c r="E64" s="7"/>
      <c r="F64" s="7"/>
      <c r="G64" s="7"/>
      <c r="H64" s="7"/>
      <c r="I64" s="7"/>
      <c r="J64" s="405" t="s">
        <v>334</v>
      </c>
      <c r="K64" s="406"/>
      <c r="L64" s="406"/>
      <c r="M64" s="407"/>
    </row>
    <row r="65" spans="5:13" ht="20.100000000000001" customHeight="1" x14ac:dyDescent="0.2">
      <c r="E65" s="7"/>
      <c r="F65" s="7"/>
      <c r="G65" s="7"/>
      <c r="H65" s="7"/>
      <c r="I65" s="7"/>
      <c r="J65" s="4" t="s">
        <v>335</v>
      </c>
      <c r="K65" s="362" t="str">
        <f>CONCATENATE(prefix_portable_component,"-fm01.",sample_parent_dns_zone)</f>
        <v>flt-fm01.rainpole.io</v>
      </c>
      <c r="L65" s="347" t="s">
        <v>4083</v>
      </c>
      <c r="M65" s="331" t="str">
        <f>IF(mgmt_domain_ops_automation_later_chosen="Selected","Inputs are masked out as you have opted to deploy VCF Ops and Automation post MGMT Domain deployment","4 vCPU, 12GB RAM, 194GB Storage")</f>
        <v>4 vCPU, 12GB RAM, 194GB Storage</v>
      </c>
    </row>
    <row r="66" spans="5:13" ht="20.100000000000001" customHeight="1" x14ac:dyDescent="0.2">
      <c r="E66" s="7"/>
      <c r="F66" s="7"/>
      <c r="G66" s="7"/>
      <c r="H66" s="7"/>
      <c r="I66" s="7"/>
      <c r="J66" s="4" t="s">
        <v>336</v>
      </c>
      <c r="K66" s="362" t="s">
        <v>286</v>
      </c>
      <c r="L66" s="347" t="s">
        <v>323</v>
      </c>
      <c r="M66" s="337" t="str">
        <f>IF(mgmt_domain_password_creation_chosen="Selected","Inputs are masked out as you have opted to deploy with system generated passwords","")</f>
        <v/>
      </c>
    </row>
    <row r="67" spans="5:13" ht="20.100000000000001" customHeight="1" x14ac:dyDescent="0.2">
      <c r="E67" s="7"/>
      <c r="F67" s="7"/>
      <c r="G67" s="7"/>
      <c r="H67" s="7"/>
      <c r="I67" s="7"/>
      <c r="J67" s="4" t="s">
        <v>329</v>
      </c>
      <c r="K67" s="362" t="s">
        <v>297</v>
      </c>
      <c r="L67" s="347"/>
      <c r="M67" s="337" t="str">
        <f>IF(mgmt_domain_password_creation_chosen="Selected","Inputs are masked out as you have opted to deploy with system generated passwords","Minimum 15 Characters, 1 Uppercase, 1 Special")</f>
        <v>Minimum 15 Characters, 1 Uppercase, 1 Special</v>
      </c>
    </row>
    <row r="68" spans="5:13" ht="20.100000000000001" customHeight="1" x14ac:dyDescent="0.2">
      <c r="E68" s="7"/>
      <c r="F68" s="7"/>
      <c r="G68" s="7"/>
      <c r="H68" s="7"/>
      <c r="I68" s="7"/>
      <c r="J68" s="351" t="s">
        <v>337</v>
      </c>
      <c r="K68" s="84" t="s">
        <v>297</v>
      </c>
      <c r="L68" s="347"/>
      <c r="M68" s="153" t="str">
        <f>IF(mgmt_domain_password_creation_chosen="Selected","Inputs are masked out as you have opted to deploy with system generated passwords","Minimum 15 Characters, 1 Uppercase, 1 Special")</f>
        <v>Minimum 15 Characters, 1 Uppercase, 1 Special</v>
      </c>
    </row>
    <row r="69" spans="5:13" ht="20.100000000000001" customHeight="1" x14ac:dyDescent="0.2">
      <c r="E69" s="7"/>
      <c r="F69" s="7"/>
      <c r="G69" s="7"/>
      <c r="H69" s="7"/>
      <c r="I69" s="7"/>
      <c r="J69" s="405" t="s">
        <v>338</v>
      </c>
      <c r="K69" s="406"/>
      <c r="L69" s="406"/>
      <c r="M69" s="407"/>
    </row>
    <row r="70" spans="5:13" ht="20.100000000000001" customHeight="1" x14ac:dyDescent="0.2">
      <c r="E70" s="7"/>
      <c r="F70" s="7"/>
      <c r="G70" s="7"/>
      <c r="H70" s="7"/>
      <c r="I70" s="7"/>
      <c r="J70" s="4" t="s">
        <v>335</v>
      </c>
      <c r="K70" s="85" t="str">
        <f>CONCATENATE(this_instance,"-cp01.",sample_child_dns_zone)</f>
        <v>sfo-cp01.sfo.rainpole.io</v>
      </c>
      <c r="L70" s="347" t="s">
        <v>4084</v>
      </c>
      <c r="M70" s="4"/>
    </row>
    <row r="71" spans="5:13" ht="20.100000000000001" customHeight="1" x14ac:dyDescent="0.2">
      <c r="E71" s="7"/>
      <c r="F71" s="7"/>
      <c r="G71" s="7"/>
      <c r="H71" s="7"/>
      <c r="I71" s="7"/>
      <c r="J71" s="4" t="s">
        <v>336</v>
      </c>
      <c r="K71" s="362" t="s">
        <v>286</v>
      </c>
      <c r="L71" s="347" t="s">
        <v>323</v>
      </c>
      <c r="M71" s="4"/>
    </row>
    <row r="72" spans="5:13" ht="20.100000000000001" customHeight="1" x14ac:dyDescent="0.2">
      <c r="E72" s="7"/>
      <c r="F72" s="7"/>
      <c r="G72" s="7"/>
      <c r="H72" s="7"/>
      <c r="I72" s="7"/>
      <c r="J72" s="4" t="s">
        <v>330</v>
      </c>
      <c r="K72" s="362" t="s">
        <v>297</v>
      </c>
      <c r="L72" s="347"/>
      <c r="M72" s="337" t="s">
        <v>339</v>
      </c>
    </row>
    <row r="73" spans="5:13" ht="20.100000000000001" customHeight="1" x14ac:dyDescent="0.2">
      <c r="E73" s="7"/>
      <c r="F73" s="7"/>
      <c r="G73" s="7"/>
      <c r="H73" s="7"/>
      <c r="I73" s="7"/>
      <c r="J73" s="372"/>
      <c r="K73" s="372"/>
      <c r="L73" s="372"/>
      <c r="M73" s="372"/>
    </row>
    <row r="74" spans="5:13" ht="33.950000000000003" customHeight="1" x14ac:dyDescent="0.2">
      <c r="E74" s="7"/>
      <c r="F74" s="7"/>
      <c r="G74" s="7"/>
      <c r="H74" s="7"/>
      <c r="I74" s="7"/>
      <c r="J74" s="408" t="s">
        <v>191</v>
      </c>
      <c r="K74" s="409"/>
      <c r="L74" s="409"/>
      <c r="M74" s="410"/>
    </row>
    <row r="75" spans="5:13" ht="20.100000000000001" customHeight="1" x14ac:dyDescent="0.2">
      <c r="E75" s="7"/>
      <c r="F75" s="7"/>
      <c r="G75" s="7"/>
      <c r="H75" s="7"/>
      <c r="I75" s="7"/>
      <c r="J75" s="405" t="s">
        <v>340</v>
      </c>
      <c r="K75" s="406"/>
      <c r="L75" s="406"/>
      <c r="M75" s="407"/>
    </row>
    <row r="76" spans="5:13" ht="20.100000000000001" customHeight="1" x14ac:dyDescent="0.2">
      <c r="E76" s="7"/>
      <c r="F76" s="7"/>
      <c r="G76" s="7"/>
      <c r="H76" s="7"/>
      <c r="I76" s="7"/>
      <c r="J76" s="346" t="s">
        <v>37</v>
      </c>
      <c r="K76" s="346" t="s">
        <v>276</v>
      </c>
      <c r="L76" s="346" t="s">
        <v>277</v>
      </c>
      <c r="M76" s="346" t="s">
        <v>5</v>
      </c>
    </row>
    <row r="77" spans="5:13" ht="20.100000000000001" customHeight="1" x14ac:dyDescent="0.2">
      <c r="E77" s="7"/>
      <c r="F77" s="7"/>
      <c r="G77" s="7"/>
      <c r="H77" s="7"/>
      <c r="I77" s="7"/>
      <c r="J77" s="4" t="s">
        <v>341</v>
      </c>
      <c r="K77" s="362" t="s">
        <v>286</v>
      </c>
      <c r="L77" s="347" t="s">
        <v>286</v>
      </c>
      <c r="M77" s="337"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100000000000001" customHeight="1" x14ac:dyDescent="0.2">
      <c r="E78" s="7"/>
      <c r="F78" s="7"/>
      <c r="G78" s="7"/>
      <c r="H78" s="7"/>
      <c r="I78" s="7"/>
      <c r="J78" s="4" t="s">
        <v>335</v>
      </c>
      <c r="K78" s="362" t="str">
        <f>CONCATENATE(prefix_portable_component,"-auto01.",sample_parent_dns_zone)</f>
        <v>flt-auto01.rainpole.io</v>
      </c>
      <c r="L78" s="347" t="s">
        <v>4085</v>
      </c>
      <c r="M78" s="337"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row>
    <row r="79" spans="5:13" ht="20.100000000000001" customHeight="1" x14ac:dyDescent="0.2">
      <c r="E79" s="7"/>
      <c r="F79" s="7"/>
      <c r="G79" s="7"/>
      <c r="H79" s="7"/>
      <c r="I79" s="7"/>
      <c r="J79" s="4" t="s">
        <v>329</v>
      </c>
      <c r="K79" s="362" t="s">
        <v>297</v>
      </c>
      <c r="L79" s="347" t="s">
        <v>4028</v>
      </c>
      <c r="M79" s="337"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80" spans="5:13" ht="20.100000000000001" customHeight="1" x14ac:dyDescent="0.2">
      <c r="E80" s="7"/>
      <c r="F80" s="7"/>
      <c r="G80" s="7"/>
      <c r="H80" s="7"/>
      <c r="I80" s="7"/>
      <c r="J80" s="4" t="s">
        <v>342</v>
      </c>
      <c r="K80" s="80" t="str">
        <f>IF(mgmt_vcf_management_network_chosen="Use VM management network",IF(mgmt_dpg_reuse_result="Included",CONCATENATE(prefix_mgmt_az1_cidr,"10.46"),CONCATENATE(prefix_mgmt_az1_cidr,"11.46")),CONCATENATE(prefix_flt_shared_cidr,".46"))</f>
        <v>10.11.10.46</v>
      </c>
      <c r="L80" s="347" t="s">
        <v>4055</v>
      </c>
      <c r="M80"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1" spans="5:13" ht="20.100000000000001" customHeight="1" x14ac:dyDescent="0.2">
      <c r="E81" s="7"/>
      <c r="F81" s="7"/>
      <c r="G81" s="7"/>
      <c r="H81" s="7"/>
      <c r="I81" s="7"/>
      <c r="J81" s="4" t="s">
        <v>343</v>
      </c>
      <c r="K81" s="80" t="str">
        <f>IF(mgmt_vcf_management_network_chosen="Use VM management network",IF(mgmt_dpg_reuse_result="Included",CONCATENATE(prefix_mgmt_az1_cidr,"10.47"),CONCATENATE(prefix_mgmt_az1_cidr,"11.47")),CONCATENATE(prefix_flt_shared_cidr,".47"))</f>
        <v>10.11.10.47</v>
      </c>
      <c r="L81" s="347" t="s">
        <v>4056</v>
      </c>
      <c r="M81"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2" spans="5:13" ht="20.100000000000001" customHeight="1" x14ac:dyDescent="0.2">
      <c r="E82" s="7"/>
      <c r="F82" s="7"/>
      <c r="G82" s="7"/>
      <c r="H82" s="7"/>
      <c r="I82" s="7"/>
      <c r="J82" s="4" t="s">
        <v>344</v>
      </c>
      <c r="K82" s="135" t="str">
        <f>IF(mgmt_vcf_management_network_chosen="Use VM management network",IF(mgmt_dpg_reuse_result="Included",CONCATENATE(prefix_mgmt_az1_cidr,"10.48"),CONCATENATE(prefix_mgmt_az1_cidr,"11.48")),CONCATENATE(prefix_flt_shared_cidr,".48"))</f>
        <v>10.11.10.48</v>
      </c>
      <c r="L82" s="86" t="s">
        <v>4057</v>
      </c>
      <c r="M82"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3" spans="5:13" ht="20.100000000000001" customHeight="1" x14ac:dyDescent="0.2">
      <c r="E83" s="7"/>
      <c r="F83" s="7"/>
      <c r="G83" s="7"/>
      <c r="H83" s="7"/>
      <c r="I83" s="7"/>
      <c r="J83" s="4" t="s">
        <v>345</v>
      </c>
      <c r="K83" s="330" t="str">
        <f>IF(mgmt_vcf_management_network_chosen="Use VM management network",IF(mgmt_dpg_reuse_result="Included",CONCATENATE(prefix_mgmt_az1_cidr,"10.49"),CONCATENATE(prefix_mgmt_az1_cidr,"11.49")),CONCATENATE(prefix_flt_shared_cidr,".49"))</f>
        <v>10.11.10.49</v>
      </c>
      <c r="L83" s="88" t="s">
        <v>4030</v>
      </c>
      <c r="M83"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4" spans="5:13" ht="20.100000000000001" customHeight="1" x14ac:dyDescent="0.2">
      <c r="E84" s="7"/>
      <c r="F84" s="7"/>
      <c r="G84" s="7"/>
      <c r="H84" s="7"/>
      <c r="I84" s="7"/>
      <c r="J84" s="4" t="s">
        <v>346</v>
      </c>
      <c r="K84" s="80" t="str">
        <f>CONCATENATE(prefix_portable_component,"-auto")</f>
        <v>flt-auto</v>
      </c>
      <c r="L84" s="347" t="s">
        <v>4031</v>
      </c>
      <c r="M84" s="337"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row>
    <row r="85" spans="5:13" ht="20.100000000000001" customHeight="1" x14ac:dyDescent="0.2">
      <c r="E85" s="7"/>
      <c r="F85" s="7"/>
      <c r="G85" s="7"/>
      <c r="H85" s="7"/>
      <c r="I85" s="7"/>
      <c r="J85" s="4" t="s">
        <v>347</v>
      </c>
      <c r="K85" s="80" t="s">
        <v>348</v>
      </c>
      <c r="L85" s="347" t="s">
        <v>348</v>
      </c>
      <c r="M85" s="337"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86" spans="5:13" ht="20.100000000000001" customHeight="1" x14ac:dyDescent="0.2">
      <c r="E86" s="7"/>
      <c r="F86" s="7"/>
      <c r="G86" s="7"/>
      <c r="H86" s="7"/>
      <c r="I86" s="7"/>
      <c r="J86" s="372"/>
      <c r="K86" s="372"/>
      <c r="L86" s="344"/>
      <c r="M86" s="372"/>
    </row>
    <row r="87" spans="5:13" ht="33.950000000000003" customHeight="1" x14ac:dyDescent="0.2">
      <c r="E87" s="7"/>
      <c r="F87" s="7"/>
      <c r="G87" s="7"/>
      <c r="H87" s="7"/>
      <c r="I87" s="7"/>
      <c r="J87" s="408" t="s">
        <v>299</v>
      </c>
      <c r="K87" s="409"/>
      <c r="L87" s="409"/>
      <c r="M87" s="410"/>
    </row>
    <row r="88" spans="5:13" ht="20.100000000000001" customHeight="1" x14ac:dyDescent="0.2">
      <c r="E88" s="7"/>
      <c r="F88" s="7"/>
      <c r="G88" s="7"/>
      <c r="H88" s="7"/>
      <c r="I88" s="7"/>
      <c r="J88" s="405" t="s">
        <v>349</v>
      </c>
      <c r="K88" s="406"/>
      <c r="L88" s="406"/>
      <c r="M88" s="407"/>
    </row>
    <row r="89" spans="5:13" ht="20.100000000000001" customHeight="1" x14ac:dyDescent="0.2">
      <c r="E89" s="7"/>
      <c r="F89" s="7"/>
      <c r="G89" s="7"/>
      <c r="H89" s="7"/>
      <c r="I89" s="7"/>
      <c r="J89" s="346" t="s">
        <v>37</v>
      </c>
      <c r="K89" s="346" t="s">
        <v>276</v>
      </c>
      <c r="L89" s="346" t="s">
        <v>277</v>
      </c>
      <c r="M89" s="346" t="s">
        <v>5</v>
      </c>
    </row>
    <row r="90" spans="5:13" ht="20.100000000000001" customHeight="1" x14ac:dyDescent="0.2">
      <c r="E90" s="7"/>
      <c r="F90" s="7"/>
      <c r="G90" s="7"/>
      <c r="H90" s="7"/>
      <c r="I90" s="7"/>
      <c r="J90" s="4" t="s">
        <v>335</v>
      </c>
      <c r="K90" s="89" t="str">
        <f>CONCATENATE(this_instance,"-m01-vc01.",sample_child_dns_zone)</f>
        <v>sfo-m01-vc01.sfo.rainpole.io</v>
      </c>
      <c r="L90" s="347" t="s">
        <v>4086</v>
      </c>
      <c r="M90" s="337"/>
    </row>
    <row r="91" spans="5:13" ht="20.100000000000001" customHeight="1" x14ac:dyDescent="0.2">
      <c r="E91" s="7"/>
      <c r="F91" s="7"/>
      <c r="G91" s="7"/>
      <c r="H91" s="7"/>
      <c r="I91" s="7"/>
      <c r="J91" s="4" t="s">
        <v>350</v>
      </c>
      <c r="K91" s="362" t="s">
        <v>189</v>
      </c>
      <c r="L91" s="347" t="s">
        <v>189</v>
      </c>
      <c r="M91" s="337"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4 vCPU, 21GB RAM</v>
      </c>
    </row>
    <row r="92" spans="5:13" ht="20.100000000000001" customHeight="1" x14ac:dyDescent="0.2">
      <c r="E92" s="7"/>
      <c r="F92" s="7"/>
      <c r="G92" s="7"/>
      <c r="H92" s="7"/>
      <c r="I92" s="7"/>
      <c r="J92" s="74" t="s">
        <v>351</v>
      </c>
      <c r="K92" s="362" t="s">
        <v>215</v>
      </c>
      <c r="L92" s="347" t="s">
        <v>215</v>
      </c>
      <c r="M92" s="337" t="str">
        <f>IF(mgmt_domain_existing_vcenter_chosen="Selected","Inputs are masked out as you have opted to import an existing vCenter Server",
CONCATENATE(VLOOKUP(CONCATENATE(mgmt_vcenter_appliance_size_chosen,sizing_m01_vcenter_storage_size_chosen),table_vcenter_disk_gb,2,FALSE)," GB"))</f>
        <v>694 GB</v>
      </c>
    </row>
    <row r="93" spans="5:13" ht="20.100000000000001" customHeight="1" x14ac:dyDescent="0.2">
      <c r="E93" s="7"/>
      <c r="F93" s="7"/>
      <c r="G93" s="7"/>
      <c r="H93" s="7"/>
      <c r="I93" s="7"/>
      <c r="J93" s="4" t="s">
        <v>352</v>
      </c>
      <c r="K93" s="362" t="str">
        <f>CONCATENATE(this_instance,"-m01-dc01")</f>
        <v>sfo-m01-dc01</v>
      </c>
      <c r="L93" s="347" t="s">
        <v>4066</v>
      </c>
      <c r="M93" s="337" t="str">
        <f>IF(mgmt_domain_existing_vcenter_chosen="Selected","Inputs are masked out as you have opted to import an existing vCenter Server","")</f>
        <v/>
      </c>
    </row>
    <row r="94" spans="5:13" ht="20.100000000000001" customHeight="1" x14ac:dyDescent="0.2">
      <c r="E94" s="7"/>
      <c r="F94" s="7"/>
      <c r="G94" s="7"/>
      <c r="H94" s="7"/>
      <c r="I94" s="7"/>
      <c r="J94" s="4" t="s">
        <v>353</v>
      </c>
      <c r="K94" s="362" t="str">
        <f>CONCATENATE(this_instance,"-m01-cl01")</f>
        <v>sfo-m01-cl01</v>
      </c>
      <c r="L94" s="347" t="s">
        <v>4067</v>
      </c>
      <c r="M94" s="337" t="str">
        <f>IF(mgmt_domain_existing_vcenter_chosen="Selected","Inputs are masked out as you have opted to import an existing vCenter Server","")</f>
        <v/>
      </c>
    </row>
    <row r="95" spans="5:13" ht="20.100000000000001" customHeight="1" x14ac:dyDescent="0.2">
      <c r="E95" s="7"/>
      <c r="F95" s="7"/>
      <c r="G95" s="7"/>
      <c r="H95" s="7"/>
      <c r="I95" s="7"/>
      <c r="J95" s="4" t="s">
        <v>354</v>
      </c>
      <c r="K95" s="362" t="s">
        <v>355</v>
      </c>
      <c r="L95" s="347" t="s">
        <v>355</v>
      </c>
      <c r="M95" s="337" t="str">
        <f>IF(mgmt_domain_existing_vcenter_chosen="Selected","Inputs are masked out as you have opted to import an existing vCenter Server","")</f>
        <v/>
      </c>
    </row>
    <row r="96" spans="5:13" ht="20.100000000000001" customHeight="1" x14ac:dyDescent="0.2">
      <c r="E96" s="7"/>
      <c r="F96" s="7"/>
      <c r="G96" s="7"/>
      <c r="H96" s="7"/>
      <c r="I96" s="7"/>
      <c r="J96" s="4" t="s">
        <v>356</v>
      </c>
      <c r="K96" s="362" t="s">
        <v>357</v>
      </c>
      <c r="L96" s="347"/>
      <c r="M96" s="337" t="str">
        <f>IF(mgmt_domain_existing_vcenter_chosen="Unselected", "Input is masked out and only required if importing an existing vCenter","")</f>
        <v>Input is masked out and only required if importing an existing vCenter</v>
      </c>
    </row>
    <row r="97" spans="5:13" ht="20.100000000000001" customHeight="1" x14ac:dyDescent="0.2">
      <c r="E97" s="7"/>
      <c r="F97" s="7"/>
      <c r="G97" s="7"/>
      <c r="H97" s="7"/>
      <c r="I97" s="7"/>
      <c r="J97" s="4" t="s">
        <v>329</v>
      </c>
      <c r="K97" s="362" t="s">
        <v>297</v>
      </c>
      <c r="L97" s="347" t="s">
        <v>4028</v>
      </c>
      <c r="M97"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100000000000001" customHeight="1" x14ac:dyDescent="0.2">
      <c r="E98" s="7"/>
      <c r="F98" s="7"/>
      <c r="G98" s="7"/>
      <c r="H98" s="7"/>
      <c r="I98" s="7"/>
      <c r="J98" s="4" t="s">
        <v>330</v>
      </c>
      <c r="K98" s="362" t="s">
        <v>297</v>
      </c>
      <c r="L98" s="347" t="s">
        <v>4028</v>
      </c>
      <c r="M98"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100000000000001" customHeight="1" x14ac:dyDescent="0.2">
      <c r="E99" s="7"/>
      <c r="F99" s="7"/>
      <c r="G99" s="7"/>
      <c r="H99" s="7"/>
      <c r="I99" s="7"/>
      <c r="J99" s="90"/>
      <c r="K99" s="90"/>
      <c r="L99" s="90"/>
      <c r="M99" s="90"/>
    </row>
    <row r="100" spans="5:13" ht="33.950000000000003" customHeight="1" x14ac:dyDescent="0.2">
      <c r="E100" s="7"/>
      <c r="F100" s="7"/>
      <c r="G100" s="7"/>
      <c r="H100" s="7"/>
      <c r="I100" s="7"/>
      <c r="J100" s="408" t="s">
        <v>300</v>
      </c>
      <c r="K100" s="409"/>
      <c r="L100" s="409"/>
      <c r="M100" s="410"/>
    </row>
    <row r="101" spans="5:13" ht="20.100000000000001" customHeight="1" x14ac:dyDescent="0.2">
      <c r="E101" s="7"/>
      <c r="F101" s="7"/>
      <c r="G101" s="7"/>
      <c r="H101" s="7"/>
      <c r="I101" s="7"/>
      <c r="J101" s="405" t="s">
        <v>358</v>
      </c>
      <c r="K101" s="406"/>
      <c r="L101" s="406"/>
      <c r="M101" s="407"/>
    </row>
    <row r="102" spans="5:13" ht="20.100000000000001" customHeight="1" x14ac:dyDescent="0.2">
      <c r="E102" s="7"/>
      <c r="F102" s="7"/>
      <c r="G102" s="7"/>
      <c r="H102" s="7"/>
      <c r="I102" s="7"/>
      <c r="J102" s="346" t="s">
        <v>37</v>
      </c>
      <c r="K102" s="346" t="s">
        <v>276</v>
      </c>
      <c r="L102" s="346" t="s">
        <v>277</v>
      </c>
      <c r="M102" s="346" t="s">
        <v>5</v>
      </c>
    </row>
    <row r="103" spans="5:13" ht="20.100000000000001" customHeight="1" x14ac:dyDescent="0.2">
      <c r="E103" s="7"/>
      <c r="F103" s="7"/>
      <c r="G103" s="7"/>
      <c r="H103" s="7"/>
      <c r="I103" s="7"/>
      <c r="J103" s="4" t="s">
        <v>350</v>
      </c>
      <c r="K103" s="362" t="s">
        <v>214</v>
      </c>
      <c r="L103" s="347" t="s">
        <v>214</v>
      </c>
      <c r="M103" s="337"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IF(mgmt_nsxt_appliance_size_chosen="Extra Large","24 vCPU, 96GB, 400GB Storage Only supported via API. Use VCF.JSONGenerator to generate the JSON File once PnP is complete",
))))))</f>
        <v>6 vCPU, 24GB, 300GB Storage</v>
      </c>
    </row>
    <row r="104" spans="5:13" ht="20.100000000000001" customHeight="1" x14ac:dyDescent="0.2">
      <c r="E104" s="7"/>
      <c r="F104" s="7"/>
      <c r="G104" s="7"/>
      <c r="H104" s="7"/>
      <c r="I104" s="7"/>
      <c r="J104" s="4" t="s">
        <v>359</v>
      </c>
      <c r="K104" s="89" t="str">
        <f>CONCATENATE(this_instance,"-m01-nsx01",".",sample_child_dns_zone)</f>
        <v>sfo-m01-nsx01.sfo.rainpole.io</v>
      </c>
      <c r="L104" s="79" t="s">
        <v>4087</v>
      </c>
      <c r="M104" s="337"/>
    </row>
    <row r="105" spans="5:13" ht="20.100000000000001" customHeight="1" x14ac:dyDescent="0.2">
      <c r="E105" s="7"/>
      <c r="F105" s="7"/>
      <c r="G105" s="7"/>
      <c r="H105" s="7"/>
      <c r="I105" s="7"/>
      <c r="J105" s="4" t="s">
        <v>360</v>
      </c>
      <c r="K105" s="89" t="str">
        <f>CONCATENATE(this_instance,"-m01-nsx01a",".",sample_child_dns_zone)</f>
        <v>sfo-m01-nsx01a.sfo.rainpole.io</v>
      </c>
      <c r="L105" s="347" t="s">
        <v>4088</v>
      </c>
      <c r="M105" s="337" t="str">
        <f>IF(mgmt_domain_existing_nsx_manager_chosen="Selected","Inputs are masked out as you have opted to deploy with an existing NSX Cluster","")</f>
        <v/>
      </c>
    </row>
    <row r="106" spans="5:13" ht="20.100000000000001" customHeight="1" x14ac:dyDescent="0.2">
      <c r="E106" s="7"/>
      <c r="F106" s="7"/>
      <c r="G106" s="7"/>
      <c r="H106" s="7"/>
      <c r="I106" s="7"/>
      <c r="J106" s="4" t="s">
        <v>361</v>
      </c>
      <c r="K106" s="89" t="str">
        <f>CONCATENATE(this_instance,"-m01-nsx01b",".",sample_child_dns_zone)</f>
        <v>sfo-m01-nsx01b.sfo.rainpole.io</v>
      </c>
      <c r="L106" s="347" t="s">
        <v>4089</v>
      </c>
      <c r="M106" s="337" t="str">
        <f>IF(mgmt_domain_existing_nsx_manager_chosen="Selected","Inputs are masked out as you have opted to deploy with an existing NSX Cluster","")</f>
        <v/>
      </c>
    </row>
    <row r="107" spans="5:13" ht="20.100000000000001" customHeight="1" x14ac:dyDescent="0.2">
      <c r="E107" s="7"/>
      <c r="F107" s="7"/>
      <c r="G107" s="7"/>
      <c r="H107" s="7"/>
      <c r="I107" s="7"/>
      <c r="J107" s="4" t="s">
        <v>362</v>
      </c>
      <c r="K107" s="89" t="str">
        <f>CONCATENATE(this_instance,"-m01-nsx01c",".",sample_child_dns_zone)</f>
        <v>sfo-m01-nsx01c.sfo.rainpole.io</v>
      </c>
      <c r="L107" s="347" t="s">
        <v>4090</v>
      </c>
      <c r="M107" s="337" t="str">
        <f>IF(mgmt_domain_existing_nsx_manager_chosen="Selected","Inputs are masked out as you have opted to deploy with an existing NSX Cluster","")</f>
        <v/>
      </c>
    </row>
    <row r="108" spans="5:13" ht="20.100000000000001" customHeight="1" x14ac:dyDescent="0.2">
      <c r="E108" s="7"/>
      <c r="F108" s="7"/>
      <c r="G108" s="7"/>
      <c r="H108" s="7"/>
      <c r="I108" s="7"/>
      <c r="J108" s="4" t="s">
        <v>329</v>
      </c>
      <c r="K108" s="362" t="s">
        <v>297</v>
      </c>
      <c r="L108" s="347" t="s">
        <v>4028</v>
      </c>
      <c r="M108" s="337" t="str">
        <f>IF(mgmt_domain_password_creation_chosen="Selected","Inputs are masked out as you have opted to deploy with system generated passwords","Minimum 12 Characters, 1 Uppercase, 1 Special")</f>
        <v>Minimum 12 Characters, 1 Uppercase, 1 Special</v>
      </c>
    </row>
    <row r="109" spans="5:13" ht="20.100000000000001" customHeight="1" x14ac:dyDescent="0.2">
      <c r="E109" s="7"/>
      <c r="F109" s="7"/>
      <c r="G109" s="7"/>
      <c r="H109" s="7"/>
      <c r="I109" s="7"/>
      <c r="J109" s="4" t="s">
        <v>330</v>
      </c>
      <c r="K109" s="362" t="s">
        <v>297</v>
      </c>
      <c r="L109" s="347" t="s">
        <v>4028</v>
      </c>
      <c r="M109" s="337" t="str">
        <f>IF(mgmt_domain_password_creation_chosen="Selected","Inputs are masked out as you have opted to deploy with system generated passwords","Minimum 12 Characters, 1 Uppercase, 1 Special")</f>
        <v>Minimum 12 Characters, 1 Uppercase, 1 Special</v>
      </c>
    </row>
    <row r="110" spans="5:13" ht="20.100000000000001" customHeight="1" x14ac:dyDescent="0.2">
      <c r="E110" s="7"/>
      <c r="F110" s="7"/>
      <c r="G110" s="7"/>
      <c r="H110" s="7"/>
      <c r="I110" s="7"/>
      <c r="J110" s="4" t="s">
        <v>363</v>
      </c>
      <c r="K110" s="362" t="s">
        <v>297</v>
      </c>
      <c r="L110" s="347" t="s">
        <v>4028</v>
      </c>
      <c r="M110" s="337" t="str">
        <f>IF(mgmt_domain_password_creation_chosen="Selected","Inputs are masked out as you have opted to deploy with system generated passwords","Minimum 12 Characters, 1 Uppercase, 1 Special")</f>
        <v>Minimum 12 Characters, 1 Uppercase, 1 Special</v>
      </c>
    </row>
    <row r="111" spans="5:13" ht="20.100000000000001" customHeight="1" x14ac:dyDescent="0.2">
      <c r="E111" s="7"/>
      <c r="F111" s="7"/>
      <c r="G111" s="7"/>
      <c r="H111" s="7"/>
      <c r="I111" s="7"/>
      <c r="J111" s="4" t="s">
        <v>364</v>
      </c>
      <c r="K111" s="362" t="s">
        <v>286</v>
      </c>
      <c r="L111" s="347" t="s">
        <v>286</v>
      </c>
      <c r="M111" s="337" t="str">
        <f>IF(mgmt_domain_existing_nsx_manager_chosen="Unselected","Input is masked out and only required if importing an NSX Instance","")</f>
        <v>Input is masked out and only required if importing an NSX Instance</v>
      </c>
    </row>
    <row r="112" spans="5:13" ht="20.100000000000001" customHeight="1" x14ac:dyDescent="0.2">
      <c r="E112" s="7"/>
      <c r="F112" s="7"/>
      <c r="G112" s="7"/>
      <c r="H112" s="7"/>
      <c r="I112" s="7"/>
      <c r="J112" s="372"/>
      <c r="K112" s="372"/>
      <c r="L112" s="372"/>
      <c r="M112" s="372"/>
    </row>
    <row r="113" spans="5:13" ht="33.950000000000003" customHeight="1" x14ac:dyDescent="0.2">
      <c r="E113" s="7"/>
      <c r="F113" s="7"/>
      <c r="G113" s="7"/>
      <c r="H113" s="7"/>
      <c r="I113" s="7"/>
      <c r="J113" s="408" t="s">
        <v>365</v>
      </c>
      <c r="K113" s="409"/>
      <c r="L113" s="409"/>
      <c r="M113" s="410"/>
    </row>
    <row r="114" spans="5:13" ht="20.100000000000001" customHeight="1" x14ac:dyDescent="0.2">
      <c r="E114" s="7"/>
      <c r="F114" s="7"/>
      <c r="G114" s="7"/>
      <c r="H114" s="7"/>
      <c r="I114" s="7"/>
      <c r="J114" s="405" t="s">
        <v>366</v>
      </c>
      <c r="K114" s="406"/>
      <c r="L114" s="406"/>
      <c r="M114" s="407"/>
    </row>
    <row r="115" spans="5:13" ht="20.100000000000001" customHeight="1" x14ac:dyDescent="0.2">
      <c r="E115" s="7"/>
      <c r="F115" s="7"/>
      <c r="G115" s="7"/>
      <c r="H115" s="7"/>
      <c r="I115" s="7"/>
      <c r="J115" s="346" t="s">
        <v>37</v>
      </c>
      <c r="K115" s="346" t="s">
        <v>276</v>
      </c>
      <c r="L115" s="346" t="s">
        <v>277</v>
      </c>
      <c r="M115" s="346" t="s">
        <v>5</v>
      </c>
    </row>
    <row r="116" spans="5:13" ht="20.100000000000001" customHeight="1" x14ac:dyDescent="0.2">
      <c r="E116" s="7"/>
      <c r="F116" s="7"/>
      <c r="G116" s="7"/>
      <c r="H116" s="7"/>
      <c r="I116" s="7"/>
      <c r="J116" s="4" t="s">
        <v>367</v>
      </c>
      <c r="K116" s="362" t="s">
        <v>368</v>
      </c>
      <c r="L116" s="347" t="s">
        <v>368</v>
      </c>
      <c r="M116" s="337" t="str">
        <f>IF(mgmt_domain_existing_vcenter_chosen="Selected","Inputs are masked out as you have opted to import an existing vCenter Server","")</f>
        <v/>
      </c>
    </row>
    <row r="117" spans="5:13" ht="20.100000000000001" customHeight="1" x14ac:dyDescent="0.2">
      <c r="E117" s="7"/>
      <c r="F117" s="7"/>
      <c r="G117" s="7"/>
      <c r="H117" s="7"/>
      <c r="I117" s="7"/>
      <c r="J117" s="4" t="s">
        <v>369</v>
      </c>
      <c r="K117" s="362" t="str">
        <f>IF(mgmt_principal_storage_chosen="VMFS on Fibre Channel (FC)",CONCATENATE(this_instance,"-m01-cl01-ds-vmfs01"),IF(mgmt_principal_storage_chosen="NFSv3",CONCATENATE(this_instance,"-m01-cl01-ds-nfs01"),CONCATENATE(this_instance,"-m01-cl01-ds-vsan01")))</f>
        <v>sfo-m01-cl01-ds-vsan01</v>
      </c>
      <c r="L117" s="347" t="s">
        <v>4032</v>
      </c>
      <c r="M117" s="337" t="str">
        <f>IF(mgmt_domain_existing_vcenter_chosen="Selected","Inputs are masked out as you have opted to import an existing vCenter Server","")</f>
        <v/>
      </c>
    </row>
    <row r="118" spans="5:13" ht="20.100000000000001" customHeight="1" x14ac:dyDescent="0.2">
      <c r="E118" s="7"/>
      <c r="F118" s="7"/>
      <c r="G118" s="7"/>
      <c r="H118" s="7"/>
      <c r="I118" s="7"/>
      <c r="J118" s="74" t="s">
        <v>370</v>
      </c>
      <c r="K118" s="362">
        <v>1</v>
      </c>
      <c r="L118" s="86" t="s">
        <v>371</v>
      </c>
      <c r="M118" s="337" t="str">
        <f>IF(mgmt_principal_storage_chosen&lt;&gt;"vSAN-OSA","Input is masked out and only required if configuring vSAN-OSA","")</f>
        <v>Input is masked out and only required if configuring vSAN-OSA</v>
      </c>
    </row>
    <row r="119" spans="5:13" ht="20.100000000000001" customHeight="1" x14ac:dyDescent="0.2">
      <c r="E119" s="7"/>
      <c r="F119" s="7"/>
      <c r="G119" s="7"/>
      <c r="H119" s="7"/>
      <c r="I119" s="7"/>
      <c r="J119" s="74" t="s">
        <v>372</v>
      </c>
      <c r="K119" s="362" t="s">
        <v>286</v>
      </c>
      <c r="L119" s="86" t="s">
        <v>286</v>
      </c>
      <c r="M119" s="337" t="str">
        <f>IF(mgmt_principal_storage_chosen&lt;&gt;"vSAN-OSA","Input is masked out and only required if configuring vSAN-OSA","")</f>
        <v>Input is masked out and only required if configuring vSAN-OSA</v>
      </c>
    </row>
    <row r="120" spans="5:13" ht="20.100000000000001" customHeight="1" x14ac:dyDescent="0.2">
      <c r="E120" s="7"/>
      <c r="F120" s="7"/>
      <c r="G120" s="7"/>
      <c r="H120" s="7"/>
      <c r="I120" s="7"/>
      <c r="J120" s="74" t="s">
        <v>373</v>
      </c>
      <c r="K120" s="81" t="str">
        <f>CONCATENATE("/share/",this_instance,"-m01-cl01-ds-nfs01")</f>
        <v>/share/sfo-m01-cl01-ds-nfs01</v>
      </c>
      <c r="L120" s="91"/>
      <c r="M120" s="186" t="str">
        <f>IF(mgmt_principal_storage_chosen&lt;&gt;"NFSv3","Input is masked out and only required if configuring NFS Storage","")</f>
        <v>Input is masked out and only required if configuring NFS Storage</v>
      </c>
    </row>
    <row r="121" spans="5:13" ht="20.100000000000001" customHeight="1" x14ac:dyDescent="0.2">
      <c r="E121" s="7"/>
      <c r="F121" s="7"/>
      <c r="G121" s="7"/>
      <c r="H121" s="7"/>
      <c r="I121" s="7"/>
      <c r="J121" s="74" t="s">
        <v>374</v>
      </c>
      <c r="K121" s="81" t="str">
        <f>CONCATENATE(prefix_mgmt_az1_cidr,"15.200")</f>
        <v>10.11.15.200</v>
      </c>
      <c r="L121" s="91"/>
      <c r="M121" s="186" t="str">
        <f>IF(mgmt_principal_storage_chosen&lt;&gt;"NFSv3","Input is masked out and only required if configuring NFS Storage","")</f>
        <v>Input is masked out and only required if configuring NFS Storage</v>
      </c>
    </row>
    <row r="122" spans="5:13" ht="20.100000000000001" customHeight="1" x14ac:dyDescent="0.2">
      <c r="E122" s="7"/>
      <c r="F122" s="7"/>
      <c r="G122" s="7"/>
      <c r="H122" s="7"/>
      <c r="I122" s="7"/>
      <c r="J122" s="74" t="s">
        <v>375</v>
      </c>
      <c r="K122" s="81" t="s">
        <v>323</v>
      </c>
      <c r="L122" s="86" t="s">
        <v>323</v>
      </c>
      <c r="M122" s="186" t="str">
        <f>IF(mgmt_principal_storage_chosen&lt;&gt;"NFSv3","Input is masked out and only required if configuring NFS Storage","")</f>
        <v>Input is masked out and only required if configuring NFS Storage</v>
      </c>
    </row>
    <row r="123" spans="5:13" ht="20.100000000000001" customHeight="1" x14ac:dyDescent="0.2">
      <c r="E123" s="7"/>
      <c r="F123" s="7"/>
      <c r="G123" s="7"/>
      <c r="H123" s="7"/>
      <c r="I123" s="7"/>
      <c r="J123" s="372"/>
      <c r="K123" s="344"/>
      <c r="L123" s="344"/>
      <c r="M123" s="344"/>
    </row>
    <row r="124" spans="5:13" ht="33.950000000000003" customHeight="1" x14ac:dyDescent="0.2">
      <c r="E124" s="7"/>
      <c r="F124" s="7"/>
      <c r="G124" s="7"/>
      <c r="H124" s="7"/>
      <c r="I124" s="7"/>
      <c r="J124" s="408" t="s">
        <v>376</v>
      </c>
      <c r="K124" s="409"/>
      <c r="L124" s="409"/>
      <c r="M124" s="410"/>
    </row>
    <row r="125" spans="5:13" ht="20.100000000000001" customHeight="1" x14ac:dyDescent="0.2">
      <c r="E125" s="7"/>
      <c r="F125" s="7"/>
      <c r="G125" s="7"/>
      <c r="H125" s="7"/>
      <c r="I125" s="7"/>
      <c r="J125" s="405" t="s">
        <v>377</v>
      </c>
      <c r="K125" s="406"/>
      <c r="L125" s="406"/>
      <c r="M125" s="407"/>
    </row>
    <row r="126" spans="5:13" ht="20.100000000000001" customHeight="1" x14ac:dyDescent="0.2">
      <c r="E126" s="7"/>
      <c r="F126" s="7"/>
      <c r="G126" s="7"/>
      <c r="H126" s="7"/>
      <c r="I126" s="7"/>
      <c r="J126" s="346" t="s">
        <v>37</v>
      </c>
      <c r="K126" s="346" t="s">
        <v>276</v>
      </c>
      <c r="L126" s="346" t="s">
        <v>277</v>
      </c>
      <c r="M126" s="346" t="s">
        <v>5</v>
      </c>
    </row>
    <row r="127" spans="5:13" ht="20.100000000000001" customHeight="1" x14ac:dyDescent="0.2">
      <c r="E127" s="7"/>
      <c r="F127" s="7"/>
      <c r="G127" s="7"/>
      <c r="H127" s="7"/>
      <c r="I127" s="7"/>
      <c r="J127" s="4" t="s">
        <v>378</v>
      </c>
      <c r="K127" s="362" t="s">
        <v>379</v>
      </c>
      <c r="L127" s="347" t="s">
        <v>4028</v>
      </c>
      <c r="M127" s="337" t="str">
        <f>IF(mgmt_domain_existing_vcenter_chosen="Selected","Inputs are masked out as you have opted to import an existing vCenter Server","")</f>
        <v/>
      </c>
    </row>
    <row r="128" spans="5:13" ht="20.100000000000001" customHeight="1" x14ac:dyDescent="0.2">
      <c r="E128" s="7"/>
      <c r="F128" s="7"/>
      <c r="G128" s="7"/>
      <c r="H128" s="7"/>
      <c r="I128" s="7"/>
      <c r="J128" s="4" t="s">
        <v>380</v>
      </c>
      <c r="K128" s="362" t="str">
        <f>CONCATENATE(this_instance,"01-m01-r01-esx01",".",sample_child_dns_zone)</f>
        <v>sfo01-m01-r01-esx01.sfo.rainpole.io</v>
      </c>
      <c r="L128" s="347" t="s">
        <v>4091</v>
      </c>
      <c r="M128" s="337"/>
    </row>
    <row r="129" spans="5:13" ht="20.100000000000001" customHeight="1" x14ac:dyDescent="0.2">
      <c r="E129" s="7"/>
      <c r="F129" s="7"/>
      <c r="G129" s="7"/>
      <c r="H129" s="7"/>
      <c r="I129" s="7"/>
      <c r="J129" s="4" t="s">
        <v>381</v>
      </c>
      <c r="K129" s="362" t="str">
        <f>CONCATENATE(this_instance,"01-m01-r01-esx02",".",sample_child_dns_zone)</f>
        <v>sfo01-m01-r01-esx02.sfo.rainpole.io</v>
      </c>
      <c r="L129" s="347" t="s">
        <v>4092</v>
      </c>
      <c r="M129" s="337"/>
    </row>
    <row r="130" spans="5:13" ht="20.100000000000001" customHeight="1" x14ac:dyDescent="0.2">
      <c r="E130" s="7"/>
      <c r="F130" s="7"/>
      <c r="G130" s="7"/>
      <c r="H130" s="7"/>
      <c r="I130" s="7"/>
      <c r="J130" s="4" t="s">
        <v>382</v>
      </c>
      <c r="K130" s="362" t="str">
        <f>CONCATENATE(this_instance,"01-m01-r01-esx03",".",sample_child_dns_zone)</f>
        <v>sfo01-m01-r01-esx03.sfo.rainpole.io</v>
      </c>
      <c r="L130" s="347" t="s">
        <v>4093</v>
      </c>
      <c r="M130" s="337"/>
    </row>
    <row r="131" spans="5:13" ht="20.100000000000001" customHeight="1" x14ac:dyDescent="0.2">
      <c r="E131" s="7"/>
      <c r="F131" s="7"/>
      <c r="G131" s="7"/>
      <c r="H131" s="7"/>
      <c r="I131" s="7"/>
      <c r="J131" s="4" t="s">
        <v>383</v>
      </c>
      <c r="K131" s="362" t="str">
        <f>CONCATENATE(this_instance,"01-m01-r01-esx04",".",sample_child_dns_zone)</f>
        <v>sfo01-m01-r01-esx04.sfo.rainpole.io</v>
      </c>
      <c r="L131" s="347" t="s">
        <v>4094</v>
      </c>
      <c r="M131" s="337"/>
    </row>
    <row r="132" spans="5:13" ht="20.100000000000001" customHeight="1" x14ac:dyDescent="0.2">
      <c r="E132" s="7"/>
      <c r="F132" s="7"/>
      <c r="G132" s="7"/>
      <c r="H132" s="7"/>
      <c r="I132" s="7"/>
      <c r="J132" s="4" t="s">
        <v>384</v>
      </c>
      <c r="K132" s="89" t="str">
        <f>CONCATENATE(this_instance,"01-m01-r01-esx05",".",sample_child_dns_zone)</f>
        <v>sfo01-m01-r01-esx05.sfo.rainpole.io</v>
      </c>
      <c r="L132" s="347"/>
      <c r="M132" s="337"/>
    </row>
    <row r="133" spans="5:13" ht="20.100000000000001" customHeight="1" x14ac:dyDescent="0.2">
      <c r="E133" s="7"/>
      <c r="F133" s="7"/>
      <c r="G133" s="7"/>
      <c r="H133" s="7"/>
      <c r="I133" s="7"/>
      <c r="J133" s="4" t="s">
        <v>385</v>
      </c>
      <c r="K133" s="89" t="str">
        <f>CONCATENATE(this_instance,"01-m01-r01-esx06",".",sample_child_dns_zone)</f>
        <v>sfo01-m01-r01-esx06.sfo.rainpole.io</v>
      </c>
      <c r="L133" s="347"/>
      <c r="M133" s="337"/>
    </row>
    <row r="134" spans="5:13" ht="20.100000000000001" customHeight="1" x14ac:dyDescent="0.2">
      <c r="E134" s="7"/>
      <c r="F134" s="7"/>
      <c r="G134" s="7"/>
      <c r="H134" s="7"/>
      <c r="I134" s="7"/>
      <c r="J134" s="4" t="s">
        <v>386</v>
      </c>
      <c r="K134" s="89" t="str">
        <f>CONCATENATE(this_instance,"01-m01-r01-esx07",".",sample_child_dns_zone)</f>
        <v>sfo01-m01-r01-esx07.sfo.rainpole.io</v>
      </c>
      <c r="L134" s="347"/>
      <c r="M134" s="337"/>
    </row>
    <row r="135" spans="5:13" ht="20.100000000000001" customHeight="1" x14ac:dyDescent="0.2">
      <c r="E135" s="7"/>
      <c r="F135" s="7"/>
      <c r="G135" s="7"/>
      <c r="H135" s="7"/>
      <c r="I135" s="7"/>
      <c r="J135" s="4" t="s">
        <v>387</v>
      </c>
      <c r="K135" s="89" t="str">
        <f>CONCATENATE(this_instance,"01-m01-r01-esx08",".",sample_child_dns_zone)</f>
        <v>sfo01-m01-r01-esx08.sfo.rainpole.io</v>
      </c>
      <c r="L135" s="347"/>
      <c r="M135" s="337"/>
    </row>
    <row r="136" spans="5:13" ht="20.100000000000001" customHeight="1" x14ac:dyDescent="0.2">
      <c r="E136" s="7"/>
      <c r="F136" s="7"/>
      <c r="G136" s="7"/>
      <c r="H136" s="7"/>
      <c r="I136" s="7"/>
      <c r="J136" s="4" t="s">
        <v>388</v>
      </c>
      <c r="K136" s="89" t="str">
        <f>CONCATENATE(this_instance,"01-m01-r01-esx09",".",sample_child_dns_zone)</f>
        <v>sfo01-m01-r01-esx09.sfo.rainpole.io</v>
      </c>
      <c r="L136" s="347"/>
      <c r="M136" s="337"/>
    </row>
    <row r="137" spans="5:13" ht="20.100000000000001" customHeight="1" x14ac:dyDescent="0.2">
      <c r="E137" s="7"/>
      <c r="F137" s="7"/>
      <c r="G137" s="7"/>
      <c r="H137" s="7"/>
      <c r="I137" s="7"/>
      <c r="J137" s="4" t="s">
        <v>389</v>
      </c>
      <c r="K137" s="89" t="str">
        <f>CONCATENATE(this_instance,"01-m01-r01-esx10",".",sample_child_dns_zone)</f>
        <v>sfo01-m01-r01-esx10.sfo.rainpole.io</v>
      </c>
      <c r="L137" s="347"/>
      <c r="M137" s="337"/>
    </row>
    <row r="138" spans="5:13" ht="20.100000000000001" customHeight="1" x14ac:dyDescent="0.2">
      <c r="E138" s="7"/>
      <c r="F138" s="7"/>
      <c r="G138" s="7"/>
      <c r="H138" s="7"/>
      <c r="I138" s="7"/>
      <c r="J138" s="4" t="s">
        <v>390</v>
      </c>
      <c r="K138" s="89" t="str">
        <f>CONCATENATE(this_instance,"01-m01-r01-esx11",".",sample_child_dns_zone)</f>
        <v>sfo01-m01-r01-esx11.sfo.rainpole.io</v>
      </c>
      <c r="L138" s="347"/>
      <c r="M138" s="337"/>
    </row>
    <row r="139" spans="5:13" ht="20.100000000000001" customHeight="1" x14ac:dyDescent="0.2">
      <c r="E139" s="7"/>
      <c r="F139" s="7"/>
      <c r="G139" s="7"/>
      <c r="H139" s="7"/>
      <c r="I139" s="7"/>
      <c r="J139" s="4" t="s">
        <v>391</v>
      </c>
      <c r="K139" s="89" t="str">
        <f>CONCATENATE(this_instance,"01-m01-r01-esx12",".",sample_child_dns_zone)</f>
        <v>sfo01-m01-r01-esx12.sfo.rainpole.io</v>
      </c>
      <c r="L139" s="347"/>
      <c r="M139" s="337"/>
    </row>
    <row r="140" spans="5:13" ht="20.100000000000001" customHeight="1" x14ac:dyDescent="0.2">
      <c r="E140" s="7"/>
      <c r="F140" s="7"/>
      <c r="G140" s="7"/>
      <c r="H140" s="7"/>
      <c r="I140" s="7"/>
      <c r="J140" s="4" t="s">
        <v>392</v>
      </c>
      <c r="K140" s="89" t="str">
        <f>CONCATENATE(this_instance,"01-m01-r01-esx13",".",sample_child_dns_zone)</f>
        <v>sfo01-m01-r01-esx13.sfo.rainpole.io</v>
      </c>
      <c r="L140" s="347"/>
      <c r="M140" s="337"/>
    </row>
    <row r="141" spans="5:13" ht="20.100000000000001" customHeight="1" x14ac:dyDescent="0.2">
      <c r="E141" s="7"/>
      <c r="F141" s="7"/>
      <c r="G141" s="7"/>
      <c r="H141" s="7"/>
      <c r="I141" s="7"/>
      <c r="J141" s="4" t="s">
        <v>393</v>
      </c>
      <c r="K141" s="89" t="str">
        <f>CONCATENATE(this_instance,"01-m01-r01-esx14",".",sample_child_dns_zone)</f>
        <v>sfo01-m01-r01-esx14.sfo.rainpole.io</v>
      </c>
      <c r="L141" s="347"/>
      <c r="M141" s="337"/>
    </row>
    <row r="142" spans="5:13" ht="20.100000000000001" customHeight="1" x14ac:dyDescent="0.2">
      <c r="E142" s="7"/>
      <c r="F142" s="7"/>
      <c r="G142" s="7"/>
      <c r="H142" s="7"/>
      <c r="I142" s="7"/>
      <c r="J142" s="4" t="s">
        <v>394</v>
      </c>
      <c r="K142" s="89" t="str">
        <f>CONCATENATE(this_instance,"01-m01-r01-esx15",".",sample_child_dns_zone)</f>
        <v>sfo01-m01-r01-esx15.sfo.rainpole.io</v>
      </c>
      <c r="L142" s="347"/>
      <c r="M142" s="337"/>
    </row>
    <row r="143" spans="5:13" ht="20.100000000000001" customHeight="1" x14ac:dyDescent="0.2">
      <c r="E143" s="7"/>
      <c r="F143" s="7"/>
      <c r="G143" s="7"/>
      <c r="H143" s="7"/>
      <c r="I143" s="7"/>
      <c r="J143" s="4" t="s">
        <v>395</v>
      </c>
      <c r="K143" s="89" t="str">
        <f>CONCATENATE(this_instance,"01-m01-r01-esx16",".",sample_child_dns_zone)</f>
        <v>sfo01-m01-r01-esx16.sfo.rainpole.io</v>
      </c>
      <c r="L143" s="347"/>
      <c r="M143" s="337"/>
    </row>
    <row r="144" spans="5:13" ht="20.100000000000001" customHeight="1" x14ac:dyDescent="0.2">
      <c r="E144" s="7"/>
      <c r="F144" s="7"/>
      <c r="G144" s="7"/>
      <c r="H144" s="7"/>
      <c r="I144" s="7"/>
      <c r="J144" s="372"/>
      <c r="K144" s="344"/>
      <c r="L144" s="76"/>
      <c r="M144" s="344"/>
    </row>
    <row r="145" spans="1:13" ht="33.950000000000003" customHeight="1" x14ac:dyDescent="0.2">
      <c r="E145" s="7"/>
      <c r="F145" s="7"/>
      <c r="G145" s="7"/>
      <c r="H145" s="7"/>
      <c r="I145" s="7"/>
      <c r="J145" s="408" t="s">
        <v>396</v>
      </c>
      <c r="K145" s="409"/>
      <c r="L145" s="409"/>
      <c r="M145" s="410"/>
    </row>
    <row r="146" spans="1:13" ht="20.100000000000001" customHeight="1" x14ac:dyDescent="0.2">
      <c r="E146" s="7"/>
      <c r="F146" s="7"/>
      <c r="G146" s="7"/>
      <c r="H146" s="7"/>
      <c r="I146" s="7"/>
      <c r="J146" s="405" t="s">
        <v>397</v>
      </c>
      <c r="K146" s="406"/>
      <c r="L146" s="406"/>
      <c r="M146" s="407"/>
    </row>
    <row r="147" spans="1:13" ht="20.100000000000001" customHeight="1" x14ac:dyDescent="0.2">
      <c r="E147" s="7"/>
      <c r="F147" s="7"/>
      <c r="G147" s="7"/>
      <c r="H147" s="7"/>
      <c r="I147" s="7"/>
      <c r="J147" s="346" t="s">
        <v>37</v>
      </c>
      <c r="K147" s="346" t="s">
        <v>276</v>
      </c>
      <c r="L147" s="346" t="s">
        <v>277</v>
      </c>
      <c r="M147" s="346" t="s">
        <v>5</v>
      </c>
    </row>
    <row r="148" spans="1:13" ht="20.100000000000001" customHeight="1" x14ac:dyDescent="0.2">
      <c r="E148" s="7"/>
      <c r="F148" s="7"/>
      <c r="G148" s="7"/>
      <c r="H148" s="7"/>
      <c r="I148" s="7"/>
      <c r="J148" s="4" t="s">
        <v>398</v>
      </c>
      <c r="K148" s="80" t="str">
        <f>CONCATENATE(prefix_mgmt_az1_vlan,"11")</f>
        <v>1111</v>
      </c>
      <c r="L148" s="347">
        <v>251</v>
      </c>
      <c r="M148" s="337" t="str">
        <f>IF(mgmt_domain_existing_vcenter_chosen="Selected","Inputs are masked out as you have opted to import an existing vCenter Server","")</f>
        <v/>
      </c>
    </row>
    <row r="149" spans="1:13" ht="20.100000000000001" customHeight="1" x14ac:dyDescent="0.2">
      <c r="E149" s="7"/>
      <c r="F149" s="7"/>
      <c r="G149" s="7"/>
      <c r="H149" s="7"/>
      <c r="I149" s="7"/>
      <c r="J149" s="4" t="s">
        <v>399</v>
      </c>
      <c r="K149" s="80" t="str">
        <f>CONCATENATE(prefix_mgmt_az1_cidr,"11.1")</f>
        <v>10.11.11.1</v>
      </c>
      <c r="L149" s="347" t="s">
        <v>4033</v>
      </c>
      <c r="M149" s="337" t="str">
        <f>IF(AND(mgmt_stretched_cluster_result="Included",mgmt_dpg_reuse_result="Excluded"),"Stretched L2","")</f>
        <v/>
      </c>
    </row>
    <row r="150" spans="1:13" ht="20.100000000000001" customHeight="1" x14ac:dyDescent="0.2">
      <c r="E150" s="7"/>
      <c r="F150" s="7"/>
      <c r="G150" s="7"/>
      <c r="H150" s="7"/>
      <c r="I150" s="7"/>
      <c r="J150" s="4" t="s">
        <v>400</v>
      </c>
      <c r="K150" s="80" t="str">
        <f>CONCATENATE(prefix_mgmt_az1_cidr,"11.0/24")</f>
        <v>10.11.11.0/24</v>
      </c>
      <c r="L150" s="347" t="s">
        <v>4034</v>
      </c>
      <c r="M150" s="337"/>
    </row>
    <row r="151" spans="1:13" ht="20.100000000000001" customHeight="1" x14ac:dyDescent="0.2">
      <c r="E151" s="7"/>
      <c r="F151" s="7"/>
      <c r="G151" s="7"/>
      <c r="H151" s="7"/>
      <c r="I151" s="7"/>
      <c r="J151" s="4" t="s">
        <v>401</v>
      </c>
      <c r="K151" s="80">
        <v>1500</v>
      </c>
      <c r="L151" s="347">
        <v>1500</v>
      </c>
      <c r="M151" s="337"/>
    </row>
    <row r="152" spans="1:13" ht="20.100000000000001" customHeight="1" x14ac:dyDescent="0.2">
      <c r="E152" s="7"/>
      <c r="F152" s="7"/>
      <c r="G152" s="7"/>
      <c r="H152" s="7"/>
      <c r="I152" s="7"/>
      <c r="J152" s="405" t="s">
        <v>402</v>
      </c>
      <c r="K152" s="406"/>
      <c r="L152" s="406"/>
      <c r="M152" s="407"/>
    </row>
    <row r="153" spans="1:13" s="92" customFormat="1" ht="20.100000000000001" customHeight="1" x14ac:dyDescent="0.2">
      <c r="A153" s="7"/>
      <c r="B153" s="7"/>
      <c r="C153" s="7"/>
      <c r="D153" s="7"/>
      <c r="E153" s="7"/>
      <c r="F153" s="7"/>
      <c r="G153" s="7"/>
      <c r="H153" s="7"/>
      <c r="I153" s="7"/>
      <c r="J153" s="4" t="s">
        <v>403</v>
      </c>
      <c r="K153" s="362" t="s">
        <v>286</v>
      </c>
      <c r="L153" s="347" t="s">
        <v>286</v>
      </c>
      <c r="M153" s="337" t="str">
        <f>IF(mgmt_domain_existing_vcenter_chosen="Selected","Inputs are masked out as you have opted to import an existing vCenter Server","")</f>
        <v/>
      </c>
    </row>
    <row r="154" spans="1:13" s="92" customFormat="1" ht="20.100000000000001" customHeight="1" x14ac:dyDescent="0.2">
      <c r="A154" s="7"/>
      <c r="B154" s="7"/>
      <c r="C154" s="7"/>
      <c r="D154" s="7"/>
      <c r="E154" s="7"/>
      <c r="F154" s="7"/>
      <c r="G154" s="7"/>
      <c r="H154" s="7"/>
      <c r="I154" s="7"/>
      <c r="J154" s="4" t="s">
        <v>398</v>
      </c>
      <c r="K154" s="89" t="str">
        <f>IF(mgmt_dpg_reuse_result="Included",(CONCATENATE(prefix_mgmt_az1_vlan,"10")),(CONCATENATE(prefix_mgmt_az1_vlan,"11")))</f>
        <v>1110</v>
      </c>
      <c r="L154" s="347">
        <v>250</v>
      </c>
      <c r="M154" s="337"/>
    </row>
    <row r="155" spans="1:13" s="92" customFormat="1" ht="20.100000000000001" customHeight="1" x14ac:dyDescent="0.2">
      <c r="A155" s="7"/>
      <c r="B155" s="7"/>
      <c r="C155" s="7"/>
      <c r="D155" s="7"/>
      <c r="E155" s="7"/>
      <c r="F155" s="7"/>
      <c r="G155" s="7"/>
      <c r="H155" s="7"/>
      <c r="I155" s="7"/>
      <c r="J155" s="4" t="s">
        <v>399</v>
      </c>
      <c r="K155" s="80" t="str">
        <f>IF(mgmt_dpg_reuse_result="Included",CONCATENATE(prefix_mgmt_az1_cidr,"10.1"),CONCATENATE(prefix_mgmt_az1_cidr,"11.1"))</f>
        <v>10.11.10.1</v>
      </c>
      <c r="L155" s="347" t="s">
        <v>4035</v>
      </c>
      <c r="M155" s="337"/>
    </row>
    <row r="156" spans="1:13" s="92" customFormat="1" ht="20.100000000000001" customHeight="1" x14ac:dyDescent="0.2">
      <c r="A156" s="7"/>
      <c r="B156" s="7"/>
      <c r="C156" s="7"/>
      <c r="D156" s="7"/>
      <c r="E156" s="7"/>
      <c r="F156" s="7"/>
      <c r="G156" s="7"/>
      <c r="H156" s="7"/>
      <c r="I156" s="7"/>
      <c r="J156" s="4" t="s">
        <v>400</v>
      </c>
      <c r="K156" s="80" t="str">
        <f>IF(mgmt_dpg_reuse_result="Included",CONCATENATE(prefix_mgmt_az1_cidr,"10.0/24"),CONCATENATE(prefix_mgmt_az1_cidr,"11.0/24"))</f>
        <v>10.11.10.0/24</v>
      </c>
      <c r="L156" s="347" t="s">
        <v>4036</v>
      </c>
      <c r="M156" s="337"/>
    </row>
    <row r="157" spans="1:13" s="92" customFormat="1" ht="20.100000000000001" customHeight="1" x14ac:dyDescent="0.2">
      <c r="A157" s="7"/>
      <c r="B157" s="7"/>
      <c r="C157" s="7"/>
      <c r="D157" s="7"/>
      <c r="E157" s="7"/>
      <c r="F157" s="7"/>
      <c r="G157" s="7"/>
      <c r="H157" s="7"/>
      <c r="I157" s="7"/>
      <c r="J157" s="4" t="s">
        <v>401</v>
      </c>
      <c r="K157" s="80">
        <v>1500</v>
      </c>
      <c r="L157" s="347">
        <v>1500</v>
      </c>
      <c r="M157" s="337"/>
    </row>
    <row r="158" spans="1:13" ht="20.100000000000001" customHeight="1" x14ac:dyDescent="0.2">
      <c r="E158" s="7"/>
      <c r="F158" s="7"/>
      <c r="G158" s="7"/>
      <c r="H158" s="7"/>
      <c r="I158" s="7"/>
      <c r="J158" s="405" t="s">
        <v>404</v>
      </c>
      <c r="K158" s="406"/>
      <c r="L158" s="406"/>
      <c r="M158" s="407"/>
    </row>
    <row r="159" spans="1:13" ht="20.100000000000001" customHeight="1" x14ac:dyDescent="0.2">
      <c r="E159" s="7"/>
      <c r="F159" s="7"/>
      <c r="G159" s="7"/>
      <c r="H159" s="7"/>
      <c r="I159" s="7"/>
      <c r="J159" s="4" t="s">
        <v>398</v>
      </c>
      <c r="K159" s="80" t="str">
        <f>CONCATENATE(prefix_mgmt_az1_vlan,"12")</f>
        <v>1112</v>
      </c>
      <c r="L159" s="347">
        <v>21</v>
      </c>
      <c r="M159" s="337" t="str">
        <f>IF(mgmt_domain_existing_vcenter_chosen="Selected","Inputs are masked out as you have opted to import an existing vCenter Server","")</f>
        <v/>
      </c>
    </row>
    <row r="160" spans="1:13" ht="20.100000000000001" customHeight="1" x14ac:dyDescent="0.2">
      <c r="E160" s="7"/>
      <c r="F160" s="7"/>
      <c r="G160" s="7"/>
      <c r="H160" s="7"/>
      <c r="I160" s="7"/>
      <c r="J160" s="4" t="s">
        <v>399</v>
      </c>
      <c r="K160" s="80" t="str">
        <f>CONCATENATE(prefix_mgmt_az1_cidr,"12.1")</f>
        <v>10.11.12.1</v>
      </c>
      <c r="L160" s="347" t="s">
        <v>4037</v>
      </c>
      <c r="M160" s="337"/>
    </row>
    <row r="161" spans="5:13" ht="20.100000000000001" customHeight="1" x14ac:dyDescent="0.2">
      <c r="E161" s="7"/>
      <c r="F161" s="7"/>
      <c r="G161" s="7"/>
      <c r="H161" s="7"/>
      <c r="I161" s="7"/>
      <c r="J161" s="4" t="s">
        <v>400</v>
      </c>
      <c r="K161" s="80" t="str">
        <f>CONCATENATE(prefix_mgmt_az1_cidr,"12.0/24")</f>
        <v>10.11.12.0/24</v>
      </c>
      <c r="L161" s="347" t="s">
        <v>656</v>
      </c>
      <c r="M161" s="337"/>
    </row>
    <row r="162" spans="5:13" ht="20.100000000000001" customHeight="1" x14ac:dyDescent="0.2">
      <c r="E162" s="7"/>
      <c r="F162" s="7"/>
      <c r="G162" s="7"/>
      <c r="H162" s="7"/>
      <c r="I162" s="7"/>
      <c r="J162" s="4" t="s">
        <v>401</v>
      </c>
      <c r="K162" s="80">
        <v>9000</v>
      </c>
      <c r="L162" s="347">
        <v>9000</v>
      </c>
      <c r="M162" s="337"/>
    </row>
    <row r="163" spans="5:13" ht="20.100000000000001" customHeight="1" x14ac:dyDescent="0.2">
      <c r="E163" s="7"/>
      <c r="F163" s="7"/>
      <c r="G163" s="7"/>
      <c r="H163" s="7"/>
      <c r="I163" s="7"/>
      <c r="J163" s="4" t="s">
        <v>405</v>
      </c>
      <c r="K163" s="80" t="str">
        <f>CONCATENATE(prefix_mgmt_az1_cidr,"12.101")</f>
        <v>10.11.12.101</v>
      </c>
      <c r="L163" s="347" t="s">
        <v>4072</v>
      </c>
      <c r="M163" s="337"/>
    </row>
    <row r="164" spans="5:13" ht="20.100000000000001" customHeight="1" x14ac:dyDescent="0.2">
      <c r="E164" s="7"/>
      <c r="F164" s="7"/>
      <c r="G164" s="7"/>
      <c r="H164" s="7"/>
      <c r="I164" s="7"/>
      <c r="J164" s="4" t="s">
        <v>406</v>
      </c>
      <c r="K164" s="80" t="str">
        <f>CONCATENATE(prefix_mgmt_az1_cidr,"12.116")</f>
        <v>10.11.12.116</v>
      </c>
      <c r="L164" s="347" t="s">
        <v>4073</v>
      </c>
      <c r="M164" s="337"/>
    </row>
    <row r="165" spans="5:13" ht="20.100000000000001" customHeight="1" x14ac:dyDescent="0.2">
      <c r="E165" s="7"/>
      <c r="F165" s="7"/>
      <c r="G165" s="7"/>
      <c r="H165" s="7"/>
      <c r="I165" s="7"/>
      <c r="J165" s="405" t="s">
        <v>407</v>
      </c>
      <c r="K165" s="406"/>
      <c r="L165" s="406"/>
      <c r="M165" s="407"/>
    </row>
    <row r="166" spans="5:13" ht="20.100000000000001" customHeight="1" x14ac:dyDescent="0.2">
      <c r="E166" s="7"/>
      <c r="F166" s="7"/>
      <c r="G166" s="7"/>
      <c r="H166" s="7"/>
      <c r="I166" s="7"/>
      <c r="J166" s="4" t="s">
        <v>398</v>
      </c>
      <c r="K166" s="80" t="str">
        <f>CONCATENATE(prefix_mgmt_az1_vlan,"13")</f>
        <v>1113</v>
      </c>
      <c r="L166" s="347">
        <v>20</v>
      </c>
      <c r="M166" s="143" t="str">
        <f>IF(mgmt_domain_existing_vcenter_chosen="Selected","Inputs are masked out as you have opted to import an existing vCenter Server","")</f>
        <v/>
      </c>
    </row>
    <row r="167" spans="5:13" ht="20.100000000000001" customHeight="1" x14ac:dyDescent="0.2">
      <c r="E167" s="7"/>
      <c r="F167" s="7"/>
      <c r="G167" s="7"/>
      <c r="H167" s="7"/>
      <c r="I167" s="7"/>
      <c r="J167" s="4" t="s">
        <v>399</v>
      </c>
      <c r="K167" s="80" t="str">
        <f>CONCATENATE(prefix_mgmt_az1_cidr,"13.1")</f>
        <v>10.11.13.1</v>
      </c>
      <c r="L167" s="347" t="s">
        <v>4038</v>
      </c>
      <c r="M167" s="337"/>
    </row>
    <row r="168" spans="5:13" ht="20.100000000000001" customHeight="1" x14ac:dyDescent="0.2">
      <c r="E168" s="7"/>
      <c r="F168" s="7"/>
      <c r="G168" s="7"/>
      <c r="H168" s="7"/>
      <c r="I168" s="7"/>
      <c r="J168" s="4" t="s">
        <v>400</v>
      </c>
      <c r="K168" s="80" t="str">
        <f>CONCATENATE(prefix_mgmt_az1_cidr,"13.0/24")</f>
        <v>10.11.13.0/24</v>
      </c>
      <c r="L168" s="347" t="s">
        <v>4039</v>
      </c>
      <c r="M168" s="337"/>
    </row>
    <row r="169" spans="5:13" ht="20.100000000000001" customHeight="1" x14ac:dyDescent="0.2">
      <c r="E169" s="7"/>
      <c r="F169" s="7"/>
      <c r="G169" s="7"/>
      <c r="H169" s="7"/>
      <c r="I169" s="7"/>
      <c r="J169" s="4" t="s">
        <v>401</v>
      </c>
      <c r="K169" s="80">
        <v>9000</v>
      </c>
      <c r="L169" s="347">
        <v>9000</v>
      </c>
      <c r="M169" s="337"/>
    </row>
    <row r="170" spans="5:13" ht="20.100000000000001" customHeight="1" x14ac:dyDescent="0.2">
      <c r="E170" s="7"/>
      <c r="F170" s="7"/>
      <c r="G170" s="7"/>
      <c r="H170" s="7"/>
      <c r="I170" s="7"/>
      <c r="J170" s="4" t="s">
        <v>408</v>
      </c>
      <c r="K170" s="80" t="str">
        <f>CONCATENATE(prefix_mgmt_az1_cidr,"13.101")</f>
        <v>10.11.13.101</v>
      </c>
      <c r="L170" s="347" t="s">
        <v>4074</v>
      </c>
      <c r="M170" s="337"/>
    </row>
    <row r="171" spans="5:13" ht="20.100000000000001" customHeight="1" x14ac:dyDescent="0.2">
      <c r="E171" s="7"/>
      <c r="F171" s="7"/>
      <c r="G171" s="7"/>
      <c r="H171" s="7"/>
      <c r="I171" s="7"/>
      <c r="J171" s="4" t="s">
        <v>409</v>
      </c>
      <c r="K171" s="80" t="str">
        <f>CONCATENATE(prefix_mgmt_az1_cidr,"13.116")</f>
        <v>10.11.13.116</v>
      </c>
      <c r="L171" s="347" t="s">
        <v>4075</v>
      </c>
      <c r="M171" s="337"/>
    </row>
    <row r="172" spans="5:13" ht="20.100000000000001" customHeight="1" x14ac:dyDescent="0.2">
      <c r="E172" s="7"/>
      <c r="F172" s="7"/>
      <c r="G172" s="7"/>
      <c r="H172" s="7"/>
      <c r="I172" s="7"/>
      <c r="J172" s="405" t="s">
        <v>410</v>
      </c>
      <c r="K172" s="406"/>
      <c r="L172" s="406"/>
      <c r="M172" s="407"/>
    </row>
    <row r="173" spans="5:13" ht="20.100000000000001" customHeight="1" x14ac:dyDescent="0.2">
      <c r="E173" s="7"/>
      <c r="F173" s="7"/>
      <c r="G173" s="7"/>
      <c r="H173" s="7"/>
      <c r="I173" s="7"/>
      <c r="J173" s="4" t="s">
        <v>398</v>
      </c>
      <c r="K173" s="80" t="str">
        <f>CONCATENATE(prefix_mgmt_az1_vlan,"15")</f>
        <v>1115</v>
      </c>
      <c r="L173" s="347"/>
      <c r="M173" s="143"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20.100000000000001" customHeight="1" x14ac:dyDescent="0.2">
      <c r="E174" s="7"/>
      <c r="F174" s="7"/>
      <c r="G174" s="7"/>
      <c r="H174" s="7"/>
      <c r="I174" s="7"/>
      <c r="J174" s="4" t="s">
        <v>399</v>
      </c>
      <c r="K174" s="80" t="str">
        <f>CONCATENATE(prefix_mgmt_az1_cidr,"15.1")</f>
        <v>10.11.15.1</v>
      </c>
      <c r="L174" s="347"/>
      <c r="M174" s="143"/>
    </row>
    <row r="175" spans="5:13" ht="20.100000000000001" customHeight="1" x14ac:dyDescent="0.2">
      <c r="E175" s="7"/>
      <c r="F175" s="7"/>
      <c r="G175" s="7"/>
      <c r="H175" s="7"/>
      <c r="I175" s="7"/>
      <c r="J175" s="4" t="s">
        <v>400</v>
      </c>
      <c r="K175" s="80" t="str">
        <f>CONCATENATE(prefix_mgmt_az1_cidr,"15.0/24")</f>
        <v>10.11.15.0/24</v>
      </c>
      <c r="L175" s="347"/>
      <c r="M175" s="143"/>
    </row>
    <row r="176" spans="5:13" ht="20.100000000000001" customHeight="1" x14ac:dyDescent="0.2">
      <c r="E176" s="7"/>
      <c r="F176" s="7"/>
      <c r="G176" s="7"/>
      <c r="H176" s="7"/>
      <c r="I176" s="7"/>
      <c r="J176" s="4" t="s">
        <v>401</v>
      </c>
      <c r="K176" s="80">
        <v>9000</v>
      </c>
      <c r="L176" s="347"/>
      <c r="M176" s="143"/>
    </row>
    <row r="177" spans="5:13" ht="20.100000000000001" customHeight="1" x14ac:dyDescent="0.2">
      <c r="E177" s="7"/>
      <c r="F177" s="7"/>
      <c r="G177" s="7"/>
      <c r="H177" s="7"/>
      <c r="I177" s="7"/>
      <c r="J177" s="4" t="s">
        <v>411</v>
      </c>
      <c r="K177" s="80" t="str">
        <f>CONCATENATE(prefix_mgmt_az1_cidr,"15.101")</f>
        <v>10.11.15.101</v>
      </c>
      <c r="L177" s="347"/>
      <c r="M177" s="143"/>
    </row>
    <row r="178" spans="5:13" ht="20.100000000000001" customHeight="1" x14ac:dyDescent="0.2">
      <c r="E178" s="7"/>
      <c r="F178" s="7"/>
      <c r="G178" s="7"/>
      <c r="H178" s="7"/>
      <c r="I178" s="7"/>
      <c r="J178" s="4" t="s">
        <v>412</v>
      </c>
      <c r="K178" s="80" t="str">
        <f>CONCATENATE(prefix_mgmt_az1_cidr,"15.116")</f>
        <v>10.11.15.116</v>
      </c>
      <c r="L178" s="347"/>
      <c r="M178" s="143"/>
    </row>
    <row r="179" spans="5:13" ht="20.100000000000001" customHeight="1" x14ac:dyDescent="0.2">
      <c r="E179" s="7"/>
      <c r="F179" s="7"/>
      <c r="G179" s="7"/>
      <c r="H179" s="7"/>
      <c r="I179" s="7"/>
      <c r="J179" s="372"/>
      <c r="K179" s="344"/>
      <c r="L179" s="344"/>
      <c r="M179" s="344"/>
    </row>
    <row r="180" spans="5:13" ht="33.950000000000003" customHeight="1" x14ac:dyDescent="0.2">
      <c r="E180" s="7"/>
      <c r="F180" s="7"/>
      <c r="G180" s="7"/>
      <c r="H180" s="7"/>
      <c r="I180" s="7"/>
      <c r="J180" s="408" t="s">
        <v>413</v>
      </c>
      <c r="K180" s="409"/>
      <c r="L180" s="409"/>
      <c r="M180" s="410"/>
    </row>
    <row r="181" spans="5:13" ht="20.100000000000001" customHeight="1" x14ac:dyDescent="0.2">
      <c r="E181" s="7"/>
      <c r="F181" s="7"/>
      <c r="G181" s="7"/>
      <c r="H181" s="7"/>
      <c r="I181" s="7"/>
      <c r="J181" s="405" t="s">
        <v>414</v>
      </c>
      <c r="K181" s="406"/>
      <c r="L181" s="406"/>
      <c r="M181" s="407"/>
    </row>
    <row r="182" spans="5:13" ht="20.100000000000001" customHeight="1" x14ac:dyDescent="0.2">
      <c r="E182" s="7"/>
      <c r="F182" s="7"/>
      <c r="G182" s="7"/>
      <c r="H182" s="7"/>
      <c r="I182" s="7"/>
      <c r="J182" s="346" t="s">
        <v>37</v>
      </c>
      <c r="K182" s="346" t="s">
        <v>276</v>
      </c>
      <c r="L182" s="346" t="s">
        <v>277</v>
      </c>
      <c r="M182" s="346" t="s">
        <v>5</v>
      </c>
    </row>
    <row r="183" spans="5:13" ht="20.100000000000001" customHeight="1" x14ac:dyDescent="0.2">
      <c r="E183" s="7"/>
      <c r="F183" s="7"/>
      <c r="G183" s="7"/>
      <c r="H183" s="7"/>
      <c r="I183" s="7"/>
      <c r="J183" s="4" t="s">
        <v>415</v>
      </c>
      <c r="K183" s="362" t="s">
        <v>215</v>
      </c>
      <c r="L183" s="347" t="s">
        <v>2877</v>
      </c>
      <c r="M183" s="99" t="str">
        <f>IF(mgmt_domain_existing_vcenter_chosen="Selected","Inputs are masked out as you have opted to import an existing vCenter Server","")</f>
        <v/>
      </c>
    </row>
    <row r="184" spans="5:13" ht="20.100000000000001" customHeight="1" x14ac:dyDescent="0.2">
      <c r="E184" s="7"/>
      <c r="F184" s="7"/>
      <c r="G184" s="7"/>
      <c r="H184" s="7"/>
      <c r="I184" s="7"/>
      <c r="J184" s="372"/>
      <c r="K184" s="344"/>
      <c r="L184" s="76"/>
      <c r="M184" s="344"/>
    </row>
    <row r="185" spans="5:13" ht="33.950000000000003" customHeight="1" x14ac:dyDescent="0.2">
      <c r="E185" s="7"/>
      <c r="F185" s="7"/>
      <c r="G185" s="7"/>
      <c r="H185" s="7"/>
      <c r="I185" s="7"/>
      <c r="J185" s="340" t="s">
        <v>416</v>
      </c>
      <c r="K185" s="341"/>
      <c r="L185" s="341"/>
      <c r="M185" s="342"/>
    </row>
    <row r="186" spans="5:13" ht="20.100000000000001" customHeight="1" x14ac:dyDescent="0.2">
      <c r="E186" s="7"/>
      <c r="F186" s="7"/>
      <c r="G186" s="7"/>
      <c r="H186" s="7"/>
      <c r="I186" s="7"/>
      <c r="J186" s="363" t="s">
        <v>417</v>
      </c>
      <c r="K186" s="364"/>
      <c r="L186" s="364"/>
      <c r="M186" s="365"/>
    </row>
    <row r="187" spans="5:13" ht="20.100000000000001" customHeight="1" x14ac:dyDescent="0.2">
      <c r="E187" s="7"/>
      <c r="F187" s="7"/>
      <c r="G187" s="7"/>
      <c r="H187" s="7"/>
      <c r="I187" s="7"/>
      <c r="J187" s="346" t="s">
        <v>37</v>
      </c>
      <c r="K187" s="346" t="s">
        <v>276</v>
      </c>
      <c r="L187" s="346" t="s">
        <v>277</v>
      </c>
      <c r="M187" s="346" t="s">
        <v>5</v>
      </c>
    </row>
    <row r="188" spans="5:13" ht="20.100000000000001" customHeight="1" x14ac:dyDescent="0.2">
      <c r="E188" s="7"/>
      <c r="F188" s="7"/>
      <c r="G188" s="7"/>
      <c r="H188" s="7"/>
      <c r="I188" s="7"/>
      <c r="J188" s="4" t="s">
        <v>418</v>
      </c>
      <c r="K188" s="362" t="str">
        <f>CONCATENATE(this_instance,"-m01-cl01-vds01")</f>
        <v>sfo-m01-cl01-vds01</v>
      </c>
      <c r="L188" s="94" t="s">
        <v>4040</v>
      </c>
      <c r="M188" s="337" t="str">
        <f>IF(mgmt_domain_existing_vcenter_chosen="Selected","Inputs are masked out as you have opted to import an existing vCenter Server","")</f>
        <v/>
      </c>
    </row>
    <row r="189" spans="5:13" ht="20.100000000000001" customHeight="1" x14ac:dyDescent="0.2">
      <c r="E189" s="7"/>
      <c r="F189" s="7"/>
      <c r="G189" s="7"/>
      <c r="H189" s="7"/>
      <c r="I189" s="7"/>
      <c r="J189" s="4" t="s">
        <v>401</v>
      </c>
      <c r="K189" s="362">
        <v>9000</v>
      </c>
      <c r="L189" s="347">
        <v>9000</v>
      </c>
      <c r="M189" s="337"/>
    </row>
    <row r="190" spans="5:13" ht="20.100000000000001" customHeight="1" x14ac:dyDescent="0.2">
      <c r="E190" s="7"/>
      <c r="F190" s="7"/>
      <c r="G190" s="7"/>
      <c r="H190" s="7"/>
      <c r="I190" s="7"/>
      <c r="J190" s="4" t="s">
        <v>30</v>
      </c>
      <c r="K190" s="362" t="s">
        <v>419</v>
      </c>
      <c r="L190" s="347" t="s">
        <v>419</v>
      </c>
      <c r="M190" s="337" t="str">
        <f>IF(AND(mgmt_cl01_vds_profile_chosen="NSX Traffic Separation",mgmt_cl01_vds01_link_type_chosen="VDS LAG"),"VDS LAG / LACP is not supported on this VDS with the chosen VDS profile",
IF(AND(mgmt_cl01_vds_profile_chosen="Storage Traffic and NSX Traffic separation",mgmt_cl01_vds01_link_type_chosen="VDS LAG"),"VDS LAG / LACP is not supported on this VDS with the chosen VDS profile",
IF(mgmt_cl01_vds01_link_type_chosen="VDS Lag","Only supported via API. Use VCF.JSONGenerator to generate the JSON File once PnP is complete","Option is not visible VCF installer UI")))</f>
        <v>Option is not visible VCF installer UI</v>
      </c>
    </row>
    <row r="191" spans="5:13" ht="20.100000000000001" customHeight="1" x14ac:dyDescent="0.2">
      <c r="E191" s="7"/>
      <c r="F191" s="7"/>
      <c r="G191" s="7"/>
      <c r="H191" s="7"/>
      <c r="I191" s="7"/>
      <c r="J191" s="4" t="s">
        <v>420</v>
      </c>
      <c r="K191" s="362" t="str">
        <f>CONCATENATE("m01-cl01-vds1-lg")</f>
        <v>m01-cl01-vds1-lg</v>
      </c>
      <c r="L191" s="347"/>
      <c r="M191" s="337" t="str">
        <f>IF(mgmt_cl01_vds01_link_type_chosen="VDS Uplinks","This input is masked out as you have chosen to configure VDS Uplinks","Option is not visible in VCF Operations UI. There is a 16 Character Limit for LAG Name")</f>
        <v>This input is masked out as you have chosen to configure VDS Uplinks</v>
      </c>
    </row>
    <row r="192" spans="5:13" ht="20.100000000000001" customHeight="1" x14ac:dyDescent="0.2">
      <c r="E192" s="7"/>
      <c r="F192" s="7"/>
      <c r="G192" s="7"/>
      <c r="H192" s="7"/>
      <c r="I192" s="7"/>
      <c r="J192" s="4" t="s">
        <v>421</v>
      </c>
      <c r="K192" s="362" t="s">
        <v>422</v>
      </c>
      <c r="L192" s="347" t="s">
        <v>422</v>
      </c>
      <c r="M192" s="337" t="str">
        <f>IF(mgmt_cl01_vds01_link_type_chosen="VDS Uplinks","This input is masked out as you have chosen to configure VDS Uplinks","Option is not visible in VCF Installer UI")</f>
        <v>This input is masked out as you have chosen to configure VDS Uplinks</v>
      </c>
    </row>
    <row r="193" spans="5:13" ht="20.100000000000001" customHeight="1" x14ac:dyDescent="0.2">
      <c r="E193" s="7"/>
      <c r="F193" s="7"/>
      <c r="G193" s="7"/>
      <c r="H193" s="7"/>
      <c r="I193" s="7"/>
      <c r="J193" s="4" t="s">
        <v>423</v>
      </c>
      <c r="K193" s="362" t="s">
        <v>424</v>
      </c>
      <c r="L193" s="347" t="s">
        <v>424</v>
      </c>
      <c r="M193" s="337" t="str">
        <f>IF(mgmt_cl01_vds01_link_type_chosen="VDS Uplinks","This input is masked out as you have chosen to configure VDS Uplinks","Option is not visible in VCF Installer UI")</f>
        <v>This input is masked out as you have chosen to configure VDS Uplinks</v>
      </c>
    </row>
    <row r="194" spans="5:13" ht="20.100000000000001" customHeight="1" x14ac:dyDescent="0.2">
      <c r="E194" s="7"/>
      <c r="F194" s="7"/>
      <c r="G194" s="7"/>
      <c r="H194" s="7"/>
      <c r="I194" s="7"/>
      <c r="J194" s="4" t="s">
        <v>425</v>
      </c>
      <c r="K194" s="362" t="s">
        <v>426</v>
      </c>
      <c r="L194" s="347" t="s">
        <v>426</v>
      </c>
      <c r="M194" s="337" t="str">
        <f>IF(mgmt_cl01_vds01_link_type_chosen="VDS Uplinks","This input is masked out as you have chosen to configure VDS Uplinks","Option is not visible in VCF Installer UI")</f>
        <v>This input is masked out as you have chosen to configure VDS Uplinks</v>
      </c>
    </row>
    <row r="195" spans="5:13" ht="20.100000000000001" customHeight="1" x14ac:dyDescent="0.2">
      <c r="E195" s="7"/>
      <c r="F195" s="7"/>
      <c r="G195" s="7"/>
      <c r="H195" s="7"/>
      <c r="I195" s="7"/>
      <c r="J195" s="4" t="s">
        <v>427</v>
      </c>
      <c r="K195" s="362">
        <v>2</v>
      </c>
      <c r="L195" s="347">
        <v>2</v>
      </c>
      <c r="M195" s="337"/>
    </row>
    <row r="196" spans="5:13" ht="20.100000000000001" customHeight="1" x14ac:dyDescent="0.2">
      <c r="E196" s="7"/>
      <c r="F196" s="7"/>
      <c r="G196" s="7"/>
      <c r="H196" s="7"/>
      <c r="I196" s="7"/>
      <c r="J196" s="4" t="str">
        <f>IF(mgmt_cl01_vds01_link_type_chosen="VDS LAG",IF(mgmt_cl01_vds01_lag_name="Value Missing","lag-0",CONCATENATE(mgmt_cl01_vds01_lag_name,"-0")),"uplink1")</f>
        <v>uplink1</v>
      </c>
      <c r="K196" s="362" t="s">
        <v>428</v>
      </c>
      <c r="L196" s="347" t="s">
        <v>429</v>
      </c>
      <c r="M196" s="337"/>
    </row>
    <row r="197" spans="5:13" ht="20.100000000000001" customHeight="1" x14ac:dyDescent="0.2">
      <c r="E197" s="7"/>
      <c r="F197" s="7"/>
      <c r="G197" s="7"/>
      <c r="H197" s="7"/>
      <c r="I197" s="7"/>
      <c r="J197" s="4" t="str">
        <f>IF(mgmt_cl01_vds01_link_type_chosen="VDS LAG",IF(mgmt_cl01_vds01_lag_name="Value Missing","lag-1",CONCATENATE(mgmt_cl01_vds01_lag_name,"-1")),"uplink2")</f>
        <v>uplink2</v>
      </c>
      <c r="K197" s="362" t="s">
        <v>429</v>
      </c>
      <c r="L197" s="347" t="s">
        <v>431</v>
      </c>
      <c r="M197" s="337"/>
    </row>
    <row r="198" spans="5:13" ht="20.100000000000001" customHeight="1" x14ac:dyDescent="0.2">
      <c r="E198" s="7"/>
      <c r="F198" s="7"/>
      <c r="G198" s="7"/>
      <c r="H198" s="7"/>
      <c r="I198" s="7"/>
      <c r="J198" s="405" t="s">
        <v>430</v>
      </c>
      <c r="K198" s="406"/>
      <c r="L198" s="406"/>
      <c r="M198" s="407"/>
    </row>
    <row r="199" spans="5:13" ht="20.100000000000001" customHeight="1" x14ac:dyDescent="0.2">
      <c r="E199" s="7"/>
      <c r="F199" s="7"/>
      <c r="G199" s="7"/>
      <c r="H199" s="7"/>
      <c r="I199" s="7"/>
      <c r="J199" s="4" t="s">
        <v>418</v>
      </c>
      <c r="K199" s="362" t="str">
        <f>CONCATENATE(this_instance,"-m01-cl01-vds02")</f>
        <v>sfo-m01-cl01-vds02</v>
      </c>
      <c r="L199" s="347" t="s">
        <v>4041</v>
      </c>
      <c r="M199" s="337" t="str">
        <f>IF(mgmt_domain_existing_vcenter_chosen="Selected","Inputs are masked out as you have opted to import an existing vCenter Server",IF(mgmt_cl01_vds_profile_chosen="Default","This input is masked out due to VDS Profile selected",""))</f>
        <v/>
      </c>
    </row>
    <row r="200" spans="5:13" ht="20.100000000000001" customHeight="1" x14ac:dyDescent="0.2">
      <c r="E200" s="7"/>
      <c r="F200" s="7"/>
      <c r="G200" s="7"/>
      <c r="H200" s="7"/>
      <c r="I200" s="7"/>
      <c r="J200" s="4" t="s">
        <v>401</v>
      </c>
      <c r="K200" s="362">
        <v>9000</v>
      </c>
      <c r="L200" s="347">
        <v>9000</v>
      </c>
      <c r="M200" s="337" t="str">
        <f>IF(mgmt_cl01_vds_profile_chosen="Default","This input is masked out due to VDS Profile selected","")</f>
        <v/>
      </c>
    </row>
    <row r="201" spans="5:13" ht="20.100000000000001" customHeight="1" x14ac:dyDescent="0.2">
      <c r="E201" s="7"/>
      <c r="F201" s="7"/>
      <c r="G201" s="7"/>
      <c r="H201" s="7"/>
      <c r="I201" s="7"/>
      <c r="J201" s="4" t="s">
        <v>30</v>
      </c>
      <c r="K201" s="362" t="s">
        <v>419</v>
      </c>
      <c r="L201" s="347" t="s">
        <v>419</v>
      </c>
      <c r="M201" s="337" t="str">
        <f>IF(AND(mgmt_cl01_vds_profile_chosen="Storage Traffic Separation",mgmt_cl01_vds01_link_type_chosen="VDS LAG",mgmt_cl01_vds02_link_type_chosen="VDS LAG",vcf_version&lt;&gt;"9.0.2.0"),"VDS LAG / LACP is not supported on this VDS with the chosen VDS profile and Primary VDS Lag configuration",
IF(AND(mgmt_cl01_vds_profile_chosen="Storage Traffic and NSX Traffic separation",mgmt_cl01_vds02_link_type_chosen="VDS LAG",vcf_version&lt;&gt;"9.0.2.0"),"VDS LAG / LACP is not supported on this VDS with the chosen VDS profile",
IF(mgmt_cl01_vds_profile_chosen="Default","This input is masked out due to VDS Profile selected",IF(mgmt_cl01_vds02_link_type_chosen="VDS Lag","Only supported via API. Use VCF.JSONGenerator to generate the JSON File once PnP is complete","Option is not visible VCF installer UI"))))</f>
        <v>Option is not visible VCF installer UI</v>
      </c>
    </row>
    <row r="202" spans="5:13" ht="20.100000000000001" customHeight="1" x14ac:dyDescent="0.2">
      <c r="E202" s="7"/>
      <c r="F202" s="7"/>
      <c r="G202" s="7"/>
      <c r="H202" s="7"/>
      <c r="I202" s="7"/>
      <c r="J202" s="4" t="s">
        <v>420</v>
      </c>
      <c r="K202" s="362" t="str">
        <f>CONCATENATE("m01-cl01-vds2-lg")</f>
        <v>m01-cl01-vds2-lg</v>
      </c>
      <c r="L202" s="347"/>
      <c r="M202" s="337" t="str">
        <f>IF(mgmt_cl01_vds_profile_chosen="Default","This input is masked out due to VDS Profile selected",IF(mgmt_cl01_vds02_link_type_chosen="VDS Uplinks","This input is masked out as you have chosen to configure VDS Uplinks","Option is not visible in VCF Operations UI. There is a 16 Character Limit for LAG Name"))</f>
        <v>This input is masked out as you have chosen to configure VDS Uplinks</v>
      </c>
    </row>
    <row r="203" spans="5:13" ht="20.100000000000001" customHeight="1" x14ac:dyDescent="0.2">
      <c r="E203" s="7"/>
      <c r="F203" s="7"/>
      <c r="G203" s="7"/>
      <c r="H203" s="7"/>
      <c r="I203" s="7"/>
      <c r="J203" s="4" t="s">
        <v>421</v>
      </c>
      <c r="K203" s="362" t="s">
        <v>422</v>
      </c>
      <c r="L203" s="347" t="s">
        <v>422</v>
      </c>
      <c r="M203"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4" spans="5:13" ht="20.100000000000001" customHeight="1" x14ac:dyDescent="0.2">
      <c r="E204" s="7"/>
      <c r="F204" s="7"/>
      <c r="G204" s="7"/>
      <c r="H204" s="7"/>
      <c r="I204" s="7"/>
      <c r="J204" s="4" t="s">
        <v>423</v>
      </c>
      <c r="K204" s="362" t="s">
        <v>424</v>
      </c>
      <c r="L204" s="347" t="s">
        <v>424</v>
      </c>
      <c r="M204"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5" spans="5:13" ht="20.100000000000001" customHeight="1" x14ac:dyDescent="0.2">
      <c r="E205" s="7"/>
      <c r="F205" s="7"/>
      <c r="G205" s="7"/>
      <c r="H205" s="7"/>
      <c r="I205" s="7"/>
      <c r="J205" s="4" t="s">
        <v>425</v>
      </c>
      <c r="K205" s="362" t="s">
        <v>426</v>
      </c>
      <c r="L205" s="347" t="s">
        <v>426</v>
      </c>
      <c r="M205"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6" spans="5:13" ht="20.100000000000001" customHeight="1" x14ac:dyDescent="0.2">
      <c r="E206" s="7"/>
      <c r="F206" s="7"/>
      <c r="G206" s="7"/>
      <c r="H206" s="7"/>
      <c r="I206" s="7"/>
      <c r="J206" s="4" t="s">
        <v>427</v>
      </c>
      <c r="K206" s="362">
        <v>2</v>
      </c>
      <c r="L206" s="347">
        <v>2</v>
      </c>
      <c r="M206" s="337" t="str">
        <f>IF(mgmt_cl01_vds_profile_chosen="Default","This input is masked out due to VDS Profile selected","")</f>
        <v/>
      </c>
    </row>
    <row r="207" spans="5:13" ht="20.100000000000001" customHeight="1" x14ac:dyDescent="0.2">
      <c r="E207" s="7"/>
      <c r="F207" s="7"/>
      <c r="G207" s="7"/>
      <c r="H207" s="7"/>
      <c r="I207" s="7"/>
      <c r="J207" s="4" t="str">
        <f>IF(mgmt_cl01_vds02_link_type_chosen="VDS LAG",IF(mgmt_cl01_vds02_lag_name="Value Missing","lag-0",CONCATENATE(mgmt_cl01_vds02_lag_name,"-0")),"uplink1")</f>
        <v>uplink1</v>
      </c>
      <c r="K207" s="362" t="s">
        <v>431</v>
      </c>
      <c r="L207" s="347" t="s">
        <v>432</v>
      </c>
      <c r="M207" s="337" t="str">
        <f>IF(mgmt_cl01_vds_profile_chosen="Default","This input is masked out due to VDS Profile selected","")</f>
        <v/>
      </c>
    </row>
    <row r="208" spans="5:13" ht="20.100000000000001" customHeight="1" x14ac:dyDescent="0.2">
      <c r="E208" s="7"/>
      <c r="F208" s="7"/>
      <c r="G208" s="7"/>
      <c r="H208" s="7"/>
      <c r="I208" s="7"/>
      <c r="J208" s="4" t="str">
        <f>IF(mgmt_cl01_vds02_link_type_chosen="VDS LAG",IF(mgmt_cl01_vds02_lag_name="Value Missing","lag-1",CONCATENATE(mgmt_cl01_vds02_lag_name,"-1")),"uplink2")</f>
        <v>uplink2</v>
      </c>
      <c r="K208" s="362" t="s">
        <v>432</v>
      </c>
      <c r="L208" s="347" t="s">
        <v>434</v>
      </c>
      <c r="M208" s="337" t="str">
        <f>IF(mgmt_cl01_vds_profile_chosen="Default","This input is masked out due to VDS Profile selected","")</f>
        <v/>
      </c>
    </row>
    <row r="209" spans="5:13" ht="20.100000000000001" customHeight="1" x14ac:dyDescent="0.2">
      <c r="E209" s="7"/>
      <c r="F209" s="7"/>
      <c r="G209" s="7"/>
      <c r="H209" s="7"/>
      <c r="I209" s="7"/>
      <c r="J209" s="405" t="s">
        <v>433</v>
      </c>
      <c r="K209" s="406"/>
      <c r="L209" s="406"/>
      <c r="M209" s="407"/>
    </row>
    <row r="210" spans="5:13" ht="20.100000000000001" customHeight="1" x14ac:dyDescent="0.2">
      <c r="E210" s="7"/>
      <c r="F210" s="7"/>
      <c r="G210" s="7"/>
      <c r="H210" s="7"/>
      <c r="I210" s="7"/>
      <c r="J210" s="4" t="s">
        <v>418</v>
      </c>
      <c r="K210" s="362" t="str">
        <f>CONCATENATE(this_instance,"-m01-cl01-vds03")</f>
        <v>sfo-m01-cl01-vds03</v>
      </c>
      <c r="L210" s="347"/>
      <c r="M210" s="337"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11" spans="5:13" ht="20.100000000000001" customHeight="1" x14ac:dyDescent="0.2">
      <c r="E211" s="7"/>
      <c r="F211" s="7"/>
      <c r="G211" s="7"/>
      <c r="H211" s="7"/>
      <c r="I211" s="7"/>
      <c r="J211" s="4" t="s">
        <v>30</v>
      </c>
      <c r="K211" s="362" t="s">
        <v>419</v>
      </c>
      <c r="L211" s="347" t="s">
        <v>419</v>
      </c>
      <c r="M211" s="337" t="str">
        <f>IF(mgmt_cl01_vds_profile_chosen="Default","This input is masked out due to VDS Profile selected",IF(mgmt_cl01_vds03_link_type_chosen="VDS Lag","Only supported via API. Use VCF.JSONGenerator to generate the JSON File once PnP is complete","Option is not visible VCF installer UI"))</f>
        <v>Option is not visible VCF installer UI</v>
      </c>
    </row>
    <row r="212" spans="5:13" ht="20.100000000000001" customHeight="1" x14ac:dyDescent="0.2">
      <c r="E212" s="7"/>
      <c r="F212" s="7"/>
      <c r="G212" s="7"/>
      <c r="H212" s="7"/>
      <c r="I212" s="7"/>
      <c r="J212" s="4" t="s">
        <v>401</v>
      </c>
      <c r="K212" s="362">
        <v>9000</v>
      </c>
      <c r="L212" s="347"/>
      <c r="M212" s="337" t="str">
        <f>IF(mgmt_cl01_vds_profile_chosen="Default","This input is masked out due to VDS Profile selected","")</f>
        <v/>
      </c>
    </row>
    <row r="213" spans="5:13" ht="20.100000000000001" customHeight="1" x14ac:dyDescent="0.2">
      <c r="E213" s="7"/>
      <c r="F213" s="7"/>
      <c r="G213" s="7"/>
      <c r="H213" s="7"/>
      <c r="I213" s="7"/>
      <c r="J213" s="4" t="s">
        <v>420</v>
      </c>
      <c r="K213" s="362" t="str">
        <f>CONCATENATE("m01-cl01-vds3-lg")</f>
        <v>m01-cl01-vds3-lg</v>
      </c>
      <c r="L213" s="347"/>
      <c r="M213"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Operations UI. There is a 16 Character Limit for LAG Name"))</f>
        <v>This input is masked out due to VDS Profile selected</v>
      </c>
    </row>
    <row r="214" spans="5:13" ht="20.100000000000001" customHeight="1" x14ac:dyDescent="0.2">
      <c r="E214" s="7"/>
      <c r="F214" s="7"/>
      <c r="G214" s="7"/>
      <c r="H214" s="7"/>
      <c r="I214" s="7"/>
      <c r="J214" s="4" t="s">
        <v>421</v>
      </c>
      <c r="K214" s="362" t="s">
        <v>422</v>
      </c>
      <c r="L214" s="347" t="s">
        <v>422</v>
      </c>
      <c r="M214"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5" spans="5:13" ht="20.100000000000001" customHeight="1" x14ac:dyDescent="0.2">
      <c r="E215" s="7"/>
      <c r="F215" s="7"/>
      <c r="G215" s="7"/>
      <c r="H215" s="7"/>
      <c r="I215" s="7"/>
      <c r="J215" s="4" t="s">
        <v>423</v>
      </c>
      <c r="K215" s="362" t="s">
        <v>424</v>
      </c>
      <c r="L215" s="347" t="s">
        <v>424</v>
      </c>
      <c r="M215"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6" spans="5:13" ht="20.100000000000001" customHeight="1" x14ac:dyDescent="0.2">
      <c r="E216" s="7"/>
      <c r="F216" s="7"/>
      <c r="G216" s="7"/>
      <c r="H216" s="7"/>
      <c r="I216" s="7"/>
      <c r="J216" s="4" t="s">
        <v>425</v>
      </c>
      <c r="K216" s="362" t="s">
        <v>426</v>
      </c>
      <c r="L216" s="347" t="s">
        <v>426</v>
      </c>
      <c r="M216"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row>
    <row r="217" spans="5:13" ht="20.100000000000001" customHeight="1" x14ac:dyDescent="0.2">
      <c r="E217" s="7"/>
      <c r="F217" s="7"/>
      <c r="G217" s="7"/>
      <c r="H217" s="7"/>
      <c r="I217" s="7"/>
      <c r="J217" s="4" t="s">
        <v>427</v>
      </c>
      <c r="K217" s="362">
        <v>2</v>
      </c>
      <c r="L217" s="347"/>
      <c r="M217" s="337" t="str">
        <f>IF(mgmt_cl01_vds_profile_chosen="Default","This input is masked out due to VDS Profile selected","")</f>
        <v/>
      </c>
    </row>
    <row r="218" spans="5:13" ht="20.100000000000001" customHeight="1" x14ac:dyDescent="0.2">
      <c r="E218" s="7"/>
      <c r="F218" s="7"/>
      <c r="G218" s="7"/>
      <c r="H218" s="7"/>
      <c r="I218" s="7"/>
      <c r="J218" s="4" t="str">
        <f>IF(mgmt_cl01_vds02_link_type_chosen="VDS LAG",IF(mgmt_cl01_vds03_lag_name="Value Missing","lag-0",CONCATENATE(mgmt_cl01_vds03_lag_name,"-0")),"uplink1")</f>
        <v>uplink1</v>
      </c>
      <c r="K218" s="362" t="s">
        <v>434</v>
      </c>
      <c r="L218" s="347"/>
      <c r="M218" s="337" t="str">
        <f>IF(mgmt_cl01_vds_profile_chosen="Default","This input is masked out due to VDS Profile selected","")</f>
        <v/>
      </c>
    </row>
    <row r="219" spans="5:13" ht="20.100000000000001" customHeight="1" x14ac:dyDescent="0.2">
      <c r="E219" s="7"/>
      <c r="F219" s="7"/>
      <c r="G219" s="7"/>
      <c r="H219" s="7"/>
      <c r="I219" s="7"/>
      <c r="J219" s="4" t="str">
        <f>IF(mgmt_cl01_vds02_link_type_chosen="VDS LAG",IF(mgmt_cl01_vds03_lag_name="Value Missing","lag-1",CONCATENATE(mgmt_cl01_vds03_lag_name,"-1")),"uplink2")</f>
        <v>uplink2</v>
      </c>
      <c r="K219" s="362" t="s">
        <v>435</v>
      </c>
      <c r="L219" s="347"/>
      <c r="M219" s="337" t="str">
        <f>IF(mgmt_cl01_vds_profile_chosen="Default","This input is masked out due to VDS Profile selected","")</f>
        <v/>
      </c>
    </row>
    <row r="220" spans="5:13" ht="20.100000000000001" customHeight="1" x14ac:dyDescent="0.2">
      <c r="E220" s="7"/>
      <c r="F220" s="7"/>
      <c r="G220" s="7"/>
      <c r="H220" s="7"/>
      <c r="I220" s="7"/>
      <c r="J220" s="363" t="s">
        <v>436</v>
      </c>
      <c r="K220" s="364"/>
      <c r="L220" s="364"/>
      <c r="M220" s="365"/>
    </row>
    <row r="221" spans="5:13" ht="20.100000000000001" customHeight="1" x14ac:dyDescent="0.2">
      <c r="E221" s="7"/>
      <c r="F221" s="7"/>
      <c r="G221" s="7"/>
      <c r="H221" s="7"/>
      <c r="I221" s="7"/>
      <c r="J221" s="4" t="s">
        <v>437</v>
      </c>
      <c r="K221" s="362" t="str">
        <f>CONCATENATE(this_instance,"-m01-cl01-vds01-pg-mgmt")</f>
        <v>sfo-m01-cl01-vds01-pg-mgmt</v>
      </c>
      <c r="L221" s="95" t="s">
        <v>4095</v>
      </c>
      <c r="M221" s="337" t="str">
        <f>IF(mgmt_domain_existing_vcenter_chosen="Selected","Inputs are masked out as you have opted to import an existing vCenter Server","Portgroup will be created on Primary Distributed Switch")</f>
        <v>Portgroup will be created on Primary Distributed Switch</v>
      </c>
    </row>
    <row r="222" spans="5:13" ht="20.100000000000001" customHeight="1" x14ac:dyDescent="0.2">
      <c r="E222" s="7"/>
      <c r="F222" s="7"/>
      <c r="G222" s="7"/>
      <c r="H222" s="7"/>
      <c r="I222" s="7"/>
      <c r="J222" s="4" t="s">
        <v>438</v>
      </c>
      <c r="K222" s="362" t="s">
        <v>439</v>
      </c>
      <c r="L222" s="347" t="s">
        <v>439</v>
      </c>
      <c r="M222" s="337" t="str">
        <f>IF(mgmt_cl01_vds01_link_type_chosen="VDS Lag","This input is masked out as you have chosen to configure VDS LAG","")</f>
        <v/>
      </c>
    </row>
    <row r="223" spans="5:13" ht="20.100000000000001" customHeight="1" x14ac:dyDescent="0.2">
      <c r="E223" s="7"/>
      <c r="F223" s="7"/>
      <c r="G223" s="7"/>
      <c r="H223" s="7"/>
      <c r="I223" s="7"/>
      <c r="J223" s="4" t="s">
        <v>440</v>
      </c>
      <c r="K223" s="362" t="s">
        <v>422</v>
      </c>
      <c r="L223" s="347" t="s">
        <v>422</v>
      </c>
      <c r="M223" s="337" t="str">
        <f>IF(mgmt_cl01_vds01_link_type_chosen="VDS Lag","This input is masked out as you have chosen to configure VDS LAG","")</f>
        <v/>
      </c>
    </row>
    <row r="224" spans="5:13" ht="20.100000000000001" customHeight="1" x14ac:dyDescent="0.2">
      <c r="E224" s="7"/>
      <c r="F224" s="7"/>
      <c r="G224" s="7"/>
      <c r="H224" s="7"/>
      <c r="I224" s="7"/>
      <c r="J224" s="4" t="s">
        <v>441</v>
      </c>
      <c r="K224" s="362" t="s">
        <v>422</v>
      </c>
      <c r="L224" s="347" t="s">
        <v>422</v>
      </c>
      <c r="M224" s="337" t="str">
        <f>IF(mgmt_cl01_vds01_link_type_chosen="VDS Lag","This input is masked out as you have chosen to configure VDS LAG","")</f>
        <v/>
      </c>
    </row>
    <row r="225" spans="5:13" ht="20.100000000000001" customHeight="1" x14ac:dyDescent="0.2">
      <c r="E225" s="7"/>
      <c r="F225" s="7"/>
      <c r="G225" s="7"/>
      <c r="H225" s="7"/>
      <c r="I225" s="7"/>
      <c r="J225" s="363" t="s">
        <v>442</v>
      </c>
      <c r="K225" s="364"/>
      <c r="L225" s="364"/>
      <c r="M225" s="365"/>
    </row>
    <row r="226" spans="5:13" ht="20.100000000000001" customHeight="1" x14ac:dyDescent="0.2">
      <c r="E226" s="7"/>
      <c r="F226" s="7"/>
      <c r="G226" s="7"/>
      <c r="H226" s="7"/>
      <c r="I226" s="7"/>
      <c r="J226" s="4" t="s">
        <v>437</v>
      </c>
      <c r="K226" s="362" t="str">
        <f>CONCATENATE(this_instance,"-m01-cl01-vds01-pg-vm-mgmt")</f>
        <v>sfo-m01-cl01-vds01-pg-vm-mgmt</v>
      </c>
      <c r="L226" s="95" t="s">
        <v>4096</v>
      </c>
      <c r="M226" s="337" t="str">
        <f>IF(mgmt_domain_existing_vcenter_chosen="Selected","Inputs are masked out as you have opted to import an existing vCenter Server","Portgroup will be created on Primary Distributed Switch")</f>
        <v>Portgroup will be created on Primary Distributed Switch</v>
      </c>
    </row>
    <row r="227" spans="5:13" ht="20.100000000000001" customHeight="1" x14ac:dyDescent="0.2">
      <c r="E227" s="7"/>
      <c r="F227" s="7"/>
      <c r="G227" s="7"/>
      <c r="H227" s="7"/>
      <c r="I227" s="7"/>
      <c r="J227" s="4" t="s">
        <v>438</v>
      </c>
      <c r="K227" s="362" t="s">
        <v>439</v>
      </c>
      <c r="L227" s="347" t="s">
        <v>439</v>
      </c>
      <c r="M227" s="337" t="str">
        <f>IF(mgmt_cl01_vds01_link_type_chosen="VDS Lag","This input is masked out as you have chosen to configure VDS LAG","")</f>
        <v/>
      </c>
    </row>
    <row r="228" spans="5:13" ht="20.100000000000001" customHeight="1" x14ac:dyDescent="0.2">
      <c r="E228" s="7"/>
      <c r="F228" s="7"/>
      <c r="G228" s="7"/>
      <c r="H228" s="7"/>
      <c r="I228" s="7"/>
      <c r="J228" s="4" t="s">
        <v>440</v>
      </c>
      <c r="K228" s="362" t="s">
        <v>422</v>
      </c>
      <c r="L228" s="347" t="s">
        <v>422</v>
      </c>
      <c r="M228" s="337" t="str">
        <f>IF(mgmt_cl01_vds01_link_type_chosen="VDS Lag","This input is masked out as you have chosen to configure VDS LAG","")</f>
        <v/>
      </c>
    </row>
    <row r="229" spans="5:13" ht="20.100000000000001" customHeight="1" x14ac:dyDescent="0.2">
      <c r="E229" s="7"/>
      <c r="F229" s="7"/>
      <c r="G229" s="7"/>
      <c r="H229" s="7"/>
      <c r="I229" s="7"/>
      <c r="J229" s="4" t="s">
        <v>441</v>
      </c>
      <c r="K229" s="362" t="s">
        <v>422</v>
      </c>
      <c r="L229" s="347" t="s">
        <v>422</v>
      </c>
      <c r="M229" s="337" t="str">
        <f>IF(mgmt_cl01_vds01_link_type_chosen="VDS Lag","This input is masked out as you have chosen to configure VDS LAG","")</f>
        <v/>
      </c>
    </row>
    <row r="230" spans="5:13" ht="20.100000000000001" customHeight="1" x14ac:dyDescent="0.2">
      <c r="E230" s="7"/>
      <c r="F230" s="7"/>
      <c r="G230" s="7"/>
      <c r="H230" s="7"/>
      <c r="I230" s="7"/>
      <c r="J230" s="363" t="s">
        <v>443</v>
      </c>
      <c r="K230" s="364"/>
      <c r="L230" s="364"/>
      <c r="M230" s="365"/>
    </row>
    <row r="231" spans="5:13" ht="20.100000000000001" customHeight="1" x14ac:dyDescent="0.2">
      <c r="E231" s="7"/>
      <c r="F231" s="7"/>
      <c r="G231" s="7"/>
      <c r="H231" s="7"/>
      <c r="I231" s="7"/>
      <c r="J231" s="4" t="s">
        <v>437</v>
      </c>
      <c r="K231" s="362" t="str">
        <f>CONCATENATE(this_instance,"-m01-cl01-vds01-pg-vmotion")</f>
        <v>sfo-m01-cl01-vds01-pg-vmotion</v>
      </c>
      <c r="L231" s="347" t="s">
        <v>4042</v>
      </c>
      <c r="M231" s="337" t="str">
        <f>IF(mgmt_domain_existing_vcenter_chosen="Selected","Inputs are masked out as you have opted to import an existing vCenter Server","Portgroup will be created on Primary Distributed Switch")</f>
        <v>Portgroup will be created on Primary Distributed Switch</v>
      </c>
    </row>
    <row r="232" spans="5:13" ht="20.100000000000001" customHeight="1" x14ac:dyDescent="0.2">
      <c r="E232" s="7"/>
      <c r="F232" s="7"/>
      <c r="G232" s="7"/>
      <c r="H232" s="7"/>
      <c r="I232" s="7"/>
      <c r="J232" s="4" t="s">
        <v>438</v>
      </c>
      <c r="K232" s="362" t="s">
        <v>439</v>
      </c>
      <c r="L232" s="347" t="s">
        <v>439</v>
      </c>
      <c r="M232" s="337" t="str">
        <f>IF(mgmt_cl01_vds01_link_type_chosen="VDS Lag","This input is masked out as you have chosen to configure VDS LAG","")</f>
        <v/>
      </c>
    </row>
    <row r="233" spans="5:13" ht="20.100000000000001" customHeight="1" x14ac:dyDescent="0.2">
      <c r="E233" s="7"/>
      <c r="F233" s="7"/>
      <c r="G233" s="7"/>
      <c r="H233" s="7"/>
      <c r="I233" s="7"/>
      <c r="J233" s="4" t="s">
        <v>440</v>
      </c>
      <c r="K233" s="362" t="s">
        <v>422</v>
      </c>
      <c r="L233" s="347" t="s">
        <v>422</v>
      </c>
      <c r="M233" s="337" t="str">
        <f>IF(mgmt_cl01_vds01_link_type_chosen="VDS Lag","This input is masked out as you have chosen to configure VDS LAG","")</f>
        <v/>
      </c>
    </row>
    <row r="234" spans="5:13" ht="20.100000000000001" customHeight="1" x14ac:dyDescent="0.2">
      <c r="E234" s="7"/>
      <c r="F234" s="7"/>
      <c r="G234" s="7"/>
      <c r="H234" s="7"/>
      <c r="I234" s="7"/>
      <c r="J234" s="4" t="s">
        <v>441</v>
      </c>
      <c r="K234" s="362" t="s">
        <v>422</v>
      </c>
      <c r="L234" s="347" t="s">
        <v>422</v>
      </c>
      <c r="M234" s="337" t="str">
        <f>IF(mgmt_cl01_vds01_link_type_chosen="VDS Lag","This input is masked out as you have chosen to configure VDS LAG","")</f>
        <v/>
      </c>
    </row>
    <row r="235" spans="5:13" ht="20.100000000000001" customHeight="1" x14ac:dyDescent="0.2">
      <c r="E235" s="7"/>
      <c r="F235" s="7"/>
      <c r="G235" s="7"/>
      <c r="H235" s="7"/>
      <c r="I235" s="7"/>
      <c r="J235" s="363" t="s">
        <v>444</v>
      </c>
      <c r="K235" s="364"/>
      <c r="L235" s="364"/>
      <c r="M235" s="365"/>
    </row>
    <row r="236" spans="5:13" ht="20.100000000000001" customHeight="1" x14ac:dyDescent="0.2">
      <c r="E236" s="7"/>
      <c r="F236" s="7"/>
      <c r="G236" s="7"/>
      <c r="H236" s="7"/>
      <c r="I236" s="7"/>
      <c r="J236" s="4" t="s">
        <v>437</v>
      </c>
      <c r="K236" s="362" t="str">
        <f>CONCATENATE(this_instance,"-m01-cl01-vds01-pg-vsan")</f>
        <v>sfo-m01-cl01-vds01-pg-vsan</v>
      </c>
      <c r="L236" s="347" t="s">
        <v>4043</v>
      </c>
      <c r="M236" s="337"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row>
    <row r="237" spans="5:13" ht="20.100000000000001" customHeight="1" x14ac:dyDescent="0.2">
      <c r="E237" s="7"/>
      <c r="F237" s="7"/>
      <c r="G237" s="7"/>
      <c r="H237" s="7"/>
      <c r="I237" s="7"/>
      <c r="J237" s="4" t="s">
        <v>438</v>
      </c>
      <c r="K237" s="362" t="s">
        <v>439</v>
      </c>
      <c r="L237" s="347" t="s">
        <v>439</v>
      </c>
      <c r="M237"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8" spans="5:13" ht="20.100000000000001" customHeight="1" x14ac:dyDescent="0.2">
      <c r="E238" s="7"/>
      <c r="F238" s="7"/>
      <c r="G238" s="7"/>
      <c r="H238" s="7"/>
      <c r="I238" s="7"/>
      <c r="J238" s="4" t="s">
        <v>440</v>
      </c>
      <c r="K238" s="362" t="s">
        <v>422</v>
      </c>
      <c r="L238" s="347" t="s">
        <v>422</v>
      </c>
      <c r="M238"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9" spans="5:13" ht="20.100000000000001" customHeight="1" x14ac:dyDescent="0.2">
      <c r="E239" s="7"/>
      <c r="F239" s="7"/>
      <c r="G239" s="7"/>
      <c r="H239" s="7"/>
      <c r="I239" s="7"/>
      <c r="J239" s="4" t="s">
        <v>441</v>
      </c>
      <c r="K239" s="362" t="s">
        <v>422</v>
      </c>
      <c r="L239" s="347" t="s">
        <v>422</v>
      </c>
      <c r="M239"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40" spans="5:13" ht="20.100000000000001" customHeight="1" x14ac:dyDescent="0.2">
      <c r="E240" s="7"/>
      <c r="F240" s="7"/>
      <c r="G240" s="7"/>
      <c r="H240" s="7"/>
      <c r="I240" s="7"/>
      <c r="J240" s="363" t="s">
        <v>445</v>
      </c>
      <c r="K240" s="364"/>
      <c r="L240" s="364"/>
      <c r="M240" s="365"/>
    </row>
    <row r="241" spans="5:13" ht="20.100000000000001" customHeight="1" x14ac:dyDescent="0.2">
      <c r="E241" s="7"/>
      <c r="F241" s="7"/>
      <c r="G241" s="7"/>
      <c r="H241" s="7"/>
      <c r="I241" s="7"/>
      <c r="J241" s="4" t="s">
        <v>437</v>
      </c>
      <c r="K241" s="362" t="str">
        <f>CONCATENATE(this_instance,"-m01-cl01-vds01-pg-nfs")</f>
        <v>sfo-m01-cl01-vds01-pg-nfs</v>
      </c>
      <c r="L241" s="347"/>
      <c r="M241" s="337"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42" spans="5:13" ht="20.100000000000001" customHeight="1" x14ac:dyDescent="0.2">
      <c r="E242" s="7"/>
      <c r="F242" s="7"/>
      <c r="G242" s="7"/>
      <c r="H242" s="7"/>
      <c r="I242" s="7"/>
      <c r="J242" s="4" t="s">
        <v>438</v>
      </c>
      <c r="K242" s="362" t="s">
        <v>439</v>
      </c>
      <c r="L242" s="347" t="s">
        <v>439</v>
      </c>
      <c r="M242" s="337"/>
    </row>
    <row r="243" spans="5:13" ht="20.100000000000001" customHeight="1" x14ac:dyDescent="0.2">
      <c r="E243" s="7"/>
      <c r="F243" s="7"/>
      <c r="G243" s="7"/>
      <c r="H243" s="7"/>
      <c r="I243" s="7"/>
      <c r="J243" s="4" t="s">
        <v>440</v>
      </c>
      <c r="K243" s="362" t="s">
        <v>422</v>
      </c>
      <c r="L243" s="347" t="s">
        <v>422</v>
      </c>
      <c r="M243" s="337"/>
    </row>
    <row r="244" spans="5:13" ht="20.100000000000001" customHeight="1" x14ac:dyDescent="0.2">
      <c r="E244" s="7"/>
      <c r="F244" s="7"/>
      <c r="G244" s="7"/>
      <c r="H244" s="7"/>
      <c r="I244" s="7"/>
      <c r="J244" s="4" t="s">
        <v>441</v>
      </c>
      <c r="K244" s="362" t="s">
        <v>422</v>
      </c>
      <c r="L244" s="347" t="s">
        <v>422</v>
      </c>
      <c r="M244" s="337"/>
    </row>
    <row r="245" spans="5:13" ht="20.100000000000001" customHeight="1" x14ac:dyDescent="0.2">
      <c r="E245" s="7"/>
      <c r="F245" s="7"/>
      <c r="G245" s="7"/>
      <c r="H245" s="7"/>
      <c r="I245" s="7"/>
      <c r="J245" s="405" t="s">
        <v>446</v>
      </c>
      <c r="K245" s="406"/>
      <c r="L245" s="406"/>
      <c r="M245" s="407"/>
    </row>
    <row r="246" spans="5:13" ht="20.100000000000001" customHeight="1" x14ac:dyDescent="0.2">
      <c r="E246" s="7"/>
      <c r="F246" s="7"/>
      <c r="G246" s="7"/>
      <c r="H246" s="7"/>
      <c r="I246" s="7"/>
      <c r="J246" s="4" t="s">
        <v>447</v>
      </c>
      <c r="K246" s="362" t="s">
        <v>323</v>
      </c>
      <c r="L246" s="347" t="s">
        <v>323</v>
      </c>
      <c r="M246" s="337" t="s">
        <v>448</v>
      </c>
    </row>
    <row r="247" spans="5:13" ht="20.100000000000001" customHeight="1" x14ac:dyDescent="0.2">
      <c r="E247" s="7"/>
      <c r="F247" s="7"/>
      <c r="G247" s="7"/>
      <c r="H247" s="7"/>
      <c r="I247" s="7"/>
      <c r="J247" s="4" t="s">
        <v>449</v>
      </c>
      <c r="K247" s="362" t="s">
        <v>450</v>
      </c>
      <c r="L247" s="347" t="s">
        <v>450</v>
      </c>
      <c r="M247" s="337" t="str">
        <f>IF(mgmt_nsx_default_operation_mode_chosen="Selected","Inputs are masked out as you have opted to apply the default operational mode in NSX","")</f>
        <v>Inputs are masked out as you have opted to apply the default operational mode in NSX</v>
      </c>
    </row>
    <row r="248" spans="5:13" ht="20.100000000000001" customHeight="1" x14ac:dyDescent="0.2">
      <c r="E248" s="7"/>
      <c r="F248" s="7"/>
      <c r="G248" s="7"/>
      <c r="H248" s="7"/>
      <c r="I248" s="7"/>
      <c r="J248" s="4" t="s">
        <v>438</v>
      </c>
      <c r="K248" s="362" t="s">
        <v>451</v>
      </c>
      <c r="L248" s="347" t="s">
        <v>451</v>
      </c>
      <c r="M248"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49" spans="5:13" ht="20.100000000000001" customHeight="1" x14ac:dyDescent="0.2">
      <c r="E249" s="7"/>
      <c r="F249" s="7"/>
      <c r="G249" s="7"/>
      <c r="H249" s="7"/>
      <c r="I249" s="7"/>
      <c r="J249" s="4" t="s">
        <v>440</v>
      </c>
      <c r="K249" s="362" t="s">
        <v>422</v>
      </c>
      <c r="L249" s="347" t="s">
        <v>422</v>
      </c>
      <c r="M249"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0" spans="5:13" ht="20.100000000000001" customHeight="1" x14ac:dyDescent="0.2">
      <c r="E250" s="7"/>
      <c r="F250" s="7"/>
      <c r="G250" s="7"/>
      <c r="H250" s="7"/>
      <c r="I250" s="7"/>
      <c r="J250" s="4" t="s">
        <v>441</v>
      </c>
      <c r="K250" s="362" t="s">
        <v>422</v>
      </c>
      <c r="L250" s="347" t="s">
        <v>422</v>
      </c>
      <c r="M250"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1" spans="5:13" ht="20.100000000000001" customHeight="1" x14ac:dyDescent="0.2">
      <c r="E251" s="7"/>
      <c r="F251" s="7"/>
      <c r="G251" s="7"/>
      <c r="H251" s="7"/>
      <c r="I251" s="7"/>
      <c r="J251" s="405" t="s">
        <v>452</v>
      </c>
      <c r="K251" s="406"/>
      <c r="L251" s="406"/>
      <c r="M251" s="407"/>
    </row>
    <row r="252" spans="5:13" ht="20.100000000000001" customHeight="1" x14ac:dyDescent="0.2">
      <c r="E252" s="7"/>
      <c r="F252" s="7"/>
      <c r="G252" s="7"/>
      <c r="H252" s="7"/>
      <c r="I252" s="7"/>
      <c r="J252" s="4" t="s">
        <v>453</v>
      </c>
      <c r="K252" s="362" t="str">
        <f>CONCATENATE("overlay-tz-",this_instance,"-m01-nsx01")</f>
        <v>overlay-tz-sfo-m01-nsx01</v>
      </c>
      <c r="L252" s="347" t="s">
        <v>4046</v>
      </c>
      <c r="M252" s="337"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53" spans="5:13" ht="20.100000000000001" customHeight="1" x14ac:dyDescent="0.2">
      <c r="E253" s="7"/>
      <c r="F253" s="7"/>
      <c r="G253" s="7"/>
      <c r="H253" s="7"/>
      <c r="I253" s="7"/>
      <c r="J253" s="4" t="s">
        <v>398</v>
      </c>
      <c r="K253" s="80" t="str">
        <f>CONCATENATE(prefix_mgmt_az1_vlan,"14")</f>
        <v>1114</v>
      </c>
      <c r="L253" s="347">
        <v>238</v>
      </c>
      <c r="M253" s="337"/>
    </row>
    <row r="254" spans="5:13" ht="20.100000000000001" customHeight="1" x14ac:dyDescent="0.2">
      <c r="E254" s="7"/>
      <c r="F254" s="7"/>
      <c r="G254" s="7"/>
      <c r="H254" s="7"/>
      <c r="I254" s="7"/>
      <c r="J254" s="4" t="s">
        <v>454</v>
      </c>
      <c r="K254" s="362" t="s">
        <v>455</v>
      </c>
      <c r="L254" s="355" t="s">
        <v>455</v>
      </c>
      <c r="M254" s="337"/>
    </row>
    <row r="255" spans="5:13" ht="20.100000000000001" customHeight="1" x14ac:dyDescent="0.2">
      <c r="E255" s="7"/>
      <c r="F255" s="7"/>
      <c r="G255" s="7"/>
      <c r="H255" s="7"/>
      <c r="I255" s="7"/>
      <c r="J255" s="4" t="s">
        <v>456</v>
      </c>
      <c r="K255" s="89" t="str">
        <f>CONCATENATE(this_instance,"01-m01","-r01-ip-pool01-host")</f>
        <v>sfo01-m01-r01-ip-pool01-host</v>
      </c>
      <c r="L255" s="347" t="s">
        <v>4076</v>
      </c>
      <c r="M255" s="4" t="str">
        <f t="shared" ref="M255:M260" si="0">IF(mgmt_host_overlay_addressing_chosen&lt;&gt;"IP Pool","This input is masked out and only required if configuring IP Pools for Host Overlay","")</f>
        <v/>
      </c>
    </row>
    <row r="256" spans="5:13" ht="20.100000000000001" customHeight="1" x14ac:dyDescent="0.2">
      <c r="E256" s="7"/>
      <c r="F256" s="7"/>
      <c r="G256" s="7"/>
      <c r="H256" s="7"/>
      <c r="I256" s="7"/>
      <c r="J256" s="4" t="s">
        <v>457</v>
      </c>
      <c r="K256" s="80" t="s">
        <v>458</v>
      </c>
      <c r="L256" s="347" t="s">
        <v>458</v>
      </c>
      <c r="M256" s="4" t="str">
        <f t="shared" si="0"/>
        <v/>
      </c>
    </row>
    <row r="257" spans="1:13" ht="20.100000000000001" customHeight="1" x14ac:dyDescent="0.2">
      <c r="E257" s="7"/>
      <c r="F257" s="7"/>
      <c r="G257" s="7"/>
      <c r="H257" s="7"/>
      <c r="I257" s="7"/>
      <c r="J257" s="4" t="s">
        <v>459</v>
      </c>
      <c r="K257" s="80" t="str">
        <f>CONCATENATE(prefix_mgmt_az1_cidr,"14.0/24")</f>
        <v>10.11.14.0/24</v>
      </c>
      <c r="L257" s="347" t="s">
        <v>4044</v>
      </c>
      <c r="M257" s="4" t="str">
        <f t="shared" si="0"/>
        <v/>
      </c>
    </row>
    <row r="258" spans="1:13" ht="20.100000000000001" customHeight="1" x14ac:dyDescent="0.2">
      <c r="E258" s="7"/>
      <c r="F258" s="7"/>
      <c r="G258" s="7"/>
      <c r="H258" s="7"/>
      <c r="I258" s="7"/>
      <c r="J258" s="4" t="s">
        <v>460</v>
      </c>
      <c r="K258" s="80" t="str">
        <f>CONCATENATE(prefix_mgmt_az1_cidr,"14.101")</f>
        <v>10.11.14.101</v>
      </c>
      <c r="L258" s="347" t="s">
        <v>4077</v>
      </c>
      <c r="M258" s="4" t="str">
        <f t="shared" si="0"/>
        <v/>
      </c>
    </row>
    <row r="259" spans="1:13" ht="20.100000000000001" customHeight="1" x14ac:dyDescent="0.2">
      <c r="E259" s="7"/>
      <c r="F259" s="7"/>
      <c r="G259" s="7"/>
      <c r="H259" s="7"/>
      <c r="I259" s="7"/>
      <c r="J259" s="4" t="s">
        <v>461</v>
      </c>
      <c r="K259" s="80" t="str">
        <f>CONCATENATE(prefix_mgmt_az1_cidr,"14.132")</f>
        <v>10.11.14.132</v>
      </c>
      <c r="L259" s="347" t="s">
        <v>4078</v>
      </c>
      <c r="M259" s="4" t="str">
        <f t="shared" si="0"/>
        <v/>
      </c>
    </row>
    <row r="260" spans="1:13" ht="20.100000000000001" customHeight="1" x14ac:dyDescent="0.2">
      <c r="E260" s="7"/>
      <c r="F260" s="7"/>
      <c r="G260" s="7"/>
      <c r="H260" s="7"/>
      <c r="I260" s="7"/>
      <c r="J260" s="4" t="s">
        <v>399</v>
      </c>
      <c r="K260" s="80" t="str">
        <f>CONCATENATE(prefix_mgmt_az1_cidr,"14.1")</f>
        <v>10.11.14.1</v>
      </c>
      <c r="L260" s="347" t="s">
        <v>4045</v>
      </c>
      <c r="M260" s="4" t="str">
        <f t="shared" si="0"/>
        <v/>
      </c>
    </row>
    <row r="261" spans="1:13" ht="20.100000000000001" customHeight="1" x14ac:dyDescent="0.2">
      <c r="A261" s="8"/>
      <c r="B261" s="8"/>
      <c r="C261" s="8"/>
      <c r="D261" s="8"/>
      <c r="E261" s="7"/>
      <c r="F261" s="7"/>
      <c r="G261" s="7"/>
      <c r="H261" s="7"/>
      <c r="I261" s="7"/>
      <c r="J261" s="372"/>
      <c r="K261" s="344"/>
      <c r="L261" s="344"/>
      <c r="M261" s="344"/>
    </row>
    <row r="262" spans="1:13" ht="33.950000000000003" customHeight="1" x14ac:dyDescent="0.2">
      <c r="E262" s="7"/>
      <c r="F262" s="7"/>
      <c r="G262" s="7"/>
      <c r="H262" s="7"/>
      <c r="I262" s="7"/>
      <c r="J262" s="408" t="s">
        <v>147</v>
      </c>
      <c r="K262" s="409"/>
      <c r="L262" s="409"/>
      <c r="M262" s="410"/>
    </row>
    <row r="263" spans="1:13" ht="20.100000000000001" customHeight="1" x14ac:dyDescent="0.2">
      <c r="E263" s="7"/>
      <c r="F263" s="7"/>
      <c r="G263" s="7"/>
      <c r="H263" s="7"/>
      <c r="I263" s="7"/>
      <c r="J263" s="405" t="s">
        <v>462</v>
      </c>
      <c r="K263" s="406"/>
      <c r="L263" s="406"/>
      <c r="M263" s="407"/>
    </row>
    <row r="264" spans="1:13" ht="20.100000000000001" customHeight="1" x14ac:dyDescent="0.2">
      <c r="E264" s="7"/>
      <c r="F264" s="7"/>
      <c r="G264" s="7"/>
      <c r="H264" s="7"/>
      <c r="I264" s="7"/>
      <c r="J264" s="346" t="s">
        <v>37</v>
      </c>
      <c r="K264" s="346" t="s">
        <v>276</v>
      </c>
      <c r="L264" s="346" t="s">
        <v>277</v>
      </c>
      <c r="M264" s="346" t="s">
        <v>5</v>
      </c>
    </row>
    <row r="265" spans="1:13" ht="20.100000000000001" customHeight="1" x14ac:dyDescent="0.2">
      <c r="E265" s="7"/>
      <c r="F265" s="7"/>
      <c r="G265" s="7"/>
      <c r="H265" s="7"/>
      <c r="I265" s="7"/>
      <c r="J265" s="4" t="s">
        <v>463</v>
      </c>
      <c r="K265" s="89" t="s">
        <v>464</v>
      </c>
      <c r="L265" s="347" t="s">
        <v>4047</v>
      </c>
      <c r="M265"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a new SDDC Manager appliance will be deployed.</v>
      </c>
    </row>
    <row r="266" spans="1:13" ht="20.100000000000001" customHeight="1" x14ac:dyDescent="0.2">
      <c r="E266" s="7"/>
      <c r="F266" s="7"/>
      <c r="G266" s="7"/>
      <c r="H266" s="7"/>
      <c r="I266" s="7"/>
      <c r="J266" s="4" t="s">
        <v>335</v>
      </c>
      <c r="K266" s="89" t="str">
        <f>CONCATENATE(this_instance,"-vcf01",".",sample_child_dns_zone)</f>
        <v>sfo-vcf01.sfo.rainpole.io</v>
      </c>
      <c r="L266" s="347" t="s">
        <v>4097</v>
      </c>
      <c r="M266" s="5" t="str">
        <f>IF(mgmt_vcf_installer_location_chosen="Deployed outside management domain","","Ensure this FQDN is used when setting the VCF Installer FQDN")</f>
        <v/>
      </c>
    </row>
    <row r="267" spans="1:13" ht="20.100000000000001" customHeight="1" x14ac:dyDescent="0.2">
      <c r="E267" s="7"/>
      <c r="F267" s="7"/>
      <c r="G267" s="7"/>
      <c r="H267" s="7"/>
      <c r="I267" s="7"/>
      <c r="J267" s="4" t="s">
        <v>330</v>
      </c>
      <c r="K267" s="362" t="s">
        <v>297</v>
      </c>
      <c r="L267" s="347" t="s">
        <v>4028</v>
      </c>
      <c r="M267" s="337" t="str">
        <f>IF(mgmt_domain_password_creation_chosen="Selected","Inputs are masked out as you have opted to deploy with system generated passwords","Minimum 12 Characters, 1 Uppercase, 1 Special")</f>
        <v>Minimum 12 Characters, 1 Uppercase, 1 Special</v>
      </c>
    </row>
    <row r="268" spans="1:13" ht="20.100000000000001" customHeight="1" x14ac:dyDescent="0.2">
      <c r="E268" s="7"/>
      <c r="F268" s="7"/>
      <c r="G268" s="7"/>
      <c r="H268" s="7"/>
      <c r="I268" s="7"/>
      <c r="J268" s="4" t="s">
        <v>465</v>
      </c>
      <c r="K268" s="362" t="s">
        <v>297</v>
      </c>
      <c r="L268" s="347" t="s">
        <v>4028</v>
      </c>
      <c r="M268" s="337" t="str">
        <f>IF(mgmt_domain_password_creation_chosen="Selected","Inputs are masked out as you have opted to deploy with system generated passwords","Minimum 12 Characters, 1 Uppercase, 1 Special")</f>
        <v>Minimum 12 Characters, 1 Uppercase, 1 Special</v>
      </c>
    </row>
    <row r="269" spans="1:13" ht="20.100000000000001" customHeight="1" x14ac:dyDescent="0.2">
      <c r="E269" s="7"/>
      <c r="F269" s="7"/>
      <c r="G269" s="7"/>
      <c r="H269" s="7"/>
      <c r="I269" s="7"/>
      <c r="J269" s="4" t="s">
        <v>329</v>
      </c>
      <c r="K269" s="362" t="s">
        <v>297</v>
      </c>
      <c r="L269" s="347" t="s">
        <v>4028</v>
      </c>
      <c r="M269" s="337" t="str">
        <f>IF(mgmt_domain_password_creation_chosen="Selected","Inputs are masked out as you have opted to deploy with system generated passwords","Minimum 12 Characters, 1 Uppercase, 1 Special")</f>
        <v>Minimum 12 Characters, 1 Uppercase, 1 Special</v>
      </c>
    </row>
    <row r="270" spans="1:13" ht="15.95" customHeight="1" x14ac:dyDescent="0.2">
      <c r="E270" s="7"/>
      <c r="F270" s="7"/>
      <c r="G270" s="7"/>
      <c r="H270" s="7"/>
      <c r="I270" s="7"/>
    </row>
    <row r="271" spans="1:13" ht="33.950000000000003" customHeight="1" x14ac:dyDescent="0.2">
      <c r="E271" s="7"/>
      <c r="F271" s="7"/>
      <c r="G271" s="7"/>
      <c r="H271" s="7"/>
      <c r="I271" s="7"/>
      <c r="J271" s="335" t="s">
        <v>466</v>
      </c>
      <c r="K271" s="335"/>
      <c r="L271" s="335"/>
      <c r="M271" s="335"/>
    </row>
    <row r="272" spans="1:13" ht="20.100000000000001" customHeight="1" x14ac:dyDescent="0.2">
      <c r="E272" s="7"/>
      <c r="F272" s="7"/>
      <c r="G272" s="7"/>
      <c r="H272" s="7"/>
      <c r="I272" s="7"/>
      <c r="J272" s="346" t="s">
        <v>37</v>
      </c>
      <c r="K272" s="346" t="s">
        <v>276</v>
      </c>
      <c r="L272" s="346" t="s">
        <v>277</v>
      </c>
      <c r="M272" s="346" t="s">
        <v>5</v>
      </c>
    </row>
    <row r="273" spans="5:13" ht="20.100000000000001" customHeight="1" x14ac:dyDescent="0.2">
      <c r="E273" s="7"/>
      <c r="F273" s="7"/>
      <c r="G273" s="7"/>
      <c r="H273" s="7"/>
      <c r="I273" s="7"/>
      <c r="J273" s="405" t="s">
        <v>397</v>
      </c>
      <c r="K273" s="406"/>
      <c r="L273" s="406"/>
      <c r="M273" s="407"/>
    </row>
    <row r="274" spans="5:13" ht="20.100000000000001" customHeight="1" x14ac:dyDescent="0.25">
      <c r="F274" s="7"/>
      <c r="G274" s="7"/>
      <c r="H274" s="7"/>
      <c r="I274" s="7"/>
      <c r="J274" s="128" t="s">
        <v>398</v>
      </c>
      <c r="K274" s="362" t="str">
        <f>sample_mgmt_az1_mgmt_vlan</f>
        <v>1111</v>
      </c>
      <c r="L274" s="163">
        <f>mgmt_az1_mgmt_vlan</f>
        <v>251</v>
      </c>
      <c r="M274" s="337"/>
    </row>
    <row r="275" spans="5:13" ht="20.100000000000001" customHeight="1" x14ac:dyDescent="0.25">
      <c r="E275" s="7"/>
      <c r="F275" s="7"/>
      <c r="G275" s="7"/>
      <c r="H275" s="7"/>
      <c r="I275" s="7"/>
      <c r="J275" s="128" t="s">
        <v>399</v>
      </c>
      <c r="K275" s="362" t="str">
        <f>sample_mgmt_az1_mgmt_gateway_ip</f>
        <v>10.11.11.1</v>
      </c>
      <c r="L275" s="163" t="str">
        <f>mgmt_az1_mgmt_gateway_ip</f>
        <v>10.100.51.1</v>
      </c>
      <c r="M275" s="337"/>
    </row>
    <row r="276" spans="5:13" ht="20.100000000000001" customHeight="1" x14ac:dyDescent="0.25">
      <c r="E276" s="7"/>
      <c r="F276" s="7"/>
      <c r="G276" s="7"/>
      <c r="H276" s="7"/>
      <c r="I276" s="7"/>
      <c r="J276" s="128" t="s">
        <v>400</v>
      </c>
      <c r="K276" s="362" t="str">
        <f>sample_mgmt_az1_mgmt_cidr</f>
        <v>10.11.11.0/24</v>
      </c>
      <c r="L276" s="163" t="str">
        <f>mgmt_az1_mgmt_cidr</f>
        <v>10.100.51.0/24</v>
      </c>
      <c r="M276" s="337"/>
    </row>
    <row r="277" spans="5:13" ht="20.100000000000001" customHeight="1" x14ac:dyDescent="0.2">
      <c r="E277" s="7"/>
      <c r="F277" s="7"/>
      <c r="G277" s="7"/>
      <c r="H277" s="7"/>
      <c r="I277" s="7"/>
      <c r="J277" s="4" t="s">
        <v>401</v>
      </c>
      <c r="K277" s="362">
        <f>sample_mgmt_az1_mgmt_mtu</f>
        <v>1500</v>
      </c>
      <c r="L277" s="163">
        <f>mgmt_az1_mgmt_mtu</f>
        <v>1500</v>
      </c>
      <c r="M277" s="337"/>
    </row>
    <row r="278" spans="5:13" ht="20.100000000000001" customHeight="1" x14ac:dyDescent="0.2">
      <c r="E278" s="7"/>
      <c r="F278" s="7"/>
      <c r="G278" s="7"/>
      <c r="H278" s="7"/>
      <c r="I278" s="7"/>
      <c r="J278" s="417" t="s">
        <v>402</v>
      </c>
      <c r="K278" s="418"/>
      <c r="L278" s="418"/>
      <c r="M278" s="419"/>
    </row>
    <row r="279" spans="5:13" ht="20.100000000000001" customHeight="1" x14ac:dyDescent="0.25">
      <c r="E279" s="7"/>
      <c r="F279" s="7"/>
      <c r="G279" s="7"/>
      <c r="H279" s="7"/>
      <c r="I279" s="7"/>
      <c r="J279" s="128" t="s">
        <v>398</v>
      </c>
      <c r="K279" s="80" t="str">
        <f>sample_mgmt_az1_mgmt_vm_vlan</f>
        <v>1110</v>
      </c>
      <c r="L279" s="337">
        <f>mgmt_az1_mgmt_vm_vlan</f>
        <v>250</v>
      </c>
      <c r="M279" s="345"/>
    </row>
    <row r="280" spans="5:13" ht="20.100000000000001" customHeight="1" x14ac:dyDescent="0.25">
      <c r="E280" s="7"/>
      <c r="F280" s="7"/>
      <c r="G280" s="7"/>
      <c r="H280" s="7"/>
      <c r="I280" s="7"/>
      <c r="J280" s="128" t="s">
        <v>399</v>
      </c>
      <c r="K280" s="80" t="str">
        <f>sample_mgmt_az1_mgmt_vm_gateway_ip</f>
        <v>10.11.10.1</v>
      </c>
      <c r="L280" s="337" t="str">
        <f>mgmt_az1_mgmt_vm_gateway_ip</f>
        <v>10.100.50.1</v>
      </c>
      <c r="M280" s="345"/>
    </row>
    <row r="281" spans="5:13" ht="20.100000000000001" customHeight="1" x14ac:dyDescent="0.25">
      <c r="E281" s="7"/>
      <c r="F281" s="7"/>
      <c r="G281" s="7"/>
      <c r="H281" s="7"/>
      <c r="I281" s="7"/>
      <c r="J281" s="128" t="s">
        <v>400</v>
      </c>
      <c r="K281" s="80" t="str">
        <f>sample_mgmt_az1_mgmt_vm_cidr</f>
        <v>10.11.10.0/24</v>
      </c>
      <c r="L281" s="337" t="str">
        <f>mgmt_az1_mgmt_vm_cidr</f>
        <v>10.100.50.0/24</v>
      </c>
      <c r="M281" s="345"/>
    </row>
    <row r="282" spans="5:13" ht="20.100000000000001" customHeight="1" x14ac:dyDescent="0.2">
      <c r="E282" s="7"/>
      <c r="F282" s="7"/>
      <c r="G282" s="7"/>
      <c r="H282" s="7"/>
      <c r="I282" s="7"/>
      <c r="J282" s="4" t="s">
        <v>401</v>
      </c>
      <c r="K282" s="80">
        <f>sample_mgmt_az1_mgmt_vm_mtu</f>
        <v>1500</v>
      </c>
      <c r="L282" s="337">
        <f>mgmt_az1_mgmt_vm_mtu</f>
        <v>1500</v>
      </c>
      <c r="M282" s="345"/>
    </row>
    <row r="283" spans="5:13" ht="20.100000000000001" customHeight="1" x14ac:dyDescent="0.2">
      <c r="E283" s="7"/>
      <c r="F283" s="7"/>
      <c r="G283" s="7"/>
      <c r="H283" s="7"/>
      <c r="I283" s="7"/>
      <c r="J283" s="405" t="s">
        <v>404</v>
      </c>
      <c r="K283" s="406"/>
      <c r="L283" s="406"/>
      <c r="M283" s="407"/>
    </row>
    <row r="284" spans="5:13" ht="20.100000000000001" customHeight="1" x14ac:dyDescent="0.2">
      <c r="E284" s="7"/>
      <c r="F284" s="7"/>
      <c r="G284" s="7"/>
      <c r="H284" s="7"/>
      <c r="I284" s="7"/>
      <c r="J284" s="4" t="s">
        <v>398</v>
      </c>
      <c r="K284" s="80" t="str">
        <f>sample_mgmt_az1_vmotion_vlan</f>
        <v>1112</v>
      </c>
      <c r="L284" s="163">
        <f>mgmt_az1_vmotion_vlan</f>
        <v>21</v>
      </c>
      <c r="M284" s="93"/>
    </row>
    <row r="285" spans="5:13" ht="20.100000000000001" customHeight="1" x14ac:dyDescent="0.2">
      <c r="E285" s="7"/>
      <c r="F285" s="7"/>
      <c r="G285" s="7"/>
      <c r="H285" s="7"/>
      <c r="I285" s="7"/>
      <c r="J285" s="4" t="s">
        <v>399</v>
      </c>
      <c r="K285" s="80" t="str">
        <f>sample_mgmt_az1_vmotion_gateway_ip</f>
        <v>10.11.12.1</v>
      </c>
      <c r="L285" s="163" t="str">
        <f>mgmt_az1_vmotion_gateway_ip</f>
        <v>192.168.21.1</v>
      </c>
      <c r="M285" s="337"/>
    </row>
    <row r="286" spans="5:13" ht="20.100000000000001" customHeight="1" x14ac:dyDescent="0.2">
      <c r="E286" s="7"/>
      <c r="F286" s="7"/>
      <c r="G286" s="7"/>
      <c r="H286" s="7"/>
      <c r="I286" s="7"/>
      <c r="J286" s="4" t="s">
        <v>400</v>
      </c>
      <c r="K286" s="80" t="str">
        <f>sample_mgmt_az1_vmotion_cidr</f>
        <v>10.11.12.0/24</v>
      </c>
      <c r="L286" s="163" t="str">
        <f>mgmt_az1_vmotion_cidr</f>
        <v>192.168.21.0/24</v>
      </c>
      <c r="M286" s="337"/>
    </row>
    <row r="287" spans="5:13" ht="20.100000000000001" customHeight="1" x14ac:dyDescent="0.2">
      <c r="E287" s="7"/>
      <c r="F287" s="7"/>
      <c r="G287" s="7"/>
      <c r="H287" s="7"/>
      <c r="I287" s="7"/>
      <c r="J287" s="4" t="s">
        <v>401</v>
      </c>
      <c r="K287" s="80">
        <f>sample_mgmt_az1_vmotion_mtu</f>
        <v>9000</v>
      </c>
      <c r="L287" s="163">
        <f>mgmt_az1_vmotion_mtu</f>
        <v>9000</v>
      </c>
      <c r="M287" s="337"/>
    </row>
    <row r="288" spans="5:13" ht="20.100000000000001" customHeight="1" x14ac:dyDescent="0.2">
      <c r="E288" s="7"/>
      <c r="F288" s="7"/>
      <c r="G288" s="7"/>
      <c r="H288" s="7"/>
      <c r="I288" s="7"/>
      <c r="J288" s="17" t="s">
        <v>460</v>
      </c>
      <c r="K288" s="80" t="str">
        <f>sample_mgmt_az1_vmotion_pool_start_ip</f>
        <v>10.11.12.101</v>
      </c>
      <c r="L288" s="163" t="str">
        <f>mgmt_az1_vmotion_pool_start_ip</f>
        <v>192.168.21.51</v>
      </c>
      <c r="M288" s="337"/>
    </row>
    <row r="289" spans="5:13" ht="20.100000000000001" customHeight="1" x14ac:dyDescent="0.2">
      <c r="E289" s="7"/>
      <c r="F289" s="7"/>
      <c r="G289" s="7"/>
      <c r="H289" s="7"/>
      <c r="I289" s="7"/>
      <c r="J289" s="17" t="s">
        <v>461</v>
      </c>
      <c r="K289" s="80" t="str">
        <f>sample_mgmt_az1_vmotion_pool_end_ip</f>
        <v>10.11.12.116</v>
      </c>
      <c r="L289" s="163" t="str">
        <f>mgmt_az1_vmotion_pool_end_ip</f>
        <v>192.168.21.70</v>
      </c>
      <c r="M289" s="337"/>
    </row>
    <row r="290" spans="5:13" ht="20.100000000000001" customHeight="1" x14ac:dyDescent="0.2">
      <c r="E290" s="7"/>
      <c r="F290" s="7"/>
      <c r="G290" s="7"/>
      <c r="H290" s="7"/>
      <c r="I290" s="7"/>
      <c r="J290" s="405" t="s">
        <v>407</v>
      </c>
      <c r="K290" s="406"/>
      <c r="L290" s="406"/>
      <c r="M290" s="407"/>
    </row>
    <row r="291" spans="5:13" ht="20.100000000000001" customHeight="1" x14ac:dyDescent="0.2">
      <c r="E291" s="7"/>
      <c r="F291" s="7"/>
      <c r="G291" s="7"/>
      <c r="H291" s="7"/>
      <c r="I291" s="7"/>
      <c r="J291" s="4" t="s">
        <v>398</v>
      </c>
      <c r="K291" s="80" t="str">
        <f>sample_mgmt_az1_vsan_vlan</f>
        <v>1113</v>
      </c>
      <c r="L291" s="163">
        <f>mgmt_az1_vsan_vlan</f>
        <v>20</v>
      </c>
      <c r="M291" s="345"/>
    </row>
    <row r="292" spans="5:13" ht="20.100000000000001" customHeight="1" x14ac:dyDescent="0.2">
      <c r="E292" s="7"/>
      <c r="F292" s="7"/>
      <c r="G292" s="7"/>
      <c r="H292" s="7"/>
      <c r="I292" s="7"/>
      <c r="J292" s="4" t="s">
        <v>399</v>
      </c>
      <c r="K292" s="80" t="str">
        <f>sample_mgmt_az1_vsan_gateway_ip</f>
        <v>10.11.13.1</v>
      </c>
      <c r="L292" s="163" t="str">
        <f>mgmt_az1_vsan_gateway_ip</f>
        <v>192.168.20.1</v>
      </c>
      <c r="M292" s="345" t="str">
        <f>IF(AND(mgmt_stretched_cluster_result="Included",mgmt_dpg_reuse_result="Excluded"),"Stretched L2","")</f>
        <v/>
      </c>
    </row>
    <row r="293" spans="5:13" ht="20.100000000000001" customHeight="1" x14ac:dyDescent="0.2">
      <c r="E293" s="7"/>
      <c r="F293" s="7"/>
      <c r="G293" s="7"/>
      <c r="H293" s="7"/>
      <c r="I293" s="7"/>
      <c r="J293" s="4" t="s">
        <v>400</v>
      </c>
      <c r="K293" s="80" t="str">
        <f>sample_mgmt_az1_vsan_cidr</f>
        <v>10.11.13.0/24</v>
      </c>
      <c r="L293" s="163" t="str">
        <f>mgmt_az1_vsan_cidr</f>
        <v>192.168.20.0/24</v>
      </c>
      <c r="M293" s="345"/>
    </row>
    <row r="294" spans="5:13" ht="20.100000000000001" customHeight="1" x14ac:dyDescent="0.2">
      <c r="E294" s="7"/>
      <c r="F294" s="7"/>
      <c r="G294" s="7"/>
      <c r="H294" s="7"/>
      <c r="I294" s="7"/>
      <c r="J294" s="4" t="s">
        <v>401</v>
      </c>
      <c r="K294" s="80">
        <f>sample_mgmt_az1_vsan_mtu</f>
        <v>9000</v>
      </c>
      <c r="L294" s="163">
        <f>mgmt_az1_vsan_mtu</f>
        <v>9000</v>
      </c>
      <c r="M294" s="345"/>
    </row>
    <row r="295" spans="5:13" ht="20.100000000000001" customHeight="1" x14ac:dyDescent="0.2">
      <c r="E295" s="7"/>
      <c r="F295" s="7"/>
      <c r="G295" s="7"/>
      <c r="H295" s="7"/>
      <c r="I295" s="7"/>
      <c r="J295" s="17" t="s">
        <v>460</v>
      </c>
      <c r="K295" s="80" t="str">
        <f>sample_mgmt_az1_vsan_pool_start_ip</f>
        <v>10.11.13.101</v>
      </c>
      <c r="L295" s="163" t="str">
        <f>mgmt_az1_vsan_pool_start_ip</f>
        <v>192.168.20.51</v>
      </c>
      <c r="M295" s="345"/>
    </row>
    <row r="296" spans="5:13" ht="20.100000000000001" customHeight="1" x14ac:dyDescent="0.2">
      <c r="E296" s="7"/>
      <c r="F296" s="7"/>
      <c r="G296" s="7"/>
      <c r="H296" s="7"/>
      <c r="I296" s="7"/>
      <c r="J296" s="17" t="s">
        <v>461</v>
      </c>
      <c r="K296" s="80" t="str">
        <f>sample_mgmt_az1_vsan_pool_end_ip</f>
        <v>10.11.13.116</v>
      </c>
      <c r="L296" s="163" t="str">
        <f>mgmt_az1_vsan_pool_end_ip</f>
        <v>192.168.20.70</v>
      </c>
      <c r="M296" s="345"/>
    </row>
    <row r="297" spans="5:13" ht="20.100000000000001" customHeight="1" x14ac:dyDescent="0.2">
      <c r="E297" s="7"/>
      <c r="F297" s="7"/>
      <c r="G297" s="7"/>
      <c r="H297" s="7"/>
      <c r="I297" s="7"/>
      <c r="J297" s="405" t="s">
        <v>467</v>
      </c>
      <c r="K297" s="406"/>
      <c r="L297" s="406"/>
      <c r="M297" s="407"/>
    </row>
    <row r="298" spans="5:13" ht="20.100000000000001" customHeight="1" x14ac:dyDescent="0.2">
      <c r="E298" s="7"/>
      <c r="F298" s="7"/>
      <c r="G298" s="7"/>
      <c r="H298" s="7"/>
      <c r="I298" s="7"/>
      <c r="J298" s="4" t="s">
        <v>398</v>
      </c>
      <c r="K298" s="80" t="str">
        <f>sample_mgmt_az1_host_overlay_vlan</f>
        <v>1114</v>
      </c>
      <c r="L298" s="163">
        <f>mgmt_az1_host_overlay_vlan</f>
        <v>238</v>
      </c>
      <c r="M298" s="337"/>
    </row>
    <row r="299" spans="5:13" ht="20.100000000000001" customHeight="1" x14ac:dyDescent="0.2">
      <c r="E299" s="7"/>
      <c r="F299" s="7"/>
      <c r="G299" s="7"/>
      <c r="H299" s="7"/>
      <c r="I299" s="7"/>
      <c r="J299" s="4" t="s">
        <v>399</v>
      </c>
      <c r="K299" s="80" t="str">
        <f>sample_mgmt_az1_host_overlay_gateway_ip</f>
        <v>10.11.14.1</v>
      </c>
      <c r="L299" s="163" t="str">
        <f>mgmt_az1_host_overlay_gateway_ip</f>
        <v>10.100.38.1</v>
      </c>
      <c r="M299" s="337"/>
    </row>
    <row r="300" spans="5:13" ht="20.100000000000001" customHeight="1" x14ac:dyDescent="0.2">
      <c r="E300" s="7"/>
      <c r="F300" s="7"/>
      <c r="G300" s="7"/>
      <c r="H300" s="7"/>
      <c r="I300" s="7"/>
      <c r="J300" s="4" t="s">
        <v>400</v>
      </c>
      <c r="K300" s="80" t="str">
        <f>sample_mgmt_az1_host_overlay_cidr</f>
        <v>10.11.14.0/24</v>
      </c>
      <c r="L300" s="163" t="str">
        <f>mgmt_az1_host_overlay_cidr</f>
        <v>10.100.38.0/24</v>
      </c>
      <c r="M300" s="337"/>
    </row>
    <row r="301" spans="5:13" ht="20.100000000000001" customHeight="1" x14ac:dyDescent="0.2">
      <c r="E301" s="7"/>
      <c r="F301" s="7"/>
      <c r="G301" s="7"/>
      <c r="H301" s="7"/>
      <c r="I301" s="7"/>
      <c r="J301" s="4" t="s">
        <v>401</v>
      </c>
      <c r="K301" s="80">
        <v>9000</v>
      </c>
      <c r="L301" s="164">
        <v>9000</v>
      </c>
      <c r="M301" s="337"/>
    </row>
    <row r="302" spans="5:13" ht="20.100000000000001" customHeight="1" x14ac:dyDescent="0.2">
      <c r="E302" s="7"/>
      <c r="F302" s="7"/>
      <c r="G302" s="7"/>
      <c r="H302" s="7"/>
      <c r="I302" s="7"/>
      <c r="J302" s="17" t="s">
        <v>460</v>
      </c>
      <c r="K302" s="80" t="str">
        <f>sample_mgmt_az1_host_overlay_pool_start_ip</f>
        <v>10.11.14.101</v>
      </c>
      <c r="L302" s="163" t="str">
        <f>mgmt_az1_host_overlay_pool_start_ip</f>
        <v>10.100.38.51</v>
      </c>
      <c r="M302" s="337"/>
    </row>
    <row r="303" spans="5:13" ht="20.100000000000001" customHeight="1" x14ac:dyDescent="0.2">
      <c r="E303" s="7"/>
      <c r="F303" s="7"/>
      <c r="G303" s="7"/>
      <c r="H303" s="7"/>
      <c r="I303" s="7"/>
      <c r="J303" s="17" t="s">
        <v>461</v>
      </c>
      <c r="K303" s="80" t="str">
        <f>sample_mgmt_az1_host_overlay_pool_end_ip</f>
        <v>10.11.14.132</v>
      </c>
      <c r="L303" s="163" t="str">
        <f>mgmt_az1_host_overlay_pool_end_ip</f>
        <v>10.100.38.70</v>
      </c>
      <c r="M303" s="337"/>
    </row>
    <row r="304" spans="5:13" ht="20.100000000000001" customHeight="1" x14ac:dyDescent="0.2">
      <c r="E304" s="7"/>
      <c r="F304" s="7"/>
      <c r="G304" s="7"/>
      <c r="H304" s="7"/>
      <c r="I304" s="7"/>
      <c r="J304" s="414" t="s">
        <v>468</v>
      </c>
      <c r="K304" s="415"/>
      <c r="L304" s="415"/>
      <c r="M304" s="416"/>
    </row>
    <row r="305" spans="5:14" ht="20.100000000000001" customHeight="1" x14ac:dyDescent="0.2">
      <c r="E305" s="7"/>
      <c r="F305" s="7"/>
      <c r="G305" s="7"/>
      <c r="H305" s="7"/>
      <c r="I305" s="7"/>
      <c r="J305" s="96" t="s">
        <v>469</v>
      </c>
      <c r="K305" s="346" t="s">
        <v>470</v>
      </c>
      <c r="L305" s="97" t="s">
        <v>471</v>
      </c>
      <c r="M305" s="346" t="s">
        <v>5</v>
      </c>
    </row>
    <row r="306" spans="5:14" ht="20.100000000000001" customHeight="1" x14ac:dyDescent="0.2">
      <c r="E306" s="7"/>
      <c r="F306" s="7"/>
      <c r="G306" s="7"/>
      <c r="H306" s="7"/>
      <c r="I306" s="7"/>
      <c r="J306" s="347" t="str">
        <f>xreg_vrslcm_fqdn</f>
        <v>labvcffleetmgmt01v.vcf.lab.local</v>
      </c>
      <c r="K306" s="98" t="str">
        <f>IF(mgmt_dpg_reuse_result="Included",CONCATENATE(prefix_mgmt_az1_cidr,"10.28"),CONCATENATE(prefix_mgmt_az1_cidr,"11.28"))</f>
        <v>10.11.10.28</v>
      </c>
      <c r="L306" s="347" t="s">
        <v>4048</v>
      </c>
      <c r="M306" s="337" t="s">
        <v>469</v>
      </c>
    </row>
    <row r="307" spans="5:14" ht="20.100000000000001" customHeight="1" x14ac:dyDescent="0.2">
      <c r="E307" s="7"/>
      <c r="F307" s="7"/>
      <c r="G307" s="7"/>
      <c r="H307" s="7"/>
      <c r="I307" s="7"/>
      <c r="J307" s="346" t="s">
        <v>472</v>
      </c>
      <c r="K307" s="346" t="s">
        <v>470</v>
      </c>
      <c r="L307" s="97" t="s">
        <v>471</v>
      </c>
      <c r="M307" s="346" t="s">
        <v>5</v>
      </c>
    </row>
    <row r="308" spans="5:14" ht="20.100000000000001" customHeight="1" x14ac:dyDescent="0.2">
      <c r="E308" s="7"/>
      <c r="F308" s="7"/>
      <c r="G308" s="7"/>
      <c r="H308" s="7"/>
      <c r="I308" s="7"/>
      <c r="J308" s="347" t="str">
        <f>xreg_vrops_nodea_fqdn</f>
        <v>labvcfops01v.vcf.lab.local</v>
      </c>
      <c r="K308" s="80" t="str">
        <f>IF(mgmt_vcf_management_network_chosen="Use VM management network",IF(mgmt_dpg_reuse_result="Included",CONCATENATE(prefix_mgmt_az1_cidr,"10.52"),CONCATENATE(prefix_mgmt_az1_cidr,"11.52")),CONCATENATE(prefix_flt_shared_cidr,".52"))</f>
        <v>10.11.10.52</v>
      </c>
      <c r="L308" s="347" t="s">
        <v>4049</v>
      </c>
      <c r="M308" s="99" t="str">
        <f>IF(mgmt_domain_ops_automation_later_chosen="Selected","Inputs are masked out as you have opted to deploy VCF Ops and Automation post MGMT Domain deployment","Primary node of VCF Operations")</f>
        <v>Primary node of VCF Operations</v>
      </c>
    </row>
    <row r="309" spans="5:14" ht="20.100000000000001" customHeight="1" x14ac:dyDescent="0.2">
      <c r="E309" s="7"/>
      <c r="F309" s="7"/>
      <c r="G309" s="7"/>
      <c r="H309" s="7"/>
      <c r="I309" s="7"/>
      <c r="J309" s="347" t="str">
        <f>xreg_vrops_nodeb_fqdn</f>
        <v>labvcfops02v.vcf.lab.local</v>
      </c>
      <c r="K309" s="80" t="str">
        <f>IF(mgmt_vcf_management_network_chosen="Use VM management network",IF(mgmt_dpg_reuse_result="Included",CONCATENATE(prefix_mgmt_az1_cidr,"10.53"),CONCATENATE(prefix_mgmt_az1_cidr,"11.53")),CONCATENATE(prefix_flt_shared_cidr,".53"))</f>
        <v>10.11.10.53</v>
      </c>
      <c r="L309" s="347" t="s">
        <v>4050</v>
      </c>
      <c r="M309" s="99" t="str">
        <f>IF(mgmt_domain_ops_automation_later_chosen="Selected","Inputs are masked out as you have opted to deploy VCF Ops and Automation post MGMT Domain deployment","Primary replica node of VCF Operations")</f>
        <v>Primary replica node of VCF Operations</v>
      </c>
    </row>
    <row r="310" spans="5:14" ht="20.100000000000001" customHeight="1" x14ac:dyDescent="0.2">
      <c r="E310" s="7"/>
      <c r="F310" s="7"/>
      <c r="G310" s="7"/>
      <c r="H310" s="7"/>
      <c r="I310" s="7"/>
      <c r="J310" s="347" t="str">
        <f>xreg_vrops_nodec_fqdn</f>
        <v>labvcfops03v.vcf.lab.local</v>
      </c>
      <c r="K310" s="80" t="str">
        <f>IF(mgmt_vcf_management_network_chosen="Use VM management network",IF(mgmt_dpg_reuse_result="Included",CONCATENATE(prefix_mgmt_az1_cidr,"10.54"),CONCATENATE(prefix_mgmt_az1_cidr,"11.54")),CONCATENATE(prefix_flt_shared_cidr,".54"))</f>
        <v>10.11.10.54</v>
      </c>
      <c r="L310" s="347" t="s">
        <v>4051</v>
      </c>
      <c r="M310" s="99" t="str">
        <f>IF(mgmt_domain_ops_automation_later_chosen="Selected","Inputs are masked out as you have opted to deploy VCF Ops and Automation post MGMT Domain deployment","Data node 1 of VCF Operations")</f>
        <v>Data node 1 of VCF Operations</v>
      </c>
    </row>
    <row r="311" spans="5:14" ht="20.100000000000001" customHeight="1" x14ac:dyDescent="0.2">
      <c r="E311" s="7"/>
      <c r="F311" s="7"/>
      <c r="G311" s="7"/>
      <c r="H311" s="7"/>
      <c r="I311" s="7"/>
      <c r="J311" s="347" t="str">
        <f>xreg_vrops_collector_fqdn</f>
        <v>labvcfopscollector01v.vcf.lab.local</v>
      </c>
      <c r="K311" s="80" t="str">
        <f>IF(mgmt_dpg_reuse_result="Included",CONCATENATE(prefix_mgmt_az1_cidr,"10.12"),CONCATENATE(prefix_mgmt_az1_cidr,"11.12"))</f>
        <v>10.11.10.12</v>
      </c>
      <c r="L311" s="347" t="s">
        <v>4052</v>
      </c>
      <c r="M311" s="99" t="str">
        <f>IF(mgmt_domain_ops_automation_later_chosen="Selected","Inputs are masked out as you have opted to deploy VCF Ops and Automation post MGMT Domain deployment","Operations Collector Appliance")</f>
        <v>Operations Collector Appliance</v>
      </c>
    </row>
    <row r="312" spans="5:14" ht="20.100000000000001" customHeight="1" x14ac:dyDescent="0.2">
      <c r="E312" s="7"/>
      <c r="F312" s="7"/>
      <c r="G312" s="7"/>
      <c r="H312" s="7"/>
      <c r="I312" s="7"/>
      <c r="J312" s="346" t="s">
        <v>331</v>
      </c>
      <c r="K312" s="346" t="s">
        <v>470</v>
      </c>
      <c r="L312" s="97" t="s">
        <v>471</v>
      </c>
      <c r="M312" s="346" t="s">
        <v>5</v>
      </c>
    </row>
    <row r="313" spans="5:14" ht="20.100000000000001" customHeight="1" x14ac:dyDescent="0.2">
      <c r="E313" s="7"/>
      <c r="F313" s="7"/>
      <c r="G313" s="7"/>
      <c r="H313" s="7"/>
      <c r="I313" s="7"/>
      <c r="J313" s="347" t="str">
        <f>xreg_vrops_virtual_fqdn</f>
        <v>operations.vcf.lab.local</v>
      </c>
      <c r="K313" s="80" t="str">
        <f>IF(mgmt_vcf_management_network_chosen="Use VM management network",IF(mgmt_dpg_reuse_result="Included",CONCATENATE(prefix_mgmt_az1_cidr,"10.21"),CONCATENATE(prefix_mgmt_az1_cidr,"11.21")),CONCATENATE(prefix_flt_shared_cidr,".21"))</f>
        <v>10.11.10.21</v>
      </c>
      <c r="L313" s="347" t="s">
        <v>4053</v>
      </c>
      <c r="M313" s="337"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14" spans="5:14" ht="20.100000000000001" customHeight="1" x14ac:dyDescent="0.2">
      <c r="E314" s="7"/>
      <c r="F314" s="7"/>
      <c r="G314" s="7"/>
      <c r="H314" s="7"/>
      <c r="I314" s="7"/>
      <c r="J314" s="346" t="s">
        <v>191</v>
      </c>
      <c r="K314" s="346" t="s">
        <v>470</v>
      </c>
      <c r="L314" s="97" t="s">
        <v>471</v>
      </c>
      <c r="M314" s="346" t="s">
        <v>5</v>
      </c>
    </row>
    <row r="315" spans="5:14" ht="20.100000000000001" customHeight="1" x14ac:dyDescent="0.2">
      <c r="E315" s="7"/>
      <c r="F315" s="7"/>
      <c r="G315" s="7"/>
      <c r="H315" s="7"/>
      <c r="I315" s="7"/>
      <c r="J315" s="347" t="str">
        <f>xreg_vra_virtual_fqdn</f>
        <v>labvcfa01v.vcf.lab.local</v>
      </c>
      <c r="K315" s="80" t="str">
        <f>IF(mgmt_vcf_management_network_chosen="Use VM management network",IF(mgmt_dpg_reuse_result="Included",CONCATENATE(prefix_mgmt_az1_cidr,"10.25"),CONCATENATE(prefix_mgmt_az1_cidr,"11.25")),CONCATENATE(prefix_flt_shared_cidr,".25"))</f>
        <v>10.11.10.25</v>
      </c>
      <c r="L315" s="347" t="s">
        <v>4054</v>
      </c>
      <c r="M315" s="99" t="str">
        <f>IF(mgmt_domain_ops_automation_later_chosen="Selected","Inputs are masked out as you have opted to deploy VCF Ops and Automation post MGMT Domain deployment","")</f>
        <v/>
      </c>
    </row>
    <row r="316" spans="5:14" ht="20.100000000000001" customHeight="1" x14ac:dyDescent="0.2">
      <c r="E316" s="7"/>
      <c r="F316" s="7"/>
      <c r="G316" s="7"/>
      <c r="H316" s="7"/>
      <c r="I316" s="7"/>
      <c r="J316" s="347" t="s">
        <v>473</v>
      </c>
      <c r="K316" s="80" t="str">
        <f>IF(mgmt_vcf_management_network_chosen="Use VM management network",IF(mgmt_dpg_reuse_result="Included",CONCATENATE(prefix_mgmt_az1_cidr,"10.46"),CONCATENATE(prefix_mgmt_az1_cidr,"11.46")),CONCATENATE(prefix_flt_shared_cidr,".46"))</f>
        <v>10.11.10.46</v>
      </c>
      <c r="L316" s="337" t="str">
        <f>IF(ISBLANK(input_xreg_vra_nodea_ip),"Value Missing",input_xreg_vra_nodea_ip)</f>
        <v>10.100.50.107</v>
      </c>
      <c r="M316" s="99" t="str">
        <f>IF(mgmt_domain_ops_automation_later_chosen="Selected","Inputs are masked out as you have opted to deploy VCF Ops and Automation post MGMT Domain deployment","")</f>
        <v/>
      </c>
    </row>
    <row r="317" spans="5:14" ht="20.100000000000001" customHeight="1" x14ac:dyDescent="0.2">
      <c r="E317" s="7"/>
      <c r="F317" s="7"/>
      <c r="G317" s="7"/>
      <c r="H317" s="7"/>
      <c r="I317" s="7"/>
      <c r="J317" s="347" t="s">
        <v>473</v>
      </c>
      <c r="K317" s="80" t="str">
        <f>IF(mgmt_vcf_management_network_chosen="Use VM management network",IF(mgmt_dpg_reuse_result="Included",CONCATENATE(prefix_mgmt_az1_cidr,"10.47"),CONCATENATE(prefix_mgmt_az1_cidr,"11.47")),CONCATENATE(prefix_flt_shared_cidr,".47"))</f>
        <v>10.11.10.47</v>
      </c>
      <c r="L317" s="337" t="str">
        <f>IF(ISBLANK(input_xreg_vra_nodeb_ip),"Value Missing",input_xreg_vra_nodeb_ip)</f>
        <v>10.100.50.108</v>
      </c>
      <c r="M317" s="99" t="str">
        <f>IF(mgmt_domain_ops_automation_later_chosen="Selected","Inputs are masked out as you have opted to deploy VCF Ops and Automation post MGMT Domain deployment","")</f>
        <v/>
      </c>
    </row>
    <row r="318" spans="5:14" ht="20.100000000000001" customHeight="1" x14ac:dyDescent="0.2">
      <c r="E318" s="7"/>
      <c r="F318" s="7"/>
      <c r="G318" s="7"/>
      <c r="H318" s="7"/>
      <c r="I318" s="7"/>
      <c r="J318" s="347" t="s">
        <v>473</v>
      </c>
      <c r="K318" s="80" t="str">
        <f>IF(mgmt_vcf_management_network_chosen="Use VM management network",IF(mgmt_dpg_reuse_result="Included",CONCATENATE(prefix_mgmt_az1_cidr,"10.48"),CONCATENATE(prefix_mgmt_az1_cidr,"11.48")),CONCATENATE(prefix_flt_shared_cidr,".48"))</f>
        <v>10.11.10.48</v>
      </c>
      <c r="L318" s="337" t="str">
        <f>IF(ISBLANK(input_xreg_vra_nodec_ip),"Value Missing",input_xreg_vra_nodec_ip)</f>
        <v>10.100.50.109</v>
      </c>
      <c r="M318" s="99" t="str">
        <f>IF(mgmt_domain_ops_automation_later_chosen="Selected","Inputs are masked out as you have opted to deploy VCF Ops and Automation post MGMT Domain deployment","")</f>
        <v/>
      </c>
      <c r="N318" s="35"/>
    </row>
    <row r="319" spans="5:14" ht="20.100000000000001" customHeight="1" x14ac:dyDescent="0.2">
      <c r="E319" s="7"/>
      <c r="F319" s="7"/>
      <c r="G319" s="7"/>
      <c r="H319" s="7"/>
      <c r="I319" s="7"/>
      <c r="J319" s="347" t="s">
        <v>473</v>
      </c>
      <c r="K319" s="80" t="str">
        <f>IF(mgmt_vcf_management_network_chosen="Use VM management network",IF(mgmt_dpg_reuse_result="Included",CONCATENATE(prefix_mgmt_az1_cidr,"10.49"),CONCATENATE(prefix_mgmt_az1_cidr,"11.49")),CONCATENATE(prefix_flt_shared_cidr,".49"))</f>
        <v>10.11.10.49</v>
      </c>
      <c r="L319" s="337" t="str">
        <f>IF(ISBLANK(input_xreg_vra_noded_ip),"Value Missing",input_xreg_vra_noded_ip)</f>
        <v>10.100.50.110</v>
      </c>
      <c r="M319" s="99" t="str">
        <f>IF(mgmt_domain_ops_automation_later_chosen="Selected","Inputs are masked out as you have opted to deploy VCF Ops and Automation post MGMT Domain deployment","")</f>
        <v/>
      </c>
      <c r="N319" s="2"/>
    </row>
    <row r="320" spans="5:14" ht="20.100000000000001" customHeight="1" x14ac:dyDescent="0.2">
      <c r="E320" s="7"/>
      <c r="F320" s="7"/>
      <c r="G320" s="7"/>
      <c r="H320" s="7"/>
      <c r="I320" s="7"/>
      <c r="J320" s="346" t="s">
        <v>474</v>
      </c>
      <c r="K320" s="346" t="s">
        <v>470</v>
      </c>
      <c r="L320" s="97" t="s">
        <v>471</v>
      </c>
      <c r="M320" s="346" t="s">
        <v>5</v>
      </c>
      <c r="N320" s="2"/>
    </row>
    <row r="321" spans="5:14" ht="20.100000000000001" customHeight="1" x14ac:dyDescent="0.2">
      <c r="E321" s="7"/>
      <c r="F321" s="7"/>
      <c r="G321" s="7"/>
      <c r="H321" s="7"/>
      <c r="I321" s="7"/>
      <c r="J321" s="102"/>
      <c r="K321" s="89" t="str">
        <f>IF(mgmt_dpg_reuse_result="Included",CONCATENATE(prefix_mgmt_az1_cidr,"10.9"),CONCATENATE(prefix_mgmt_az1_cidr,"11.9"))</f>
        <v>10.11.10.9</v>
      </c>
      <c r="L321" s="347"/>
      <c r="M321" s="100" t="str">
        <f>IF(mgmt_vcf_installer_location_chosen="Deployed on one of the hosts in the management domain","VCF Installer","")</f>
        <v/>
      </c>
      <c r="N321" s="2"/>
    </row>
    <row r="322" spans="5:14" ht="20.100000000000001" customHeight="1" x14ac:dyDescent="0.2">
      <c r="E322" s="7"/>
      <c r="F322" s="7"/>
      <c r="G322" s="7"/>
      <c r="H322" s="7"/>
      <c r="I322" s="7"/>
      <c r="J322" s="331" t="str">
        <f>sddc_mgr_fqdn</f>
        <v>labvcfsddc01v.vcf.lab.local</v>
      </c>
      <c r="K322" s="89" t="str">
        <f>IF(mgmt_dpg_reuse_result="Included",CONCATENATE(prefix_mgmt_az1_cidr,"10.13"),CONCATENATE(prefix_mgmt_az1_cidr,"11.13"))</f>
        <v>10.11.10.13</v>
      </c>
      <c r="L322" s="347" t="s">
        <v>4058</v>
      </c>
      <c r="M322" s="100" t="str">
        <f>IF(mgmt_vcf_installer_location_chosen="Deployed outside management domain","SDDC Manager  Appliance",CONCATENATE("SDDC Manager  / Private Cloud Installer. ","Ensure this FQDN is used when setting the VCF Installer FQDN"))</f>
        <v>SDDC Manager  Appliance</v>
      </c>
    </row>
    <row r="323" spans="5:14" ht="20.100000000000001" customHeight="1" x14ac:dyDescent="0.2">
      <c r="E323" s="7"/>
      <c r="F323" s="7"/>
      <c r="G323" s="7"/>
      <c r="H323" s="7"/>
      <c r="I323" s="7"/>
      <c r="J323" s="331" t="str">
        <f>mgmt_vc_fqdn</f>
        <v>labvcvcf01v.vcf.lab.local</v>
      </c>
      <c r="K323" s="89" t="str">
        <f>IF(mgmt_dpg_reuse_result="Included",CONCATENATE(prefix_mgmt_az1_cidr,"10.70"),CONCATENATE(prefix_mgmt_az1_cidr,"11.70"))</f>
        <v>10.11.10.70</v>
      </c>
      <c r="L323" s="347" t="s">
        <v>4059</v>
      </c>
      <c r="M323" s="100" t="s">
        <v>299</v>
      </c>
    </row>
    <row r="324" spans="5:14" ht="20.100000000000001" customHeight="1" x14ac:dyDescent="0.2">
      <c r="E324" s="7"/>
      <c r="F324" s="7"/>
      <c r="G324" s="7"/>
      <c r="H324" s="7"/>
      <c r="I324" s="7"/>
      <c r="J324" s="346" t="s">
        <v>475</v>
      </c>
      <c r="K324" s="346" t="s">
        <v>470</v>
      </c>
      <c r="L324" s="97" t="s">
        <v>471</v>
      </c>
      <c r="M324" s="346" t="s">
        <v>5</v>
      </c>
    </row>
    <row r="325" spans="5:14" ht="20.100000000000001" customHeight="1" x14ac:dyDescent="0.2">
      <c r="E325" s="7"/>
      <c r="F325" s="7"/>
      <c r="G325" s="7"/>
      <c r="H325" s="7"/>
      <c r="I325" s="7"/>
      <c r="J325" s="331" t="str">
        <f>mgmt_nsxt_vip_fqdn</f>
        <v>nsx.vcf.lab.local</v>
      </c>
      <c r="K325" s="89" t="str">
        <f>IF(mgmt_dpg_reuse_result="Included",CONCATENATE(prefix_mgmt_az1_cidr,"10.71"),CONCATENATE(prefix_mgmt_az1_cidr,"11.71"))</f>
        <v>10.11.10.71</v>
      </c>
      <c r="L325" s="347" t="s">
        <v>4060</v>
      </c>
      <c r="M325" s="100" t="str">
        <f>IF(mgmt_domain_existing_nsx_manager_chosen="Included","Existing NSX Manager / Local Manager VIP","NSX Manager / Local Manager VIP")</f>
        <v>NSX Manager / Local Manager VIP</v>
      </c>
    </row>
    <row r="326" spans="5:14" ht="20.100000000000001" customHeight="1" x14ac:dyDescent="0.2">
      <c r="E326" s="7"/>
      <c r="F326" s="7"/>
      <c r="G326" s="7"/>
      <c r="H326" s="7"/>
      <c r="I326" s="7"/>
      <c r="J326" s="331" t="str">
        <f>mgmt_nsxt_mgra_fqdn</f>
        <v>labnsxmanager01v.vcf.lab.local</v>
      </c>
      <c r="K326" s="89" t="str">
        <f>IF(mgmt_dpg_reuse_result="Included",CONCATENATE(prefix_mgmt_az1_cidr,"10.72"),CONCATENATE(prefix_mgmt_az1_cidr,"11.72"))</f>
        <v>10.11.10.72</v>
      </c>
      <c r="L326" s="347" t="s">
        <v>4061</v>
      </c>
      <c r="M326" s="100" t="str">
        <f>IF(mgmt_domain_existing_nsx_manager_chosen="Included","Existing NSX Manager / Local Manager Node A","NSX Manager / Local Manager Node A")</f>
        <v>NSX Manager / Local Manager Node A</v>
      </c>
    </row>
    <row r="327" spans="5:14" ht="20.100000000000001" customHeight="1" x14ac:dyDescent="0.2">
      <c r="E327" s="7"/>
      <c r="F327" s="7"/>
      <c r="G327" s="7"/>
      <c r="H327" s="7"/>
      <c r="I327" s="7"/>
      <c r="J327" s="331" t="str">
        <f>mgmt_nsxt_mgrb_fqdn</f>
        <v>labnsxmanager02v.vcf.lab.local</v>
      </c>
      <c r="K327" s="89" t="str">
        <f>IF(mgmt_dpg_reuse_result="Included",CONCATENATE(prefix_mgmt_az1_cidr,"10.73"),CONCATENATE(prefix_mgmt_az1_cidr,"11.73"))</f>
        <v>10.11.10.73</v>
      </c>
      <c r="L327" s="347" t="s">
        <v>4062</v>
      </c>
      <c r="M327" s="100" t="str">
        <f>IF(mgmt_domain_existing_nsx_manager_chosen="Included","Existing NSX Manager / Local Manager Node B","NSX Manager / Local Manager Node B")</f>
        <v>NSX Manager / Local Manager Node B</v>
      </c>
    </row>
    <row r="328" spans="5:14" ht="20.100000000000001" customHeight="1" x14ac:dyDescent="0.2">
      <c r="E328" s="7"/>
      <c r="F328" s="7"/>
      <c r="G328" s="7"/>
      <c r="H328" s="7"/>
      <c r="I328" s="7"/>
      <c r="J328" s="331" t="str">
        <f>mgmt_nsxt_mgrc_fqdn</f>
        <v>labnsxmanager03v.vcf.lab.local</v>
      </c>
      <c r="K328" s="89" t="str">
        <f>IF(mgmt_dpg_reuse_result="Included",CONCATENATE(prefix_mgmt_az1_cidr,"10.74"),CONCATENATE(prefix_mgmt_az1_cidr,"11.74"))</f>
        <v>10.11.10.74</v>
      </c>
      <c r="L328" s="347" t="s">
        <v>4063</v>
      </c>
      <c r="M328" s="100" t="str">
        <f>IF(mgmt_domain_existing_nsx_manager_chosen="Included","Existing NSX Manager / Local Manager Node C","NSX Manager / Local Manager Node C")</f>
        <v>NSX Manager / Local Manager Node C</v>
      </c>
    </row>
    <row r="329" spans="5:14" ht="20.100000000000001" customHeight="1" x14ac:dyDescent="0.2">
      <c r="E329" s="7"/>
      <c r="F329" s="7"/>
      <c r="G329" s="7"/>
      <c r="H329" s="7"/>
      <c r="I329" s="7"/>
      <c r="J329" s="103" t="s">
        <v>476</v>
      </c>
      <c r="K329" s="346" t="s">
        <v>470</v>
      </c>
      <c r="L329" s="97" t="s">
        <v>471</v>
      </c>
      <c r="M329" s="346" t="s">
        <v>5</v>
      </c>
    </row>
    <row r="330" spans="5:14" ht="20.100000000000001" customHeight="1" x14ac:dyDescent="0.2">
      <c r="E330" s="7"/>
      <c r="F330" s="7"/>
      <c r="G330" s="7"/>
      <c r="H330" s="7"/>
      <c r="I330" s="7"/>
      <c r="J330" s="331" t="str">
        <f t="array" ref="J330:J345">mgmt_az1_host_fqdns</f>
        <v>labesxvcf01.vcf.lab.local</v>
      </c>
      <c r="K330" s="89" t="str">
        <f>CONCATENATE(prefix_mgmt_az1_cidr,"11.101")</f>
        <v>10.11.11.101</v>
      </c>
      <c r="L330" s="347" t="s">
        <v>4068</v>
      </c>
      <c r="M330" s="100" t="s">
        <v>477</v>
      </c>
    </row>
    <row r="331" spans="5:14" ht="20.100000000000001" customHeight="1" x14ac:dyDescent="0.2">
      <c r="E331" s="7"/>
      <c r="F331" s="7"/>
      <c r="G331" s="7"/>
      <c r="H331" s="7"/>
      <c r="I331" s="7"/>
      <c r="J331" s="331" t="str">
        <v>labesxvcf02.vcf.lab.local</v>
      </c>
      <c r="K331" s="89" t="str">
        <f>CONCATENATE(prefix_mgmt_az1_cidr,"11.102")</f>
        <v>10.11.11.102</v>
      </c>
      <c r="L331" s="347" t="s">
        <v>4069</v>
      </c>
      <c r="M331" s="100" t="s">
        <v>478</v>
      </c>
    </row>
    <row r="332" spans="5:14" ht="20.100000000000001" customHeight="1" x14ac:dyDescent="0.2">
      <c r="E332" s="7"/>
      <c r="F332" s="7"/>
      <c r="G332" s="7"/>
      <c r="H332" s="7"/>
      <c r="I332" s="7"/>
      <c r="J332" s="331" t="str">
        <v>labesxvcf03.vcf.lab.local</v>
      </c>
      <c r="K332" s="89" t="str">
        <f>CONCATENATE(prefix_mgmt_az1_cidr,"11.103")</f>
        <v>10.11.11.103</v>
      </c>
      <c r="L332" s="347" t="s">
        <v>4070</v>
      </c>
      <c r="M332" s="100" t="s">
        <v>479</v>
      </c>
    </row>
    <row r="333" spans="5:14" ht="20.100000000000001" customHeight="1" x14ac:dyDescent="0.2">
      <c r="E333" s="7"/>
      <c r="F333" s="7"/>
      <c r="G333" s="7"/>
      <c r="H333" s="7"/>
      <c r="I333" s="7"/>
      <c r="J333" s="331" t="str">
        <v>labesxvcf04.vcf.lab.local</v>
      </c>
      <c r="K333" s="89" t="str">
        <f>CONCATENATE(prefix_mgmt_az1_cidr,"11.104")</f>
        <v>10.11.11.104</v>
      </c>
      <c r="L333" s="347" t="s">
        <v>4071</v>
      </c>
      <c r="M333" s="100" t="s">
        <v>480</v>
      </c>
    </row>
    <row r="334" spans="5:14" ht="20.100000000000001" customHeight="1" x14ac:dyDescent="0.2">
      <c r="E334" s="7"/>
      <c r="F334" s="7"/>
      <c r="G334" s="7"/>
      <c r="H334" s="7"/>
      <c r="I334" s="7"/>
      <c r="J334" s="331" t="str">
        <v>Value Missing</v>
      </c>
      <c r="K334" s="89" t="str">
        <f>CONCATENATE(prefix_mgmt_az1_cidr,"11.105")</f>
        <v>10.11.11.105</v>
      </c>
      <c r="L334" s="347"/>
      <c r="M334" s="100" t="s">
        <v>481</v>
      </c>
    </row>
    <row r="335" spans="5:14" ht="20.100000000000001" customHeight="1" x14ac:dyDescent="0.2">
      <c r="E335" s="7"/>
      <c r="F335" s="7"/>
      <c r="G335" s="7"/>
      <c r="H335" s="7"/>
      <c r="I335" s="7"/>
      <c r="J335" s="331" t="str">
        <v>Value Missing</v>
      </c>
      <c r="K335" s="89" t="str">
        <f>CONCATENATE(prefix_mgmt_az1_cidr,"11.106")</f>
        <v>10.11.11.106</v>
      </c>
      <c r="L335" s="347"/>
      <c r="M335" s="100" t="s">
        <v>482</v>
      </c>
    </row>
    <row r="336" spans="5:14" ht="20.100000000000001" customHeight="1" x14ac:dyDescent="0.2">
      <c r="E336" s="7"/>
      <c r="F336" s="7"/>
      <c r="G336" s="7"/>
      <c r="H336" s="7"/>
      <c r="I336" s="7"/>
      <c r="J336" s="331" t="str">
        <v>Value Missing</v>
      </c>
      <c r="K336" s="89" t="str">
        <f>CONCATENATE(prefix_mgmt_az1_cidr,"11.107")</f>
        <v>10.11.11.107</v>
      </c>
      <c r="L336" s="347"/>
      <c r="M336" s="100" t="s">
        <v>483</v>
      </c>
    </row>
    <row r="337" spans="5:13" ht="20.100000000000001" customHeight="1" x14ac:dyDescent="0.2">
      <c r="E337" s="7"/>
      <c r="F337" s="7"/>
      <c r="G337" s="7"/>
      <c r="H337" s="7"/>
      <c r="I337" s="7"/>
      <c r="J337" s="331" t="str">
        <v>Value Missing</v>
      </c>
      <c r="K337" s="89" t="str">
        <f>CONCATENATE(prefix_mgmt_az1_cidr,"11.108")</f>
        <v>10.11.11.108</v>
      </c>
      <c r="L337" s="347"/>
      <c r="M337" s="100" t="s">
        <v>484</v>
      </c>
    </row>
    <row r="338" spans="5:13" ht="20.100000000000001" customHeight="1" x14ac:dyDescent="0.2">
      <c r="E338" s="7"/>
      <c r="F338" s="7"/>
      <c r="G338" s="7"/>
      <c r="H338" s="7"/>
      <c r="I338" s="7"/>
      <c r="J338" s="331" t="str">
        <v>Value Missing</v>
      </c>
      <c r="K338" s="89" t="str">
        <f>CONCATENATE(prefix_mgmt_az1_cidr,"11.109")</f>
        <v>10.11.11.109</v>
      </c>
      <c r="L338" s="347"/>
      <c r="M338" s="100" t="s">
        <v>485</v>
      </c>
    </row>
    <row r="339" spans="5:13" ht="20.100000000000001" customHeight="1" x14ac:dyDescent="0.2">
      <c r="E339" s="7"/>
      <c r="F339" s="7"/>
      <c r="G339" s="7"/>
      <c r="H339" s="7"/>
      <c r="I339" s="7"/>
      <c r="J339" s="331" t="str">
        <v>Value Missing</v>
      </c>
      <c r="K339" s="89" t="str">
        <f>CONCATENATE(prefix_mgmt_az1_cidr,"11.110")</f>
        <v>10.11.11.110</v>
      </c>
      <c r="L339" s="347"/>
      <c r="M339" s="100" t="s">
        <v>486</v>
      </c>
    </row>
    <row r="340" spans="5:13" ht="20.100000000000001" customHeight="1" x14ac:dyDescent="0.2">
      <c r="E340" s="7"/>
      <c r="F340" s="7"/>
      <c r="G340" s="7"/>
      <c r="H340" s="7"/>
      <c r="I340" s="7"/>
      <c r="J340" s="331" t="str">
        <v>Value Missing</v>
      </c>
      <c r="K340" s="89" t="str">
        <f>CONCATENATE(prefix_mgmt_az1_cidr,"11.111")</f>
        <v>10.11.11.111</v>
      </c>
      <c r="L340" s="347"/>
      <c r="M340" s="100" t="s">
        <v>487</v>
      </c>
    </row>
    <row r="341" spans="5:13" ht="20.100000000000001" customHeight="1" x14ac:dyDescent="0.2">
      <c r="E341" s="7"/>
      <c r="F341" s="7"/>
      <c r="G341" s="7"/>
      <c r="H341" s="7"/>
      <c r="I341" s="7"/>
      <c r="J341" s="331" t="str">
        <v>Value Missing</v>
      </c>
      <c r="K341" s="89" t="str">
        <f>CONCATENATE(prefix_mgmt_az1_cidr,"11.112")</f>
        <v>10.11.11.112</v>
      </c>
      <c r="L341" s="347"/>
      <c r="M341" s="100" t="s">
        <v>488</v>
      </c>
    </row>
    <row r="342" spans="5:13" ht="20.100000000000001" customHeight="1" x14ac:dyDescent="0.2">
      <c r="E342" s="7"/>
      <c r="F342" s="7"/>
      <c r="G342" s="7"/>
      <c r="H342" s="7"/>
      <c r="I342" s="7"/>
      <c r="J342" s="331" t="str">
        <v>Value Missing</v>
      </c>
      <c r="K342" s="89" t="str">
        <f>CONCATENATE(prefix_mgmt_az1_cidr,"11.113")</f>
        <v>10.11.11.113</v>
      </c>
      <c r="L342" s="347"/>
      <c r="M342" s="100" t="s">
        <v>489</v>
      </c>
    </row>
    <row r="343" spans="5:13" ht="20.100000000000001" customHeight="1" x14ac:dyDescent="0.2">
      <c r="E343" s="7"/>
      <c r="F343" s="7"/>
      <c r="G343" s="7"/>
      <c r="H343" s="7"/>
      <c r="I343" s="7"/>
      <c r="J343" s="331" t="str">
        <v>Value Missing</v>
      </c>
      <c r="K343" s="89" t="str">
        <f>CONCATENATE(prefix_mgmt_az1_cidr,"11.114")</f>
        <v>10.11.11.114</v>
      </c>
      <c r="L343" s="347"/>
      <c r="M343" s="100" t="s">
        <v>490</v>
      </c>
    </row>
    <row r="344" spans="5:13" ht="20.100000000000001" customHeight="1" x14ac:dyDescent="0.2">
      <c r="E344" s="7"/>
      <c r="F344" s="7"/>
      <c r="G344" s="7"/>
      <c r="H344" s="7"/>
      <c r="I344" s="7"/>
      <c r="J344" s="331" t="str">
        <v>Value Missing</v>
      </c>
      <c r="K344" s="89" t="str">
        <f>CONCATENATE(prefix_mgmt_az1_cidr,"11.115")</f>
        <v>10.11.11.115</v>
      </c>
      <c r="L344" s="347"/>
      <c r="M344" s="100" t="s">
        <v>491</v>
      </c>
    </row>
    <row r="345" spans="5:13" ht="20.100000000000001" customHeight="1" x14ac:dyDescent="0.2">
      <c r="E345" s="7"/>
      <c r="F345" s="7"/>
      <c r="G345" s="7"/>
      <c r="H345" s="7"/>
      <c r="I345" s="7"/>
      <c r="J345" s="331" t="str">
        <v>Value Missing</v>
      </c>
      <c r="K345" s="89" t="str">
        <f>CONCATENATE(prefix_mgmt_az1_cidr,"11.116")</f>
        <v>10.11.11.116</v>
      </c>
      <c r="L345" s="347"/>
      <c r="M345" s="100" t="s">
        <v>492</v>
      </c>
    </row>
    <row r="346" spans="5:13" x14ac:dyDescent="0.2">
      <c r="E346" s="7"/>
      <c r="F346" s="7"/>
      <c r="G346" s="7"/>
      <c r="H346" s="7"/>
      <c r="I346" s="7"/>
    </row>
    <row r="347" spans="5:13" ht="18" hidden="1" x14ac:dyDescent="0.2">
      <c r="E347" s="7"/>
      <c r="F347" s="7"/>
      <c r="G347" s="7"/>
      <c r="H347" s="7"/>
      <c r="I347" s="7"/>
      <c r="J347" s="335" t="s">
        <v>493</v>
      </c>
      <c r="K347" s="335"/>
      <c r="L347" s="335"/>
      <c r="M347" s="335"/>
    </row>
    <row r="348" spans="5:13" ht="15.75" hidden="1" x14ac:dyDescent="0.2">
      <c r="E348" s="7"/>
      <c r="F348" s="7"/>
      <c r="G348" s="7"/>
      <c r="H348" s="7"/>
      <c r="I348" s="7"/>
      <c r="J348" s="4" t="s">
        <v>494</v>
      </c>
      <c r="K348" s="4"/>
      <c r="L348" s="4"/>
      <c r="M348" s="4"/>
    </row>
    <row r="349" spans="5:13" ht="15.75" hidden="1" x14ac:dyDescent="0.2">
      <c r="E349" s="7"/>
      <c r="F349" s="7"/>
      <c r="G349" s="7"/>
      <c r="H349" s="7"/>
      <c r="I349" s="7"/>
      <c r="J349" s="4" t="s">
        <v>495</v>
      </c>
      <c r="K349" s="400" t="s">
        <v>496</v>
      </c>
      <c r="L349" s="400"/>
      <c r="M349" s="347" t="s">
        <v>496</v>
      </c>
    </row>
    <row r="350" spans="5:13" ht="15.75" hidden="1" x14ac:dyDescent="0.2">
      <c r="E350" s="7"/>
      <c r="F350" s="7"/>
      <c r="G350" s="7"/>
      <c r="H350" s="7"/>
      <c r="I350" s="7"/>
      <c r="J350" s="4" t="s">
        <v>497</v>
      </c>
      <c r="K350" s="400" t="str">
        <f>CONCATENATE(this_instance,"-m01-cl01-rp-sddc-mgmt")</f>
        <v>sfo-m01-cl01-rp-sddc-mgmt</v>
      </c>
      <c r="L350" s="400"/>
      <c r="M350" s="347"/>
    </row>
    <row r="351" spans="5:13" ht="15.75" hidden="1" x14ac:dyDescent="0.2">
      <c r="E351" s="7"/>
      <c r="F351" s="7"/>
      <c r="G351" s="7"/>
      <c r="H351" s="7"/>
      <c r="I351" s="7"/>
      <c r="J351" s="4" t="s">
        <v>498</v>
      </c>
      <c r="K351" s="400" t="str">
        <f>CONCATENATE(this_instance,"-m01-cl01-rp-sddc-edge")</f>
        <v>sfo-m01-cl01-rp-sddc-edge</v>
      </c>
      <c r="L351" s="400"/>
      <c r="M351" s="347"/>
    </row>
    <row r="352" spans="5:13" ht="15.75" hidden="1" x14ac:dyDescent="0.2">
      <c r="E352" s="7"/>
      <c r="F352" s="7"/>
      <c r="G352" s="7"/>
      <c r="H352" s="7"/>
      <c r="I352" s="7"/>
      <c r="J352" s="4" t="s">
        <v>499</v>
      </c>
      <c r="K352" s="400" t="str">
        <f>CONCATENATE(this_instance,"-m01-cl01-rp-user-edge")</f>
        <v>sfo-m01-cl01-rp-user-edge</v>
      </c>
      <c r="L352" s="400"/>
      <c r="M352" s="347"/>
    </row>
    <row r="353" spans="5:13" ht="15.75" hidden="1" x14ac:dyDescent="0.2">
      <c r="E353" s="7"/>
      <c r="F353" s="7"/>
      <c r="G353" s="7"/>
      <c r="H353" s="7"/>
      <c r="I353" s="7"/>
      <c r="J353" s="4" t="s">
        <v>500</v>
      </c>
      <c r="K353" s="400" t="str">
        <f>CONCATENATE(this_instance,"-m01-cl01-rp-user-vm")</f>
        <v>sfo-m01-cl01-rp-user-vm</v>
      </c>
      <c r="L353" s="400"/>
      <c r="M353" s="347"/>
    </row>
    <row r="354" spans="5:13" x14ac:dyDescent="0.2">
      <c r="E354" s="7"/>
      <c r="F354" s="7"/>
      <c r="G354" s="7"/>
      <c r="H354" s="7"/>
      <c r="I354" s="7"/>
    </row>
    <row r="355" spans="5:13" x14ac:dyDescent="0.2">
      <c r="E355" s="7"/>
      <c r="F355" s="7"/>
      <c r="G355" s="7"/>
      <c r="H355" s="7"/>
      <c r="I355" s="7"/>
    </row>
    <row r="356" spans="5:13" x14ac:dyDescent="0.2">
      <c r="E356" s="7"/>
      <c r="F356" s="7"/>
      <c r="G356" s="7"/>
      <c r="H356" s="7"/>
      <c r="I356" s="7"/>
    </row>
    <row r="357" spans="5:13" x14ac:dyDescent="0.2">
      <c r="E357" s="7"/>
      <c r="F357" s="7"/>
      <c r="G357" s="7"/>
      <c r="H357" s="7"/>
      <c r="I357" s="7"/>
    </row>
    <row r="358" spans="5:13" x14ac:dyDescent="0.2">
      <c r="E358" s="7"/>
      <c r="F358" s="7"/>
      <c r="G358" s="7"/>
      <c r="H358" s="7"/>
      <c r="I358" s="7"/>
    </row>
    <row r="359" spans="5:13" x14ac:dyDescent="0.2">
      <c r="E359" s="7"/>
      <c r="F359" s="7"/>
      <c r="G359" s="7"/>
      <c r="H359" s="7"/>
      <c r="I359" s="7"/>
    </row>
    <row r="360" spans="5:13" x14ac:dyDescent="0.2">
      <c r="E360" s="7"/>
      <c r="F360" s="7"/>
      <c r="G360" s="7"/>
      <c r="H360" s="7"/>
      <c r="I360" s="7"/>
    </row>
    <row r="361" spans="5:13" x14ac:dyDescent="0.2">
      <c r="E361" s="7"/>
      <c r="F361" s="7"/>
      <c r="G361" s="7"/>
      <c r="H361" s="7"/>
      <c r="I361" s="7"/>
    </row>
    <row r="362" spans="5:13" x14ac:dyDescent="0.2">
      <c r="E362" s="7"/>
      <c r="F362" s="7"/>
      <c r="G362" s="7"/>
      <c r="H362" s="7"/>
      <c r="I362" s="7"/>
    </row>
    <row r="363" spans="5:13" x14ac:dyDescent="0.2">
      <c r="E363" s="7"/>
      <c r="F363" s="7"/>
      <c r="G363" s="7"/>
      <c r="H363" s="7"/>
      <c r="I363" s="7"/>
    </row>
    <row r="364" spans="5:13" x14ac:dyDescent="0.2">
      <c r="E364" s="7"/>
      <c r="F364" s="7"/>
      <c r="G364" s="7"/>
      <c r="H364" s="7"/>
      <c r="I364" s="7"/>
    </row>
    <row r="365" spans="5:13" x14ac:dyDescent="0.2">
      <c r="E365" s="7"/>
      <c r="F365" s="7"/>
      <c r="G365" s="7"/>
      <c r="H365" s="7"/>
      <c r="I365" s="7"/>
    </row>
    <row r="366" spans="5:13" x14ac:dyDescent="0.2">
      <c r="E366" s="7"/>
      <c r="F366" s="7"/>
      <c r="G366" s="7"/>
      <c r="H366" s="7"/>
      <c r="I366" s="7"/>
    </row>
    <row r="367" spans="5:13" x14ac:dyDescent="0.2">
      <c r="E367" s="7"/>
      <c r="F367" s="7"/>
      <c r="G367" s="7"/>
      <c r="H367" s="7"/>
      <c r="I367" s="7"/>
    </row>
    <row r="368" spans="5:13" x14ac:dyDescent="0.2">
      <c r="E368" s="7"/>
      <c r="F368" s="7"/>
      <c r="G368" s="7"/>
      <c r="H368" s="7"/>
      <c r="I368" s="7"/>
    </row>
    <row r="369" spans="5:12" x14ac:dyDescent="0.2">
      <c r="E369" s="7"/>
      <c r="F369" s="7"/>
      <c r="G369" s="7"/>
      <c r="H369" s="7"/>
      <c r="I369" s="7"/>
    </row>
    <row r="370" spans="5:12" x14ac:dyDescent="0.2">
      <c r="E370" s="7"/>
      <c r="F370" s="7"/>
      <c r="G370" s="7"/>
      <c r="H370" s="7"/>
      <c r="I370" s="7"/>
    </row>
    <row r="371" spans="5:12" x14ac:dyDescent="0.2">
      <c r="E371" s="7"/>
      <c r="F371" s="7"/>
      <c r="G371" s="7"/>
      <c r="H371" s="7"/>
      <c r="I371" s="7"/>
    </row>
    <row r="372" spans="5:12" x14ac:dyDescent="0.2">
      <c r="E372" s="7"/>
      <c r="F372" s="7"/>
      <c r="G372" s="7"/>
      <c r="H372" s="7"/>
      <c r="I372" s="7"/>
    </row>
    <row r="373" spans="5:12" x14ac:dyDescent="0.2">
      <c r="E373" s="7"/>
      <c r="F373" s="7"/>
      <c r="G373" s="7"/>
      <c r="H373" s="7"/>
      <c r="I373" s="7"/>
    </row>
    <row r="374" spans="5:12" x14ac:dyDescent="0.2">
      <c r="E374" s="7"/>
      <c r="F374" s="7"/>
      <c r="G374" s="7"/>
      <c r="H374" s="7"/>
      <c r="I374" s="7"/>
    </row>
    <row r="375" spans="5:12" x14ac:dyDescent="0.2">
      <c r="E375" s="7"/>
      <c r="F375" s="7"/>
      <c r="G375" s="7"/>
      <c r="H375" s="7"/>
      <c r="I375" s="7"/>
    </row>
    <row r="376" spans="5:12" x14ac:dyDescent="0.2">
      <c r="E376" s="7"/>
      <c r="F376" s="7"/>
      <c r="G376" s="7"/>
      <c r="H376" s="7"/>
      <c r="I376" s="7"/>
    </row>
    <row r="377" spans="5:12" x14ac:dyDescent="0.2">
      <c r="E377" s="7"/>
      <c r="F377" s="7"/>
      <c r="G377" s="7"/>
      <c r="H377" s="7"/>
      <c r="I377" s="7"/>
    </row>
    <row r="378" spans="5:12" x14ac:dyDescent="0.2">
      <c r="E378" s="7"/>
      <c r="F378" s="7"/>
      <c r="G378" s="7"/>
      <c r="H378" s="7"/>
      <c r="I378" s="7"/>
      <c r="L378" s="8">
        <v>1</v>
      </c>
    </row>
    <row r="379" spans="5:12" x14ac:dyDescent="0.2">
      <c r="E379" s="7"/>
      <c r="F379" s="7"/>
      <c r="G379" s="7"/>
      <c r="H379" s="7"/>
      <c r="I379" s="7"/>
    </row>
    <row r="380" spans="5:12" x14ac:dyDescent="0.2">
      <c r="E380" s="7"/>
      <c r="F380" s="7"/>
      <c r="G380" s="7"/>
      <c r="H380" s="7"/>
      <c r="I380" s="7"/>
    </row>
    <row r="381" spans="5:12" x14ac:dyDescent="0.2">
      <c r="E381" s="7"/>
      <c r="F381" s="7"/>
      <c r="G381" s="7"/>
      <c r="H381" s="7"/>
      <c r="I381" s="7"/>
    </row>
    <row r="382" spans="5:12" x14ac:dyDescent="0.2">
      <c r="E382" s="7"/>
      <c r="F382" s="7"/>
      <c r="G382" s="7"/>
      <c r="H382" s="7"/>
      <c r="I382" s="7"/>
    </row>
    <row r="383" spans="5:12" x14ac:dyDescent="0.2">
      <c r="E383" s="7"/>
      <c r="F383" s="7"/>
      <c r="G383" s="7"/>
      <c r="H383" s="7"/>
      <c r="I383" s="7"/>
    </row>
    <row r="384" spans="5:12"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F1004" s="7"/>
      <c r="G1004" s="7"/>
      <c r="H1004" s="7"/>
      <c r="I1004" s="7"/>
    </row>
    <row r="1005" spans="5:9" x14ac:dyDescent="0.2">
      <c r="F1005" s="7"/>
      <c r="G1005" s="7"/>
      <c r="H1005" s="7"/>
      <c r="I1005" s="7"/>
    </row>
    <row r="1006" spans="5:9" x14ac:dyDescent="0.2">
      <c r="F1006" s="7"/>
      <c r="G1006" s="7"/>
      <c r="H1006" s="7"/>
      <c r="I1006" s="7"/>
    </row>
    <row r="1007" spans="5:9" x14ac:dyDescent="0.2">
      <c r="F1007" s="7"/>
      <c r="G1007" s="7"/>
      <c r="H1007" s="7"/>
      <c r="I1007" s="7"/>
    </row>
    <row r="1008" spans="5:9" x14ac:dyDescent="0.2">
      <c r="F1008" s="7"/>
      <c r="G1008" s="7"/>
      <c r="H1008" s="7"/>
      <c r="I1008" s="7"/>
    </row>
    <row r="1009" spans="6:9" x14ac:dyDescent="0.2">
      <c r="F1009" s="7"/>
      <c r="G1009" s="7"/>
      <c r="H1009" s="7"/>
      <c r="I1009" s="7"/>
    </row>
    <row r="1010" spans="6:9" x14ac:dyDescent="0.2">
      <c r="F1010" s="7"/>
      <c r="G1010" s="7"/>
      <c r="H1010" s="7"/>
      <c r="I1010" s="7"/>
    </row>
    <row r="1011" spans="6:9" x14ac:dyDescent="0.2">
      <c r="F1011" s="7"/>
      <c r="G1011" s="7"/>
      <c r="H1011" s="7"/>
      <c r="I1011" s="7"/>
    </row>
    <row r="1012" spans="6:9" x14ac:dyDescent="0.2">
      <c r="F1012" s="7"/>
      <c r="G1012" s="7"/>
      <c r="H1012" s="7"/>
      <c r="I1012" s="7"/>
    </row>
    <row r="1013" spans="6:9" x14ac:dyDescent="0.2">
      <c r="F1013" s="7"/>
      <c r="G1013" s="7"/>
      <c r="H1013" s="7"/>
      <c r="I1013" s="7"/>
    </row>
    <row r="1014" spans="6:9" x14ac:dyDescent="0.2">
      <c r="F1014" s="7"/>
      <c r="G1014" s="7"/>
      <c r="H1014" s="7"/>
      <c r="I1014" s="7"/>
    </row>
    <row r="1015" spans="6:9" x14ac:dyDescent="0.2">
      <c r="F1015" s="7"/>
      <c r="G1015" s="7"/>
      <c r="H1015" s="7"/>
      <c r="I1015" s="7"/>
    </row>
    <row r="1016" spans="6:9" x14ac:dyDescent="0.2">
      <c r="F1016" s="7"/>
      <c r="G1016" s="7"/>
      <c r="H1016" s="7"/>
      <c r="I1016" s="7"/>
    </row>
    <row r="1017" spans="6:9" x14ac:dyDescent="0.2">
      <c r="F1017" s="7"/>
      <c r="G1017" s="7"/>
      <c r="H1017" s="7"/>
      <c r="I1017" s="7"/>
    </row>
    <row r="1018" spans="6:9" x14ac:dyDescent="0.2">
      <c r="F1018" s="7"/>
      <c r="G1018" s="7"/>
      <c r="H1018" s="7"/>
      <c r="I1018" s="7"/>
    </row>
    <row r="1019" spans="6:9" x14ac:dyDescent="0.2">
      <c r="F1019" s="7"/>
      <c r="G1019" s="7"/>
      <c r="H1019" s="7"/>
      <c r="I1019" s="7"/>
    </row>
    <row r="1020" spans="6:9" x14ac:dyDescent="0.2">
      <c r="F1020" s="7"/>
      <c r="G1020" s="7"/>
      <c r="H1020" s="7"/>
      <c r="I1020" s="7"/>
    </row>
    <row r="1021" spans="6:9" x14ac:dyDescent="0.2">
      <c r="F1021" s="7"/>
      <c r="G1021" s="7"/>
      <c r="H1021" s="7"/>
    </row>
    <row r="1022" spans="6:9" x14ac:dyDescent="0.2">
      <c r="F1022" s="7"/>
      <c r="G1022" s="7"/>
      <c r="H1022" s="7"/>
    </row>
    <row r="1023" spans="6:9" x14ac:dyDescent="0.2">
      <c r="F1023" s="7"/>
      <c r="G1023" s="7"/>
      <c r="H1023" s="7"/>
    </row>
  </sheetData>
  <sheetProtection algorithmName="SHA-512" hashValue="cpGiAo/d7zv2Rfje5hustbeU0j0GmSHC5XZQxwLqXXD5sYO2as9uG6b4lVBcRJY9CoXLB872oX6fq1UpiT8yKw==" saltValue="v3hmXoyOYbkVvQ2gkoyuqg==" spinCount="100000" sheet="1" selectLockedCells="1"/>
  <mergeCells count="53">
    <mergeCell ref="K349:L349"/>
    <mergeCell ref="J304:M304"/>
    <mergeCell ref="J262:M262"/>
    <mergeCell ref="J263:M263"/>
    <mergeCell ref="J180:M180"/>
    <mergeCell ref="J181:M181"/>
    <mergeCell ref="J273:M273"/>
    <mergeCell ref="J278:M278"/>
    <mergeCell ref="J283:M283"/>
    <mergeCell ref="J290:M290"/>
    <mergeCell ref="J297:M297"/>
    <mergeCell ref="J145:M145"/>
    <mergeCell ref="J146:M146"/>
    <mergeCell ref="J152:M152"/>
    <mergeCell ref="J158:M158"/>
    <mergeCell ref="J165:M165"/>
    <mergeCell ref="J125:M125"/>
    <mergeCell ref="J124:M124"/>
    <mergeCell ref="J101:M101"/>
    <mergeCell ref="J74:M74"/>
    <mergeCell ref="J75:M75"/>
    <mergeCell ref="J113:M113"/>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K351:L351"/>
    <mergeCell ref="K350:L350"/>
    <mergeCell ref="K352:L352"/>
    <mergeCell ref="K353:L353"/>
    <mergeCell ref="B2:M2"/>
    <mergeCell ref="B3:M3"/>
    <mergeCell ref="J62:M62"/>
    <mergeCell ref="J198:M198"/>
    <mergeCell ref="J209:M209"/>
    <mergeCell ref="J245:M245"/>
    <mergeCell ref="J251:M251"/>
    <mergeCell ref="J172:M172"/>
    <mergeCell ref="J64:M64"/>
    <mergeCell ref="J6:M6"/>
    <mergeCell ref="J7:M7"/>
    <mergeCell ref="J87:M87"/>
  </mergeCells>
  <phoneticPr fontId="59" type="noConversion"/>
  <conditionalFormatting sqref="C16:G16">
    <cfRule type="expression" dxfId="1749" priority="78">
      <formula>OR((mgmt_domain_existing_vcf_operations_chosen="Selected"),(mgmt_domain_chosen="Deploy a VCF Instance in an existing VCF fleet"))</formula>
    </cfRule>
  </conditionalFormatting>
  <conditionalFormatting sqref="E23 E25">
    <cfRule type="expression" dxfId="1748" priority="77">
      <formula>mgmt_domain_existing_vcenter_chosen="Selected"</formula>
    </cfRule>
  </conditionalFormatting>
  <conditionalFormatting sqref="E24 C17:G17 E26">
    <cfRule type="expression" dxfId="1747" priority="368">
      <formula>mgmt_domain_deployment_type_chosen="VMware vSphere Foundation"</formula>
    </cfRule>
  </conditionalFormatting>
  <conditionalFormatting sqref="E24">
    <cfRule type="expression" dxfId="1746" priority="76">
      <formula>mgmt_domain_existing_nsx_manager_chosen="Selected"</formula>
    </cfRule>
  </conditionalFormatting>
  <conditionalFormatting sqref="E18:G18">
    <cfRule type="expression" dxfId="1745" priority="370">
      <formula>mgmt_domain_existing_vcf_automation_result="Included"</formula>
    </cfRule>
  </conditionalFormatting>
  <conditionalFormatting sqref="J306">
    <cfRule type="expression" dxfId="1744" priority="30">
      <formula>mgmt_domain_ops_automation_later_chosen="Selected"</formula>
    </cfRule>
    <cfRule type="expression" dxfId="1743" priority="31">
      <formula>mgmt_domain_deployment_type_chosen="VMware vSphere Foundation"</formula>
    </cfRule>
  </conditionalFormatting>
  <conditionalFormatting sqref="J308:J311">
    <cfRule type="expression" dxfId="1742" priority="28">
      <formula>mgmt_domain_ops_automation_later_chosen="Selected"</formula>
    </cfRule>
    <cfRule type="expression" dxfId="1741" priority="29">
      <formula>mgmt_domain_deployment_type_chosen="VMware vSphere Foundation"</formula>
    </cfRule>
  </conditionalFormatting>
  <conditionalFormatting sqref="J313">
    <cfRule type="expression" dxfId="1740" priority="26">
      <formula>mgmt_domain_ops_automation_later_chosen="Selected"</formula>
    </cfRule>
    <cfRule type="expression" dxfId="1739" priority="27">
      <formula>mgmt_domain_deployment_type_chosen="VMware vSphere Foundation"</formula>
    </cfRule>
  </conditionalFormatting>
  <conditionalFormatting sqref="J315:J319">
    <cfRule type="expression" dxfId="1738" priority="23">
      <formula>mgmt_domain_ops_automation_later_chosen="Selected"</formula>
    </cfRule>
    <cfRule type="expression" dxfId="1737" priority="24">
      <formula>mgmt_domain_deployment_type_chosen="VMware vSphere Foundation"</formula>
    </cfRule>
    <cfRule type="expression" dxfId="1736" priority="25">
      <formula>mgmt_domain_existing_vcf_operations_chosen="Selected"</formula>
    </cfRule>
  </conditionalFormatting>
  <conditionalFormatting sqref="J321 L321">
    <cfRule type="expression" dxfId="1735" priority="69">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notContainsBlanks" dxfId="1734" priority="1407">
      <formula>LEN(TRIM(J9))&gt;0</formula>
    </cfRule>
  </conditionalFormatting>
  <conditionalFormatting sqref="L9:L19 L24:L25 L30:L32 L37:L41 L43:L45 L47:L50 L56:L63 L65:L68 L70:L72 L77:L85 L90:L98 L103: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containsBlanks" dxfId="1733" priority="1408">
      <formula>LEN(TRIM(J9))=0</formula>
    </cfRule>
  </conditionalFormatting>
  <conditionalFormatting sqref="L10:L11">
    <cfRule type="expression" dxfId="1731" priority="366">
      <formula>mgmt_offline_depot_chosen="Online"</formula>
    </cfRule>
  </conditionalFormatting>
  <conditionalFormatting sqref="L14:L19">
    <cfRule type="expression" dxfId="1730" priority="353">
      <formula>mgmt_internet_proxy_chosen="Unselected"</formula>
    </cfRule>
  </conditionalFormatting>
  <conditionalFormatting sqref="L18:L19">
    <cfRule type="expression" dxfId="1729" priority="343">
      <formula>mgmt_internet_proxy_auth="Unselected"</formula>
    </cfRule>
    <cfRule type="expression" dxfId="1728" priority="107">
      <formula>mgmt_internet_proxy_auth_chosen="Unselected"</formula>
    </cfRule>
  </conditionalFormatting>
  <conditionalFormatting sqref="L30 L58:L59 L63 L65:L68 L70:L72 L77:L85 L306 L309:L311 L313 L103:L111 L265:L269 L246:L250 L252:L260 L32 L38:L41 L322 L325:L328">
    <cfRule type="expression" dxfId="1727" priority="93">
      <formula>mgmt_domain_deployment_type_chosen="VMware vSphere Foundation"</formula>
    </cfRule>
  </conditionalFormatting>
  <conditionalFormatting sqref="L32">
    <cfRule type="expression" dxfId="1726" priority="341">
      <formula>mgmt_domain_existing_vcenter_chosen="Unselected"</formula>
    </cfRule>
  </conditionalFormatting>
  <conditionalFormatting sqref="L40">
    <cfRule type="expression" dxfId="1725" priority="347" stopIfTrue="1">
      <formula>mgmt_domain_existing_vcf_operations_result="Excluded"</formula>
    </cfRule>
    <cfRule type="expression" dxfId="1724" priority="339">
      <formula>mgmt_domain_vcf_operations_ha_mode_chosen="Simple (Single Node)"</formula>
    </cfRule>
  </conditionalFormatting>
  <conditionalFormatting sqref="L43:L45 L47:L48">
    <cfRule type="expression" dxfId="1723" priority="92">
      <formula>mgmt_domain_existing_vcenter_chosen="Selected"</formula>
    </cfRule>
  </conditionalFormatting>
  <conditionalFormatting sqref="L49:L50">
    <cfRule type="expression" dxfId="1722" priority="344">
      <formula>mgmt_domain_existing_vcenter_result="Excluded"</formula>
    </cfRule>
    <cfRule type="expression" dxfId="1721" priority="345">
      <formula>mgmt_domain_existing_vcf_operations_result="Excluded"</formula>
    </cfRule>
  </conditionalFormatting>
  <conditionalFormatting sqref="L58:L59 L63 L82:L83 L106:L107 L309:L311 L313 J309:J311 J318:J319 L318:L319">
    <cfRule type="expression" dxfId="1720" priority="189" stopIfTrue="1">
      <formula>mgmt_domain_vcf_operations_ha_mode_chosen="Simple (Single-Node)"</formula>
    </cfRule>
  </conditionalFormatting>
  <conditionalFormatting sqref="L60:L61">
    <cfRule type="expression" dxfId="1719" priority="338">
      <formula>AND((mgmt_domain_existing_vcf_operations_chosen="Unselected"),(mgmt_domain_password_creation_chosen="Selected"),(vcf_granular_option_chosen="Deploy a new VCF Fleet"))</formula>
    </cfRule>
  </conditionalFormatting>
  <conditionalFormatting sqref="L61">
    <cfRule type="expression" dxfId="1718" priority="70">
      <formula>vcf_granular_option_chosen="Deploy a VCF Instance in an existing VCF Fleet"</formula>
    </cfRule>
  </conditionalFormatting>
  <conditionalFormatting sqref="L66:L68 L71">
    <cfRule type="expression" dxfId="1717" priority="335">
      <formula>mgmt_domain_password_creation_chosen="Selected"</formula>
    </cfRule>
  </conditionalFormatting>
  <conditionalFormatting sqref="L67">
    <cfRule type="expression" dxfId="1716" priority="81">
      <formula>AND((mgmt_domain_password_creation_chosen="Selected"),(mgmt_domain_chosen="Deploy a new VCF fleet"))</formula>
    </cfRule>
  </conditionalFormatting>
  <conditionalFormatting sqref="L67:L68">
    <cfRule type="expression" dxfId="1715" priority="113">
      <formula>mgmt_flt_fm_reuse_password_chosen="Selected"</formula>
    </cfRule>
  </conditionalFormatting>
  <conditionalFormatting sqref="L72">
    <cfRule type="expression" dxfId="1714" priority="80">
      <formula>mgmt_domain_password_creation_chosen="Selected"</formula>
    </cfRule>
    <cfRule type="expression" dxfId="1713" priority="106">
      <formula>mgmt_ops_collector_reuse_password_chosen="Selected"</formula>
    </cfRule>
  </conditionalFormatting>
  <conditionalFormatting sqref="L77:L85 L56:L63 L65:L68 L70:L72">
    <cfRule type="expression" dxfId="1712" priority="337">
      <formula>mgmt_domain_ops_automation_later_chosen="Selected"</formula>
    </cfRule>
  </conditionalFormatting>
  <conditionalFormatting sqref="L79">
    <cfRule type="expression" dxfId="1711" priority="79">
      <formula>AND((mgmt_domain_existing_vcf_operations_chosen="Unselected"),(mgmt_domain_password_creation_chosen="Selected"),(mgmt_domain_chosen="First Instance"))</formula>
    </cfRule>
  </conditionalFormatting>
  <conditionalFormatting sqref="L80:L84 L311 L315:L319 L25">
    <cfRule type="expression" dxfId="1710" priority="190" stopIfTrue="1">
      <formula>mgmt_domain_deployment_type_chosen="VMware vSphere Foundation"</formula>
    </cfRule>
  </conditionalFormatting>
  <conditionalFormatting sqref="L80:L85">
    <cfRule type="expression" dxfId="1709" priority="250">
      <formula>mgmt_domain_existing_vcf_automation_result="Included"</formula>
    </cfRule>
  </conditionalFormatting>
  <conditionalFormatting sqref="L96">
    <cfRule type="expression" dxfId="1708" priority="91">
      <formula>mgmt_domain_existing_vcenter_chosen="Unselected"</formula>
    </cfRule>
  </conditionalFormatting>
  <conditionalFormatting sqref="L97:L98">
    <cfRule type="expression" dxfId="1707" priority="324">
      <formula>AND((mgmt_domain_existing_vcenter_chosen="Unselected"),(mgmt_domain_password_creation_chosen="Selected"))</formula>
    </cfRule>
  </conditionalFormatting>
  <conditionalFormatting sqref="L105:L107 L103 L326:L328 J326:J328">
    <cfRule type="expression" dxfId="1706" priority="336">
      <formula>mgmt_domain_existing_nsx_manager_chosen="Selected"</formula>
    </cfRule>
  </conditionalFormatting>
  <conditionalFormatting sqref="L108:L110">
    <cfRule type="expression" dxfId="1705" priority="75">
      <formula>AND((mgmt_domain_existing_nsx_manager_chosen="Unselected"),(mgmt_domain_password_creation_chosen="Selected"))</formula>
    </cfRule>
  </conditionalFormatting>
  <conditionalFormatting sqref="L111">
    <cfRule type="expression" dxfId="1704" priority="187">
      <formula>mgmt_domain_existing_nsx_manager_chosen="Unselected"</formula>
    </cfRule>
  </conditionalFormatting>
  <conditionalFormatting sqref="L118:L119">
    <cfRule type="expression" dxfId="1703" priority="348">
      <formula>mgmt_principal_storage_chosen&lt;&gt;"vSAN-OSA"</formula>
    </cfRule>
  </conditionalFormatting>
  <conditionalFormatting sqref="L120:L122">
    <cfRule type="expression" dxfId="1702" priority="352">
      <formula>mgmt_principal_storage_chosen&lt;&gt;"NFSv3"</formula>
    </cfRule>
  </conditionalFormatting>
  <conditionalFormatting sqref="L132:L143">
    <cfRule type="notContainsBlanks" dxfId="1701" priority="142">
      <formula>LEN(TRIM(L132))&gt;0</formula>
    </cfRule>
    <cfRule type="containsBlanks" dxfId="1700" priority="141">
      <formula>LEN(TRIM(L132))=0</formula>
    </cfRule>
  </conditionalFormatting>
  <conditionalFormatting sqref="L163:L164">
    <cfRule type="notContainsBlanks" dxfId="1699" priority="176" stopIfTrue="1">
      <formula>LEN(TRIM(L163))&gt;0</formula>
    </cfRule>
    <cfRule type="containsBlanks" dxfId="1698" priority="175" stopIfTrue="1">
      <formula>LEN(TRIM(L163))=0</formula>
    </cfRule>
  </conditionalFormatting>
  <conditionalFormatting sqref="L166:L171">
    <cfRule type="expression" dxfId="1697" priority="179">
      <formula>OR((mgmt_principal_storage_chosen="VMFS on Fibre Channel (FC)"),(mgmt_principal_storage_chosen="NFSv3"))</formula>
    </cfRule>
  </conditionalFormatting>
  <conditionalFormatting sqref="L170:L171 L177:L178">
    <cfRule type="containsBlanks" dxfId="1696" priority="180" stopIfTrue="1">
      <formula>LEN(TRIM(L170))=0</formula>
    </cfRule>
    <cfRule type="notContainsBlanks" dxfId="1695" priority="266" stopIfTrue="1">
      <formula>LEN(TRIM(L170))&gt;0</formula>
    </cfRule>
  </conditionalFormatting>
  <conditionalFormatting sqref="L173:L176">
    <cfRule type="notContainsBlanks" dxfId="1693" priority="89">
      <formula>LEN(TRIM(L173))&gt;0</formula>
    </cfRule>
    <cfRule type="containsBlanks" dxfId="1692" priority="90">
      <formula>LEN(TRIM(L173))=0</formula>
    </cfRule>
    <cfRule type="expression" dxfId="1691" priority="86">
      <formula>mgmt_domain_existing_vcenter_chosen="Selected"</formula>
    </cfRule>
    <cfRule type="expression" dxfId="1690" priority="87">
      <formula>mgmt_principal_storage_chosen="VMFS on Fibre Channel (FC)"</formula>
    </cfRule>
  </conditionalFormatting>
  <conditionalFormatting sqref="L173:L178">
    <cfRule type="expression" dxfId="1689" priority="85">
      <formula>mgmt_principal_storage_chosen&lt;&gt;"NFSv3"</formula>
    </cfRule>
  </conditionalFormatting>
  <conditionalFormatting sqref="L188:L194">
    <cfRule type="notContainsBlanks" dxfId="1688" priority="170">
      <formula>LEN(TRIM(L188))&gt;0</formula>
    </cfRule>
    <cfRule type="containsBlanks" dxfId="1687" priority="171">
      <formula>LEN(TRIM(L188))=0</formula>
    </cfRule>
  </conditionalFormatting>
  <conditionalFormatting sqref="L188:L197 L200:L208 L212 L217:L219 L221:L224 L226:L229 L231:L234 L236:L239 L241:L244 L246:L250 L252:L260 L91:L95 L113:L114 L116:L143 L145:L157 L159:L164 L166:L171 L183 J330:J345 L330:L345">
    <cfRule type="expression" dxfId="1686" priority="67">
      <formula>mgmt_domain_existing_vcenter_chosen="Selected"</formula>
    </cfRule>
  </conditionalFormatting>
  <conditionalFormatting sqref="L188:L197 L221:L224 L226:L229 L231:L234 L199:L208 L210:L219 L246:L250 L236:L239 L241:L244 L252:L260">
    <cfRule type="expression" dxfId="1685" priority="66">
      <formula>mgmt_cl01_vds_profile_chosen="Custom Switch Configuration"</formula>
    </cfRule>
  </conditionalFormatting>
  <conditionalFormatting sqref="L190">
    <cfRule type="expression" dxfId="1684" priority="4">
      <formula>M190="VDS LAG / LACP is not supported on this VDS with the chosen VDS profile"</formula>
    </cfRule>
  </conditionalFormatting>
  <conditionalFormatting sqref="L191:L194">
    <cfRule type="expression" dxfId="1683" priority="22">
      <formula>mgmt_cl01_vds01_link_type_chosen="VDS Uplinks"</formula>
    </cfRule>
  </conditionalFormatting>
  <conditionalFormatting sqref="L198:L208 L253 L260">
    <cfRule type="containsBlanks" dxfId="1682" priority="162">
      <formula>LEN(TRIM(L198))=0</formula>
    </cfRule>
  </conditionalFormatting>
  <conditionalFormatting sqref="L199">
    <cfRule type="containsBlanks" dxfId="1681" priority="119">
      <formula>LEN(TRIM(L199))=0</formula>
    </cfRule>
    <cfRule type="notContainsBlanks" dxfId="1680" priority="118">
      <formula>LEN(TRIM(L199))&gt;0</formula>
    </cfRule>
  </conditionalFormatting>
  <conditionalFormatting sqref="L199:L208 L210:L219">
    <cfRule type="expression" dxfId="1679" priority="73">
      <formula>mgmt_cl01_vds_profile_chosen="Default"</formula>
    </cfRule>
  </conditionalFormatting>
  <conditionalFormatting sqref="L201">
    <cfRule type="expression" dxfId="1678" priority="1">
      <formula>M201="VDS LAG / LACP is not supported on this VDS with the chosen VDS profile and Primary VDS Lag configuration"</formula>
    </cfRule>
    <cfRule type="expression" dxfId="1677" priority="3">
      <formula>M201="VDS LAG / LACP is not supported on this VDS with the chosen VDS profile"</formula>
    </cfRule>
  </conditionalFormatting>
  <conditionalFormatting sqref="L202:L205">
    <cfRule type="expression" dxfId="1676" priority="20">
      <formula>mgmt_cl01_vds02_link_type_chosen="VDS Uplinks"</formula>
    </cfRule>
  </conditionalFormatting>
  <conditionalFormatting sqref="L210:L216">
    <cfRule type="containsBlanks" dxfId="1675" priority="126">
      <formula>LEN(TRIM(L210))=0</formula>
    </cfRule>
    <cfRule type="notContainsBlanks" dxfId="1674" priority="246">
      <formula>LEN(TRIM(L210))&gt;0</formula>
    </cfRule>
    <cfRule type="expression" dxfId="1673" priority="114">
      <formula>mgmt_domain_result="Excluded"</formula>
    </cfRule>
  </conditionalFormatting>
  <conditionalFormatting sqref="L210:L219">
    <cfRule type="expression" dxfId="1672" priority="115" stopIfTrue="1">
      <formula>mgmt_cl01_vds_profile_chosen="NSX Traffic Separation"</formula>
    </cfRule>
    <cfRule type="expression" dxfId="1671" priority="112">
      <formula>mgmt_cl01_vds_profile_chosen="Storage Traffic Separation"</formula>
    </cfRule>
  </conditionalFormatting>
  <conditionalFormatting sqref="L213:L216">
    <cfRule type="expression" dxfId="1670" priority="18">
      <formula>mgmt_cl01_vds03_link_type_chosen="VDS Uplinks"</formula>
    </cfRule>
  </conditionalFormatting>
  <conditionalFormatting sqref="L221">
    <cfRule type="notContainsBlanks" dxfId="1669" priority="8">
      <formula>LEN(TRIM(L221))&gt;0</formula>
    </cfRule>
    <cfRule type="containsBlanks" dxfId="1668" priority="7">
      <formula>LEN(TRIM(L221))=0</formula>
    </cfRule>
  </conditionalFormatting>
  <conditionalFormatting sqref="L222:L224 L227:L229 L232:L234">
    <cfRule type="expression" dxfId="1667" priority="21">
      <formula>mgmt_cl01_vds01_link_type_chosen="VDS LAG"</formula>
    </cfRule>
  </conditionalFormatting>
  <conditionalFormatting sqref="L226">
    <cfRule type="containsBlanks" dxfId="1666" priority="139">
      <formula>LEN(TRIM(L226))=0</formula>
    </cfRule>
    <cfRule type="notContainsBlanks" dxfId="1665" priority="140">
      <formula>LEN(TRIM(L226))&gt;0</formula>
    </cfRule>
  </conditionalFormatting>
  <conditionalFormatting sqref="L231">
    <cfRule type="containsBlanks" dxfId="1664" priority="133">
      <formula>LEN(TRIM(L231))=0</formula>
    </cfRule>
    <cfRule type="notContainsBlanks" dxfId="1663" priority="134">
      <formula>LEN(TRIM(L231))&gt;0</formula>
    </cfRule>
  </conditionalFormatting>
  <conditionalFormatting sqref="L236">
    <cfRule type="notContainsBlanks" dxfId="1662" priority="131">
      <formula>LEN(TRIM(L236))&gt;0</formula>
    </cfRule>
    <cfRule type="containsBlanks" dxfId="1661" priority="130">
      <formula>LEN(TRIM(L236))=0</formula>
    </cfRule>
  </conditionalFormatting>
  <conditionalFormatting sqref="L236:L239">
    <cfRule type="expression" dxfId="1660" priority="68">
      <formula>OR((mgmt_principal_storage_chosen="VMFS on Fibre Channel (FC)"),(mgmt_principal_storage_chosen="NFSv3"))</formula>
    </cfRule>
  </conditionalFormatting>
  <conditionalFormatting sqref="L237:L239">
    <cfRule type="expression" dxfId="1659" priority="9">
      <formula>AND((mgmt_cl01_vds_profile_chosen="NSX Traffic Separation"),(mgmt_cl01_vds01_link_type_chosen="VDS Lag"))</formula>
    </cfRule>
    <cfRule type="expression" dxfId="1658" priority="10">
      <formula>AND((mgmt_cl01_vds_profile_chosen="Storage Traffic and NSX Traffic Separation"),(mgmt_cl01_vds02_link_type_chosen="VDS Lag"))</formula>
    </cfRule>
    <cfRule type="expression" dxfId="1657" priority="11">
      <formula>AND((mgmt_cl01_vds_profile_chosen="Storage Traffic Separation"),(mgmt_cl01_vds02_link_type_chosen="VDS Lag"))</formula>
    </cfRule>
    <cfRule type="expression" dxfId="1656" priority="12">
      <formula>AND((mgmt_cl01_vds_profile_chosen="Default"),(mgmt_cl01_vds01_link_type_chosen="VDS Lag"))</formula>
    </cfRule>
  </conditionalFormatting>
  <conditionalFormatting sqref="L241">
    <cfRule type="containsBlanks" dxfId="1655" priority="71">
      <formula>LEN(TRIM(L241))=0</formula>
    </cfRule>
    <cfRule type="notContainsBlanks" dxfId="1654" priority="116">
      <formula>LEN(TRIM(L241))&gt;0</formula>
    </cfRule>
  </conditionalFormatting>
  <conditionalFormatting sqref="L241:L244">
    <cfRule type="expression" dxfId="1653" priority="63">
      <formula>mgmt_principal_storage_chosen&lt;&gt;"NFSv3"</formula>
    </cfRule>
  </conditionalFormatting>
  <conditionalFormatting sqref="L247">
    <cfRule type="expression" dxfId="1652" priority="84">
      <formula>mgmt_nsx_default_operation_mode_chosen="Selected"</formula>
    </cfRule>
  </conditionalFormatting>
  <conditionalFormatting sqref="L248:L250">
    <cfRule type="expression" dxfId="1651" priority="16">
      <formula>AND((mgmt_cl01_vds_profile_chosen="NSX Traffic Separation"),(mgmt_cl01_vds02_link_type_chosen="VDS Lag"))</formula>
    </cfRule>
    <cfRule type="expression" dxfId="1650" priority="15">
      <formula>AND((mgmt_cl01_vds_profile_chosen="Storage Traffic and NSX Traffic Separation"),(mgmt_cl01_vds03_link_type_chosen="VDS Lag"))</formula>
    </cfRule>
    <cfRule type="expression" dxfId="1649" priority="13">
      <formula>AND((mgmt_cl01_vds_profile_chosen="Default"),(mgmt_cl01_vds01_link_type_chosen="VDS Lag"))</formula>
    </cfRule>
    <cfRule type="expression" dxfId="1648" priority="14">
      <formula>AND((mgmt_cl01_vds_profile_chosen="Storage Traffic Separation"),(mgmt_cl01_vds01_link_type_chosen="VDS Lag"))</formula>
    </cfRule>
  </conditionalFormatting>
  <conditionalFormatting sqref="L254">
    <cfRule type="expression" dxfId="1647" priority="120">
      <formula>vcf_granular_option_chosen="None Selected"</formula>
    </cfRule>
    <cfRule type="expression" dxfId="1646" priority="121" stopIfTrue="1">
      <formula>OR((vcf_granular_option_chosen="Cluster"),(vcf_granular_option_chosen="None Chosen"))</formula>
    </cfRule>
    <cfRule type="expression" dxfId="1645" priority="122">
      <formula>mgmt_domain_deployment_type_chosen="VVF"</formula>
    </cfRule>
    <cfRule type="expression" dxfId="1644" priority="124">
      <formula>(vcf_version_result&lt;&gt;"Excluded")</formula>
    </cfRule>
    <cfRule type="expression" dxfId="1643" priority="125">
      <formula>(vcf_version_result="Excluded")</formula>
    </cfRule>
  </conditionalFormatting>
  <conditionalFormatting sqref="L255:L256">
    <cfRule type="notContainsBlanks" dxfId="1642" priority="163">
      <formula>LEN(TRIM(L255))&gt;0</formula>
    </cfRule>
    <cfRule type="containsBlanks" dxfId="1641" priority="157">
      <formula>LEN(TRIM(L255))=0</formula>
    </cfRule>
  </conditionalFormatting>
  <conditionalFormatting sqref="L255:L260">
    <cfRule type="expression" dxfId="1640" priority="151">
      <formula>mgmt_host_overlay_addressing_chosen&lt;&gt;"IP Pool"</formula>
    </cfRule>
  </conditionalFormatting>
  <conditionalFormatting sqref="L257">
    <cfRule type="notContainsBlanks" dxfId="1639" priority="154" stopIfTrue="1">
      <formula>LEN(TRIM(L257))&gt;0</formula>
    </cfRule>
    <cfRule type="containsBlanks" dxfId="1638" priority="156">
      <formula>LEN(TRIM(L257))=0</formula>
    </cfRule>
  </conditionalFormatting>
  <conditionalFormatting sqref="L258:L259">
    <cfRule type="containsBlanks" dxfId="1637" priority="164" stopIfTrue="1">
      <formula>LEN(TRIM(L258))=0</formula>
    </cfRule>
    <cfRule type="notContainsBlanks" dxfId="1636" priority="165" stopIfTrue="1">
      <formula>LEN(TRIM(L258))&gt;0</formula>
    </cfRule>
  </conditionalFormatting>
  <conditionalFormatting sqref="L260 L198:L208 L253">
    <cfRule type="notContainsBlanks" dxfId="1635" priority="161" stopIfTrue="1">
      <formula>LEN(TRIM(L198))&gt;0</formula>
    </cfRule>
  </conditionalFormatting>
  <conditionalFormatting sqref="L267:L269">
    <cfRule type="expression" dxfId="1634" priority="74">
      <formula>mgmt_domain_password_creation_chosen="Selected"</formula>
    </cfRule>
  </conditionalFormatting>
  <conditionalFormatting sqref="L274:L277 L282 L284:L289 L291:L296 L298:L303">
    <cfRule type="notContainsBlanks" dxfId="1633" priority="62">
      <formula>LEN(TRIM(L274))&gt;0</formula>
    </cfRule>
  </conditionalFormatting>
  <conditionalFormatting sqref="L279">
    <cfRule type="containsBlanks" dxfId="1630" priority="45">
      <formula>LEN(TRIM(L279))=0</formula>
    </cfRule>
    <cfRule type="notContainsBlanks" dxfId="1629" priority="47">
      <formula>LEN(TRIM(L279))&gt;0</formula>
    </cfRule>
  </conditionalFormatting>
  <conditionalFormatting sqref="L280">
    <cfRule type="notContainsBlanks" dxfId="1628" priority="39">
      <formula>LEN(TRIM(L280))&gt;0</formula>
    </cfRule>
    <cfRule type="containsBlanks" dxfId="1627" priority="38">
      <formula>LEN(TRIM(L280))=0</formula>
    </cfRule>
  </conditionalFormatting>
  <conditionalFormatting sqref="L281:L282">
    <cfRule type="notContainsBlanks" dxfId="1625" priority="43">
      <formula>LEN(TRIM(L281))&gt;0</formula>
    </cfRule>
    <cfRule type="containsBlanks" dxfId="1623" priority="41">
      <formula>LEN(TRIM(L281))=0</formula>
    </cfRule>
  </conditionalFormatting>
  <conditionalFormatting sqref="L282 L274:L277 L284:L289 L291:L296 L298:L303">
    <cfRule type="containsBlanks" dxfId="1622" priority="60">
      <formula>LEN(TRIM(L274))=0</formula>
    </cfRule>
  </conditionalFormatting>
  <conditionalFormatting sqref="L290">
    <cfRule type="containsBlanks" dxfId="1620" priority="54">
      <formula>LEN(TRIM(L290))=0</formula>
    </cfRule>
    <cfRule type="expression" dxfId="1619" priority="51">
      <formula>input_mgmt_principal_storage_chosen="VMFS on Fibre Channel (FC)"</formula>
    </cfRule>
    <cfRule type="expression" dxfId="1618" priority="52">
      <formula>mgmt_domain_existing_vcenter_chosen="Selected"</formula>
    </cfRule>
  </conditionalFormatting>
  <conditionalFormatting sqref="L297 L273">
    <cfRule type="expression" dxfId="1617" priority="56">
      <formula>mgmt_domain_existing_vcenter_chosen="Selected"</formula>
    </cfRule>
  </conditionalFormatting>
  <conditionalFormatting sqref="L297 L290">
    <cfRule type="notContainsBlanks" dxfId="1616" priority="58">
      <formula>LEN(TRIM(L290))&gt;0</formula>
    </cfRule>
  </conditionalFormatting>
  <conditionalFormatting sqref="L297">
    <cfRule type="expression" dxfId="1615" priority="55">
      <formula>input_mgmt_principal_storage_chosen="VMFS on Fibre Channel (FC)"</formula>
    </cfRule>
    <cfRule type="containsBlanks" dxfId="1613" priority="59">
      <formula>LEN(TRIM(L297))=0</formula>
    </cfRule>
  </conditionalFormatting>
  <conditionalFormatting sqref="L306 L308:L311 L313 L315:L319">
    <cfRule type="expression" dxfId="1612" priority="32">
      <formula>mgmt_domain_ops_automation_later_chosen="Selected"</formula>
    </cfRule>
  </conditionalFormatting>
  <conditionalFormatting sqref="L306 L309:L310 L313 L316:L319 J306 J308:J311 J313 J315:J319 L30 L56 L58:L59 L63 L65:L66 L68 L71 L77 L80:L85">
    <cfRule type="expression" dxfId="1611" priority="83">
      <formula>vcf_granular_option_chosen="Deploy a VCF Instance in an existing VCF Fleet"</formula>
    </cfRule>
  </conditionalFormatting>
  <conditionalFormatting sqref="L309:L311 L58:L59 L63 J308:J311 L313 L65:L68 L70:L72 L306 L56 J306 J313">
    <cfRule type="expression" dxfId="1610" priority="351">
      <formula>mgmt_domain_existing_vcf_operations_chosen="Selected"</formula>
    </cfRule>
  </conditionalFormatting>
  <conditionalFormatting sqref="L315:L319 L78:L85 J315:J319">
    <cfRule type="expression" dxfId="1609" priority="315">
      <formula>mgmt_domain_vcf_automation_later_chosen="Selected"</formula>
    </cfRule>
  </conditionalFormatting>
  <conditionalFormatting sqref="L316:L319">
    <cfRule type="expression" dxfId="1608" priority="298">
      <formula>mgmt_domain_existing_vcf_automation_result="Included"</formula>
    </cfRule>
  </conditionalFormatting>
  <conditionalFormatting sqref="L321">
    <cfRule type="expression" dxfId="1607" priority="249">
      <formula>mgmt_domain_vcf_installer_mode_result="Excluded"</formula>
    </cfRule>
  </conditionalFormatting>
  <conditionalFormatting sqref="M190">
    <cfRule type="expression" dxfId="1606" priority="6">
      <formula>M190="VDS LAG / LACP is not supported on this VDS with the chosen VDS profile"</formula>
    </cfRule>
  </conditionalFormatting>
  <conditionalFormatting sqref="M201">
    <cfRule type="expression" dxfId="1605" priority="5">
      <formula>M201="VDS LAG / LACP is not supported on this VDS with the chosen VDS profile"</formula>
    </cfRule>
    <cfRule type="expression" dxfId="1604" priority="2">
      <formula>M201="VDS LAG / LACP is not supported on this VDS with the chosen VDS profile and Primary VDS Lag configuration"</formula>
    </cfRule>
  </conditionalFormatting>
  <conditionalFormatting sqref="M349">
    <cfRule type="notContainsBlanks" dxfId="1603" priority="111">
      <formula>LEN(TRIM(M349))&gt;0</formula>
    </cfRule>
  </conditionalFormatting>
  <conditionalFormatting sqref="M349:M353">
    <cfRule type="expression" dxfId="1602" priority="94">
      <formula>mgmt_domain_result="Excluded"</formula>
    </cfRule>
    <cfRule type="containsBlanks" dxfId="1601" priority="96">
      <formula>LEN(TRIM(M349))=0</formula>
    </cfRule>
    <cfRule type="notContainsBlanks" dxfId="1600" priority="97">
      <formula>LEN(TRIM(M349))&gt;0</formula>
    </cfRule>
  </conditionalFormatting>
  <conditionalFormatting sqref="M350:M353">
    <cfRule type="expression" dxfId="1599" priority="95">
      <formula>OR((mgmt_domain_result="Excluded"),(mgmt_consolidated_result="Excluded"))</formula>
    </cfRule>
  </conditionalFormatting>
  <dataValidations count="23">
    <dataValidation type="list" allowBlank="1" showInputMessage="1" showErrorMessage="1" sqref="M349 K349" xr:uid="{734C88E8-D2CA-0B48-8A54-78457429B0F2}">
      <formula1>vsphere_8u1_evc_table</formula1>
    </dataValidation>
    <dataValidation type="list" allowBlank="1" showInputMessage="1" showErrorMessage="1" sqref="L30:L32 L111 L77 L17 L66 L119 L122 L49:L50 L40 L153 K13:L13 L71 K246:L246"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"Tiny,Small,Medium,Large,XLarge"</formula1>
    </dataValidation>
    <dataValidation type="list" allowBlank="1" showInputMessage="1" showErrorMessage="1" sqref="L92" xr:uid="{EAF64F30-94DF-994D-BE30-47D2333F084B}">
      <formula1>"Default,Large,XLarge"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54"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222 L227 L232 L237 L242"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49:L250 L223:L224 L228:L229 L233:L234 L238:L239 L243:L244" xr:uid="{FA7409ED-5F61-584D-B67D-AFECE6C711E7}">
      <formula1>"Active,Standby,Unused"</formula1>
    </dataValidation>
    <dataValidation type="list" allowBlank="1" showInputMessage="1" showErrorMessage="1" sqref="L248" xr:uid="{8DBF9C77-00D5-2D4F-8B0E-D6109AAECA5E}">
      <formula1>"Route based on source MAC hash,Route based on the source of the port ID,Use explicit failover order"</formula1>
    </dataValidation>
    <dataValidation type="list" allowBlank="1" showInputMessage="1" showErrorMessage="1" sqref="L265" xr:uid="{CE34E3B0-C43E-504F-A5E1-B32029532AF3}">
      <formula1>"Deployed on one of the hosts in the management domain,Deployed outside management domain"</formula1>
    </dataValidation>
    <dataValidation type="list" allowBlank="1" showInputMessage="1" showErrorMessage="1" sqref="L247" xr:uid="{19825F38-EF3D-CE43-979A-B7C3B040FA1F}">
      <formula1>"Standard,Enhanced Datapath Standard,Enhanced Datapath Dedicated"</formula1>
    </dataValidation>
    <dataValidation type="list" allowBlank="1" showInputMessage="1" showErrorMessage="1" sqref="L211:L212 L201 L190" xr:uid="{5A80132E-EF48-4A44-A1B7-4DF19B2E7913}">
      <formula1>"VDS Uplinks, VDS LAG"</formula1>
    </dataValidation>
    <dataValidation type="list" allowBlank="1" showInputMessage="1" showErrorMessage="1" sqref="L193 L204 L215" xr:uid="{43EC5384-31CB-7446-B239-FFD26D1D0D5D}">
      <formula1>lag_load_balancing</formula1>
    </dataValidation>
    <dataValidation type="list" allowBlank="1" showInputMessage="1" showErrorMessage="1" sqref="L194 L205 L216" xr:uid="{B4FD2D4F-AF3A-1C43-B208-723D08B76060}">
      <formula1>"Slow,Fast"</formula1>
    </dataValidation>
    <dataValidation type="list" allowBlank="1" showInputMessage="1" showErrorMessage="1" sqref="L192 L203 L214" xr:uid="{A66630F2-1A4D-2B48-81D5-9BFC0465B39B}">
      <formula1>"Active,Passive"</formula1>
    </dataValidation>
    <dataValidation type="list" allowBlank="1" showInputMessage="1" showErrorMessage="1" sqref="L103" xr:uid="{BF817B54-E717-A947-8C2D-57B6461DDA41}">
      <formula1>"Small,Medium,Large,XLarge"</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16:L319"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71" operator="containsText" id="{8A70E33F-B8E1-464D-91D4-5C48A6AE1494}">
            <xm:f>NOT(ISERROR(SEARCH("Value Missing",J9)))</xm:f>
            <xm:f>"Value Missing"</xm:f>
            <x14:dxf>
              <font>
                <color rgb="FF0E223A"/>
              </font>
              <fill>
                <patternFill>
                  <bgColor rgb="FFFFBE29"/>
                </patternFill>
              </fill>
            </x14:dxf>
          </x14:cfRule>
          <xm:sqref>L9:L19 L116:L122 L56:L63 L65:L68 L70:L72 J306 L306 J308:J311 L308:L311 J313 L313 L37:L41 L47:L50 L30:L32 L77:L85 L103 L105:L111 J325:J328 L325:L328 L90:L98 J315:J319 L315:L319 L321:L323 L212 L24:L25 L166:L169 L200:L208 L127:L143 L226:L229 L217:L219 L246:L250 L252 L265:L269 L43:L45 J321:J323 L237:L239 L148:L151 L153:L157 L159:L162 L183 L195:L197 L221:L224 L232:L234 L242:L244 J330:J345 L330:L345</xm:sqref>
        </x14:conditionalFormatting>
        <x14:conditionalFormatting xmlns:xm="http://schemas.microsoft.com/office/excel/2006/main">
          <x14:cfRule type="containsText" priority="88"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61" operator="containsText" id="{8CD701A8-3478-8646-817F-E7C59D3F3B1D}">
            <xm:f>NOT(ISERROR(SEARCH("Value Missing",L274)))</xm:f>
            <xm:f>"Value Missing"</xm:f>
            <x14:dxf>
              <fill>
                <patternFill>
                  <bgColor rgb="FFFFBE29"/>
                </patternFill>
              </fill>
            </x14:dxf>
          </x14:cfRule>
          <xm:sqref>L274:L277 L282 L284:L289 L291:L296 L298:L303</xm:sqref>
        </x14:conditionalFormatting>
        <x14:conditionalFormatting xmlns:xm="http://schemas.microsoft.com/office/excel/2006/main">
          <x14:cfRule type="containsText" priority="46" operator="containsText" id="{74FCFFD3-109A-1948-8078-78E22CF647CE}">
            <xm:f>NOT(ISERROR(SEARCH("Value Missing",L279)))</xm:f>
            <xm:f>"Value Missing"</xm:f>
            <x14:dxf>
              <font>
                <color theme="1"/>
              </font>
              <fill>
                <patternFill>
                  <bgColor rgb="FFFFBE29"/>
                </patternFill>
              </fill>
            </x14:dxf>
          </x14:cfRule>
          <xm:sqref>L279</xm:sqref>
        </x14:conditionalFormatting>
        <x14:conditionalFormatting xmlns:xm="http://schemas.microsoft.com/office/excel/2006/main">
          <x14:cfRule type="containsText" priority="37" operator="containsText" id="{5F6B1D0A-99AC-2641-B0E9-D9EB6CE12A9A}">
            <xm:f>NOT(ISERROR(SEARCH("Value Missing",L280)))</xm:f>
            <xm:f>"Value Missing"</xm:f>
            <x14:dxf>
              <font>
                <color theme="1"/>
              </font>
              <fill>
                <patternFill>
                  <bgColor rgb="FFFFBE29"/>
                </patternFill>
              </fill>
            </x14:dxf>
          </x14:cfRule>
          <xm:sqref>L280</xm:sqref>
        </x14:conditionalFormatting>
        <x14:conditionalFormatting xmlns:xm="http://schemas.microsoft.com/office/excel/2006/main">
          <x14:cfRule type="containsText" priority="42" operator="containsText" id="{68016532-1A9A-964F-8599-78F2D189EDF4}">
            <xm:f>NOT(ISERROR(SEARCH("Value Missing",L281)))</xm:f>
            <xm:f>"Value Missing"</xm:f>
            <x14:dxf>
              <font>
                <color theme="1"/>
              </font>
              <fill>
                <patternFill>
                  <bgColor rgb="FFFFBE29"/>
                </patternFill>
              </fill>
            </x14:dxf>
          </x14:cfRule>
          <xm:sqref>L281:L282</xm:sqref>
        </x14:conditionalFormatting>
        <x14:conditionalFormatting xmlns:xm="http://schemas.microsoft.com/office/excel/2006/main">
          <x14:cfRule type="containsText" priority="53" stopIfTrue="1" operator="containsText" id="{9E10FC66-F798-1E4E-A70B-813FE9B39BA2}">
            <xm:f>NOT(ISERROR(SEARCH("Value Missing",L290)))</xm:f>
            <xm:f>"Value Missing"</xm:f>
            <x14:dxf>
              <font>
                <color rgb="FF0E223A"/>
              </font>
              <fill>
                <patternFill>
                  <bgColor rgb="FFFFBE29"/>
                </patternFill>
              </fill>
            </x14:dxf>
          </x14:cfRule>
          <xm:sqref>L290</xm:sqref>
        </x14:conditionalFormatting>
        <x14:conditionalFormatting xmlns:xm="http://schemas.microsoft.com/office/excel/2006/main">
          <x14:cfRule type="containsText" priority="57" stopIfTrue="1" operator="containsText" id="{558487B0-6B55-AB4B-A2CE-4F60D95E498D}">
            <xm:f>NOT(ISERROR(SEARCH("Value Missing",L297)))</xm:f>
            <xm:f>"Value Missing"</xm:f>
            <x14:dxf>
              <font>
                <color rgb="FF0E223A"/>
              </font>
              <fill>
                <patternFill>
                  <bgColor rgb="FFFFBE29"/>
                </patternFill>
              </fill>
            </x14:dxf>
          </x14:cfRule>
          <xm:sqref>L297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5"/>
  <sheetViews>
    <sheetView showGridLines="0" tabSelected="1" workbookViewId="0">
      <pane ySplit="8" topLeftCell="A98" activePane="bottomLeft" state="frozen"/>
      <selection pane="bottomLeft"/>
    </sheetView>
  </sheetViews>
  <sheetFormatPr defaultColWidth="10.875" defaultRowHeight="15" x14ac:dyDescent="0.2"/>
  <cols>
    <col min="1" max="1" width="2.875" style="8" customWidth="1"/>
    <col min="2" max="2" width="75.875" style="8" customWidth="1"/>
    <col min="3" max="4" width="75.875" style="2" customWidth="1"/>
    <col min="5" max="5" width="125.875" style="8" customWidth="1"/>
    <col min="6" max="7" width="12.125" style="8" bestFit="1" customWidth="1"/>
    <col min="8" max="8" width="10.875" style="8" customWidth="1"/>
    <col min="9" max="10" width="12.125" style="8" customWidth="1"/>
    <col min="11" max="11" width="43" style="8" bestFit="1" customWidth="1"/>
    <col min="12" max="12" width="12.875" style="8" bestFit="1" customWidth="1"/>
    <col min="13" max="17" width="10.875" style="8" customWidth="1"/>
    <col min="18" max="16384" width="10.875" style="8"/>
  </cols>
  <sheetData>
    <row r="1" spans="1:5" x14ac:dyDescent="0.2">
      <c r="A1" s="118"/>
    </row>
    <row r="2" spans="1:5" ht="54" customHeight="1" x14ac:dyDescent="0.2">
      <c r="A2" s="121"/>
      <c r="B2" s="521" t="s">
        <v>501</v>
      </c>
      <c r="C2" s="521"/>
      <c r="D2" s="521"/>
      <c r="E2" s="521"/>
    </row>
    <row r="3" spans="1:5" s="19" customFormat="1" ht="20.100000000000001" customHeight="1" x14ac:dyDescent="0.2">
      <c r="A3" s="42"/>
      <c r="B3" s="522" t="s">
        <v>502</v>
      </c>
      <c r="C3" s="522"/>
      <c r="D3" s="522"/>
      <c r="E3" s="522"/>
    </row>
    <row r="5" spans="1:5" ht="20.100000000000001" customHeight="1" x14ac:dyDescent="0.2">
      <c r="B5" s="122" t="s">
        <v>503</v>
      </c>
      <c r="C5" s="122" t="s">
        <v>504</v>
      </c>
      <c r="D5" s="122" t="s">
        <v>505</v>
      </c>
      <c r="E5" s="122" t="s">
        <v>506</v>
      </c>
    </row>
    <row r="6" spans="1:5" s="19" customFormat="1" ht="9.9499999999999993" customHeight="1" x14ac:dyDescent="0.2">
      <c r="B6" s="123"/>
      <c r="C6" s="123"/>
      <c r="D6" s="123"/>
      <c r="E6" s="124"/>
    </row>
    <row r="7" spans="1:5" ht="20.100000000000001" customHeight="1" x14ac:dyDescent="0.2">
      <c r="B7" s="122" t="s">
        <v>507</v>
      </c>
      <c r="C7" s="122" t="s">
        <v>508</v>
      </c>
      <c r="D7" s="122"/>
      <c r="E7" s="122"/>
    </row>
    <row r="10" spans="1:5" ht="33.950000000000003" customHeight="1" x14ac:dyDescent="0.2">
      <c r="B10" s="340" t="s">
        <v>509</v>
      </c>
      <c r="C10" s="341"/>
      <c r="D10" s="341"/>
      <c r="E10" s="342"/>
    </row>
    <row r="11" spans="1:5" ht="20.100000000000001" customHeight="1" x14ac:dyDescent="0.2">
      <c r="B11" s="346" t="s">
        <v>124</v>
      </c>
      <c r="C11" s="346" t="s">
        <v>38</v>
      </c>
      <c r="D11" s="346" t="s">
        <v>125</v>
      </c>
      <c r="E11" s="346" t="s">
        <v>126</v>
      </c>
    </row>
    <row r="12" spans="1:5" ht="20.100000000000001" customHeight="1" x14ac:dyDescent="0.2">
      <c r="B12" s="355" t="s">
        <v>228</v>
      </c>
      <c r="C12" s="362" t="s">
        <v>504</v>
      </c>
      <c r="D12" s="112" t="str">
        <f>IF(mgmt_domain_deployment_type_chosen="VMware vSphere Foundation","Excluded",IF(mgmt_signed_certs_chosen="Exclude","Excluded","Included"))</f>
        <v>Excluded</v>
      </c>
      <c r="E12" s="112"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100000000000001" customHeight="1" x14ac:dyDescent="0.2">
      <c r="B13" s="355" t="s">
        <v>228</v>
      </c>
      <c r="C13" s="362" t="s">
        <v>510</v>
      </c>
      <c r="D13" s="112" t="str">
        <f>IF(mgmt_domain_deployment_type_chosen="VMware vSphere Foundation","Excluded",IF(mgmt_vns_chosen="Exclude","Excluded","Included"))</f>
        <v>Excluded</v>
      </c>
      <c r="E13" s="112"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Routing for Management Domain will not be deployed</v>
      </c>
    </row>
    <row r="14" spans="1:5" ht="20.100000000000001" customHeight="1" x14ac:dyDescent="0.2">
      <c r="B14" s="125" t="s">
        <v>228</v>
      </c>
      <c r="C14" s="362" t="s">
        <v>506</v>
      </c>
      <c r="D14" s="112" t="str">
        <f>IF(AND(vcf_granular_option_chosen&lt;&gt;"Deploy a new VCF fleet",vcf_granular_option_chosen&lt;&gt;"Deploy a VCF Instance in an existing VCF fleet",vcf_granular_option_chosen&lt;&gt;"Create Cluster"),"Excluded",IF(mgmt_avi_loadbalancer_chosen="Exclude","Excluded","Included"))</f>
        <v>Excluded</v>
      </c>
      <c r="E14" s="112"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100000000000001" customHeight="1" x14ac:dyDescent="0.2">
      <c r="B15" s="355" t="s">
        <v>228</v>
      </c>
      <c r="C15" s="362" t="s">
        <v>507</v>
      </c>
      <c r="D15" s="112" t="str">
        <f>IF(AND(vcf_granular_option_chosen&lt;&gt;"Deploy a new VCF fleet",vcf_granular_option_chosen&lt;&gt;"Deploy a VCF Instance in an existing VCF fleet",vcf_granular_option_chosen&lt;&gt;"Create Cluster"),"Excluded",
IF(mgmt_stretched_cluster_chosen="Exclude","Excluded",
IF(AND(mgmt_stretched_cluster_chosen="Include",AND(mgmt_principal_storage_chosen&lt;&gt;"vSAN-ESA",mgmt_principal_storage_chosen&lt;&gt;"vSAN-OSA")),"Excluded","Included")))</f>
        <v>Excluded</v>
      </c>
      <c r="E15" s="112" t="str">
        <f>IF(vcf_granular_option_chosen="None Chosen","No Deployment Type Chosen",
IF(mgmt_domain_deployment_type_chosen="VMware vSphere Foundation","Cannot be performed on a VMware vSphere Foundation deployment",
IF(vcf_version_chosen="No Version Selected","Cause: VCF Deployment version is not Selected",
IF(mgmt_stretched_cluster_chosen="Exclude","Cause: Not Selected. Stretched Cluster will not be deployed",
IF(AND(mgmt_stretched_cluster_chosen="Include",AND(mgmt_principal_storage_chosen&lt;&gt;"vSAN-ESA",mgmt_principal_storage_chosen&lt;&gt;"vSAN-OSA")),"Cause: Stretched Cluster is only supported with vSAN as Principal Storage",
IF(mgmt_vns_chosen="VLAN-Backed","Note: VLAN-backed segments require L2 stretched VM Networks. Consider Overlay-backed instead.","Stretched Cluster will be deployed"))))))</f>
        <v>Cause: Not Selected. Stretched Cluster will not be deployed</v>
      </c>
    </row>
    <row r="16" spans="1:5" ht="20.100000000000001" customHeight="1" x14ac:dyDescent="0.2">
      <c r="B16" s="355" t="s">
        <v>228</v>
      </c>
      <c r="C16" s="362" t="s">
        <v>508</v>
      </c>
      <c r="D16" s="112"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12"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5.95" customHeight="1" x14ac:dyDescent="0.2"/>
    <row r="18" spans="2:5" ht="33.950000000000003" customHeight="1" x14ac:dyDescent="0.2">
      <c r="B18" s="525" t="s">
        <v>511</v>
      </c>
      <c r="C18" s="526"/>
      <c r="D18" s="526"/>
      <c r="E18" s="527"/>
    </row>
    <row r="19" spans="2:5" ht="20.100000000000001" customHeight="1" x14ac:dyDescent="0.2">
      <c r="B19" s="514" t="s">
        <v>512</v>
      </c>
      <c r="C19" s="515"/>
      <c r="D19" s="515"/>
      <c r="E19" s="516"/>
    </row>
    <row r="20" spans="2:5" ht="20.100000000000001" customHeight="1" x14ac:dyDescent="0.2">
      <c r="B20" s="43" t="s">
        <v>37</v>
      </c>
      <c r="C20" s="346" t="s">
        <v>276</v>
      </c>
      <c r="D20" s="346" t="s">
        <v>277</v>
      </c>
      <c r="E20" s="346" t="s">
        <v>5</v>
      </c>
    </row>
    <row r="21" spans="2:5" ht="20.100000000000001" customHeight="1" x14ac:dyDescent="0.2">
      <c r="B21" s="4" t="s">
        <v>513</v>
      </c>
      <c r="C21" s="80" t="s">
        <v>514</v>
      </c>
      <c r="D21" s="347"/>
      <c r="E21" s="4" t="s">
        <v>515</v>
      </c>
    </row>
    <row r="22" spans="2:5" ht="20.100000000000001" customHeight="1" x14ac:dyDescent="0.2">
      <c r="B22" s="4" t="s">
        <v>516</v>
      </c>
      <c r="C22" s="362">
        <v>22</v>
      </c>
      <c r="D22" s="347"/>
      <c r="E22" s="4"/>
    </row>
    <row r="23" spans="2:5" ht="20.100000000000001" customHeight="1" x14ac:dyDescent="0.2">
      <c r="B23" s="4" t="s">
        <v>517</v>
      </c>
      <c r="C23" s="362" t="s">
        <v>518</v>
      </c>
      <c r="D23" s="347"/>
      <c r="E23" s="4"/>
    </row>
    <row r="24" spans="2:5" ht="20.100000000000001" customHeight="1" x14ac:dyDescent="0.2">
      <c r="B24" s="4" t="s">
        <v>294</v>
      </c>
      <c r="C24" s="362" t="s">
        <v>519</v>
      </c>
      <c r="D24" s="347"/>
      <c r="E24" s="4"/>
    </row>
    <row r="25" spans="2:5" ht="20.100000000000001" customHeight="1" x14ac:dyDescent="0.2">
      <c r="B25" s="4" t="s">
        <v>296</v>
      </c>
      <c r="C25" s="362" t="s">
        <v>379</v>
      </c>
      <c r="D25" s="347"/>
      <c r="E25" s="4"/>
    </row>
    <row r="26" spans="2:5" ht="20.100000000000001" customHeight="1" x14ac:dyDescent="0.2">
      <c r="B26" s="4" t="s">
        <v>520</v>
      </c>
      <c r="C26" s="362" t="s">
        <v>521</v>
      </c>
      <c r="D26" s="347"/>
      <c r="E26" s="4"/>
    </row>
    <row r="27" spans="2:5" ht="20.100000000000001" customHeight="1" x14ac:dyDescent="0.2">
      <c r="B27" s="4" t="s">
        <v>522</v>
      </c>
      <c r="C27" s="362" t="s">
        <v>523</v>
      </c>
      <c r="D27" s="347"/>
      <c r="E27" s="4"/>
    </row>
    <row r="28" spans="2:5" ht="20.100000000000001" customHeight="1" x14ac:dyDescent="0.2">
      <c r="B28" s="4" t="s">
        <v>524</v>
      </c>
      <c r="C28" s="362" t="s">
        <v>379</v>
      </c>
      <c r="D28" s="347"/>
      <c r="E28" s="4" t="s">
        <v>525</v>
      </c>
    </row>
    <row r="29" spans="2:5" ht="15.95" customHeight="1" x14ac:dyDescent="0.2"/>
    <row r="30" spans="2:5" ht="33.950000000000003" customHeight="1" x14ac:dyDescent="0.2">
      <c r="B30" s="523" t="s">
        <v>504</v>
      </c>
      <c r="C30" s="524"/>
      <c r="D30" s="524"/>
      <c r="E30" s="524"/>
    </row>
    <row r="31" spans="2:5" ht="20.100000000000001" customHeight="1" x14ac:dyDescent="0.2">
      <c r="B31" s="414" t="s">
        <v>526</v>
      </c>
      <c r="C31" s="415"/>
      <c r="D31" s="415"/>
      <c r="E31" s="416"/>
    </row>
    <row r="32" spans="2:5" ht="20.100000000000001" customHeight="1" x14ac:dyDescent="0.2">
      <c r="B32" s="43" t="s">
        <v>37</v>
      </c>
      <c r="C32" s="346" t="s">
        <v>276</v>
      </c>
      <c r="D32" s="346" t="s">
        <v>277</v>
      </c>
      <c r="E32" s="346" t="s">
        <v>5</v>
      </c>
    </row>
    <row r="33" spans="2:5" ht="20.100000000000001" customHeight="1" x14ac:dyDescent="0.2">
      <c r="B33" s="4" t="s">
        <v>527</v>
      </c>
      <c r="C33" s="80" t="s">
        <v>528</v>
      </c>
      <c r="D33" s="347"/>
      <c r="E33" s="337"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20.100000000000001" customHeight="1" x14ac:dyDescent="0.2">
      <c r="B34" s="4" t="s">
        <v>529</v>
      </c>
      <c r="C34" s="362" t="s">
        <v>530</v>
      </c>
      <c r="D34" s="347"/>
      <c r="E34" s="4"/>
    </row>
    <row r="35" spans="2:5" ht="20.100000000000001" customHeight="1" x14ac:dyDescent="0.2">
      <c r="B35" s="4" t="s">
        <v>296</v>
      </c>
      <c r="C35" s="78" t="s">
        <v>379</v>
      </c>
      <c r="D35" s="347"/>
      <c r="E35" s="4"/>
    </row>
    <row r="36" spans="2:5" ht="20.100000000000001" customHeight="1" x14ac:dyDescent="0.2">
      <c r="B36" s="414" t="s">
        <v>531</v>
      </c>
      <c r="C36" s="415"/>
      <c r="D36" s="415"/>
      <c r="E36" s="416"/>
    </row>
    <row r="37" spans="2:5" ht="20.100000000000001" customHeight="1" x14ac:dyDescent="0.2">
      <c r="B37" s="4" t="s">
        <v>527</v>
      </c>
      <c r="C37" s="362" t="str">
        <f>sample_certificate_authority_fqdn</f>
        <v>rpl-ad01.rainpole.io</v>
      </c>
      <c r="D37" s="343" t="str">
        <f>certificate_authority_fqdn</f>
        <v>Value Missing</v>
      </c>
      <c r="E37" s="337"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20.100000000000001" customHeight="1" x14ac:dyDescent="0.2">
      <c r="B38" s="4" t="s">
        <v>529</v>
      </c>
      <c r="C38" s="362" t="str">
        <f>sample_ca_administrator_username</f>
        <v>Administrator</v>
      </c>
      <c r="D38" s="343" t="str">
        <f>ca_administrator_username</f>
        <v>Value Missing</v>
      </c>
      <c r="E38" s="4"/>
    </row>
    <row r="39" spans="2:5" ht="20.100000000000001" customHeight="1" x14ac:dyDescent="0.2">
      <c r="B39" s="4" t="s">
        <v>296</v>
      </c>
      <c r="C39" s="362" t="str">
        <f>sample_ca_administrator_password</f>
        <v>VMw@re1!</v>
      </c>
      <c r="D39" s="343" t="str">
        <f>ca_administrator_password</f>
        <v>Value Missing</v>
      </c>
      <c r="E39" s="4"/>
    </row>
    <row r="40" spans="2:5" ht="20.100000000000001" customHeight="1" x14ac:dyDescent="0.2">
      <c r="B40" s="4" t="s">
        <v>532</v>
      </c>
      <c r="C40" s="362" t="str">
        <f>sample_certificate_authority_fqdn</f>
        <v>rpl-ad01.rainpole.io</v>
      </c>
      <c r="D40" s="343" t="str">
        <f>certificate_authority_fqdn</f>
        <v>Value Missing</v>
      </c>
      <c r="E40" s="4"/>
    </row>
    <row r="41" spans="2:5" ht="20.100000000000001" customHeight="1" x14ac:dyDescent="0.2">
      <c r="B41" s="414" t="s">
        <v>533</v>
      </c>
      <c r="C41" s="415"/>
      <c r="D41" s="415"/>
      <c r="E41" s="416"/>
    </row>
    <row r="42" spans="2:5" ht="20.100000000000001" customHeight="1" x14ac:dyDescent="0.2">
      <c r="B42" s="4" t="s">
        <v>534</v>
      </c>
      <c r="C42" s="362" t="str">
        <f>CONCATENATE("https://",sample_certificate_authority_fqdn)</f>
        <v>https://rpl-ad01.rainpole.io</v>
      </c>
      <c r="D42" s="343" t="str">
        <f>certificate_authority_fqdn</f>
        <v>Value Missing</v>
      </c>
      <c r="E42" s="337"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20.100000000000001" customHeight="1" x14ac:dyDescent="0.2">
      <c r="B43" s="4" t="s">
        <v>535</v>
      </c>
      <c r="C43" s="362" t="str">
        <f>sample_ca_administrator_username</f>
        <v>Administrator</v>
      </c>
      <c r="D43" s="343" t="str">
        <f>ca_administrator_username</f>
        <v>Value Missing</v>
      </c>
      <c r="E43" s="4"/>
    </row>
    <row r="44" spans="2:5" ht="20.100000000000001" customHeight="1" x14ac:dyDescent="0.2">
      <c r="B44" s="4" t="s">
        <v>296</v>
      </c>
      <c r="C44" s="362" t="str">
        <f>sample_ca_administrator_password</f>
        <v>VMw@re1!</v>
      </c>
      <c r="D44" s="343" t="str">
        <f>ca_administrator_password</f>
        <v>Value Missing</v>
      </c>
      <c r="E44" s="4"/>
    </row>
    <row r="45" spans="2:5" ht="20.100000000000001" customHeight="1" x14ac:dyDescent="0.2">
      <c r="B45" s="4" t="s">
        <v>536</v>
      </c>
      <c r="C45" s="85" t="s">
        <v>537</v>
      </c>
      <c r="D45" s="347"/>
      <c r="E45" s="4"/>
    </row>
    <row r="46" spans="2:5" ht="20.100000000000001" customHeight="1" x14ac:dyDescent="0.2">
      <c r="B46" s="414" t="s">
        <v>538</v>
      </c>
      <c r="C46" s="415"/>
      <c r="D46" s="415"/>
      <c r="E46" s="416"/>
    </row>
    <row r="47" spans="2:5" ht="20.100000000000001" customHeight="1" x14ac:dyDescent="0.2">
      <c r="B47" s="4" t="s">
        <v>527</v>
      </c>
      <c r="C47" s="362" t="str">
        <f>sample_certificate_authority_fqdn</f>
        <v>rpl-ad01.rainpole.io</v>
      </c>
      <c r="D47" s="343" t="str">
        <f>certificate_authority_fqdn</f>
        <v>Value Missing</v>
      </c>
      <c r="E47" s="337"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20.100000000000001" customHeight="1" x14ac:dyDescent="0.2">
      <c r="B48" s="4" t="s">
        <v>529</v>
      </c>
      <c r="C48" s="362" t="str">
        <f>sample_ca_administrator_username</f>
        <v>Administrator</v>
      </c>
      <c r="D48" s="343" t="str">
        <f>ca_administrator_username</f>
        <v>Value Missing</v>
      </c>
      <c r="E48" s="4"/>
    </row>
    <row r="49" spans="2:5" ht="20.100000000000001" customHeight="1" x14ac:dyDescent="0.2">
      <c r="B49" s="4" t="s">
        <v>296</v>
      </c>
      <c r="C49" s="362" t="str">
        <f>sample_ca_administrator_password</f>
        <v>VMw@re1!</v>
      </c>
      <c r="D49" s="343" t="str">
        <f>ca_administrator_password</f>
        <v>Value Missing</v>
      </c>
      <c r="E49" s="4"/>
    </row>
    <row r="50" spans="2:5" ht="20.100000000000001" customHeight="1" x14ac:dyDescent="0.2">
      <c r="B50" s="4" t="s">
        <v>539</v>
      </c>
      <c r="C50" s="362" t="s">
        <v>540</v>
      </c>
      <c r="D50" s="347"/>
      <c r="E50" s="4"/>
    </row>
    <row r="51" spans="2:5" ht="20.100000000000001" customHeight="1" x14ac:dyDescent="0.2">
      <c r="B51" s="414" t="s">
        <v>541</v>
      </c>
      <c r="C51" s="415"/>
      <c r="D51" s="415"/>
      <c r="E51" s="416"/>
    </row>
    <row r="52" spans="2:5" ht="20.100000000000001" customHeight="1" x14ac:dyDescent="0.2">
      <c r="B52" s="4" t="s">
        <v>110</v>
      </c>
      <c r="C52" s="362" t="s">
        <v>542</v>
      </c>
      <c r="D52" s="337" t="s">
        <v>542</v>
      </c>
      <c r="E52" s="337"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20.100000000000001" customHeight="1" x14ac:dyDescent="0.2">
      <c r="B53" s="4" t="s">
        <v>534</v>
      </c>
      <c r="C53" s="362" t="str">
        <f>CONCATENATE("https://",certificate_authority_fqdn,"/certsrv")</f>
        <v>https://Value Missing/certsrv</v>
      </c>
      <c r="D53" s="337" t="str">
        <f>CONCATENATE("https://",certificate_authority_fqdn,"/certsrv")</f>
        <v>https://Value Missing/certsrv</v>
      </c>
      <c r="E53" s="4"/>
    </row>
    <row r="54" spans="2:5" ht="20.100000000000001" customHeight="1" x14ac:dyDescent="0.2">
      <c r="B54" s="4" t="s">
        <v>294</v>
      </c>
      <c r="C54" s="362" t="str">
        <f>sample_svc_vcf_ca_vcf_user</f>
        <v>svc-vcf-ca</v>
      </c>
      <c r="D54" s="337" t="str">
        <f>user_svc_vcf_ca_vcf</f>
        <v>Value Missing</v>
      </c>
      <c r="E54" s="4"/>
    </row>
    <row r="55" spans="2:5" ht="20.100000000000001" customHeight="1" x14ac:dyDescent="0.2">
      <c r="B55" s="4" t="s">
        <v>296</v>
      </c>
      <c r="C55" s="362" t="s">
        <v>379</v>
      </c>
      <c r="D55" s="347"/>
      <c r="E55" s="4"/>
    </row>
    <row r="56" spans="2:5" ht="20.100000000000001" customHeight="1" x14ac:dyDescent="0.2">
      <c r="B56" s="4" t="s">
        <v>536</v>
      </c>
      <c r="C56" s="362" t="str">
        <f>sample_ca_template_name</f>
        <v>VMware</v>
      </c>
      <c r="D56" s="343" t="str">
        <f>ca_template_name</f>
        <v>Value Missing</v>
      </c>
      <c r="E56" s="4"/>
    </row>
    <row r="57" spans="2:5" ht="20.100000000000001" customHeight="1" x14ac:dyDescent="0.2">
      <c r="B57" s="531" t="s">
        <v>543</v>
      </c>
      <c r="C57" s="532"/>
      <c r="D57" s="532"/>
      <c r="E57" s="533"/>
    </row>
    <row r="58" spans="2:5" ht="20.100000000000001" customHeight="1" x14ac:dyDescent="0.2">
      <c r="B58" s="4" t="s">
        <v>544</v>
      </c>
      <c r="C58" s="85" t="s">
        <v>545</v>
      </c>
      <c r="D58" s="347"/>
      <c r="E58" s="337"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20.100000000000001" customHeight="1" x14ac:dyDescent="0.2">
      <c r="B59" s="4" t="s">
        <v>546</v>
      </c>
      <c r="C59" s="85" t="s">
        <v>74</v>
      </c>
      <c r="D59" s="347"/>
      <c r="E59" s="4"/>
    </row>
    <row r="60" spans="2:5" ht="20.100000000000001" customHeight="1" x14ac:dyDescent="0.2">
      <c r="B60" s="4" t="s">
        <v>547</v>
      </c>
      <c r="C60" s="85" t="s">
        <v>548</v>
      </c>
      <c r="D60" s="347"/>
      <c r="E60" s="4"/>
    </row>
    <row r="61" spans="2:5" ht="20.100000000000001" customHeight="1" x14ac:dyDescent="0.2">
      <c r="B61" s="4" t="s">
        <v>549</v>
      </c>
      <c r="C61" s="85" t="s">
        <v>550</v>
      </c>
      <c r="D61" s="347"/>
      <c r="E61" s="4"/>
    </row>
    <row r="62" spans="2:5" ht="20.100000000000001" customHeight="1" x14ac:dyDescent="0.2">
      <c r="B62" s="4" t="s">
        <v>551</v>
      </c>
      <c r="C62" s="85" t="s">
        <v>552</v>
      </c>
      <c r="D62" s="347"/>
      <c r="E62" s="4"/>
    </row>
    <row r="63" spans="2:5" ht="20.100000000000001" customHeight="1" x14ac:dyDescent="0.2">
      <c r="B63" s="4" t="s">
        <v>553</v>
      </c>
      <c r="C63" s="85" t="s">
        <v>554</v>
      </c>
      <c r="D63" s="347"/>
      <c r="E63" s="4"/>
    </row>
    <row r="64" spans="2:5" ht="20.100000000000001" customHeight="1" x14ac:dyDescent="0.2">
      <c r="B64" s="4" t="s">
        <v>555</v>
      </c>
      <c r="C64" s="85" t="s">
        <v>556</v>
      </c>
      <c r="D64" s="83"/>
      <c r="E64" s="4"/>
    </row>
    <row r="65" spans="2:5" ht="20.100000000000001" customHeight="1" x14ac:dyDescent="0.2">
      <c r="B65" s="4" t="s">
        <v>557</v>
      </c>
      <c r="C65" s="85">
        <v>4096</v>
      </c>
      <c r="D65" s="347"/>
      <c r="E65" s="4"/>
    </row>
    <row r="66" spans="2:5" ht="20.100000000000001" customHeight="1" x14ac:dyDescent="0.2">
      <c r="B66" s="414" t="s">
        <v>558</v>
      </c>
      <c r="C66" s="415"/>
      <c r="D66" s="415"/>
      <c r="E66" s="416"/>
    </row>
    <row r="67" spans="2:5" ht="20.100000000000001" customHeight="1" x14ac:dyDescent="0.2">
      <c r="B67" s="4" t="s">
        <v>110</v>
      </c>
      <c r="C67" s="80" t="s">
        <v>559</v>
      </c>
      <c r="D67" s="347"/>
      <c r="E67" s="337"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20.100000000000001" customHeight="1" x14ac:dyDescent="0.2">
      <c r="B68" s="4" t="s">
        <v>560</v>
      </c>
      <c r="C68" s="362" t="str">
        <f>sample_sddc_mgr_fqdn</f>
        <v>sfo-vcf01.sfo.rainpole.io</v>
      </c>
      <c r="D68" s="94"/>
      <c r="E68" s="4"/>
    </row>
    <row r="69" spans="2:5" ht="20.100000000000001" customHeight="1" x14ac:dyDescent="0.2">
      <c r="B69" s="4" t="s">
        <v>549</v>
      </c>
      <c r="C69" s="362" t="str">
        <f>sample_ca_country</f>
        <v>US</v>
      </c>
      <c r="D69" s="94"/>
      <c r="E69" s="4"/>
    </row>
    <row r="70" spans="2:5" ht="20.100000000000001" customHeight="1" x14ac:dyDescent="0.2">
      <c r="B70" s="4" t="s">
        <v>561</v>
      </c>
      <c r="C70" s="362" t="str">
        <f>sample_ca_locality</f>
        <v>San Francisco</v>
      </c>
      <c r="D70" s="94"/>
      <c r="E70" s="4"/>
    </row>
    <row r="71" spans="2:5" ht="20.100000000000001" customHeight="1" x14ac:dyDescent="0.2">
      <c r="B71" s="4" t="s">
        <v>562</v>
      </c>
      <c r="C71" s="362" t="str">
        <f>sample_ca_organization_unit</f>
        <v>Rainpole</v>
      </c>
      <c r="D71" s="94"/>
      <c r="E71" s="4"/>
    </row>
    <row r="72" spans="2:5" ht="20.100000000000001" customHeight="1" x14ac:dyDescent="0.2">
      <c r="B72" s="4" t="s">
        <v>563</v>
      </c>
      <c r="C72" s="362" t="str">
        <f>sample_ca_organization</f>
        <v>IT</v>
      </c>
      <c r="D72" s="94"/>
      <c r="E72" s="4"/>
    </row>
    <row r="73" spans="2:5" ht="20.100000000000001" customHeight="1" x14ac:dyDescent="0.2">
      <c r="B73" s="4" t="s">
        <v>551</v>
      </c>
      <c r="C73" s="362" t="str">
        <f>sample_ca_state</f>
        <v>CA</v>
      </c>
      <c r="D73" s="94"/>
      <c r="E73" s="4"/>
    </row>
    <row r="74" spans="2:5" ht="20.100000000000001" customHeight="1" x14ac:dyDescent="0.2">
      <c r="B74" s="414" t="s">
        <v>564</v>
      </c>
      <c r="C74" s="415"/>
      <c r="D74" s="415"/>
      <c r="E74" s="416"/>
    </row>
    <row r="75" spans="2:5" ht="20.100000000000001" customHeight="1" x14ac:dyDescent="0.2">
      <c r="B75" s="4" t="s">
        <v>544</v>
      </c>
      <c r="C75" s="362" t="str">
        <f>sample_ca_algorithm</f>
        <v>RSA</v>
      </c>
      <c r="D75" s="94"/>
      <c r="E75" s="337"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20.100000000000001" customHeight="1" x14ac:dyDescent="0.2">
      <c r="B76" s="4" t="s">
        <v>557</v>
      </c>
      <c r="C76" s="362">
        <f>sample_ca_key_size</f>
        <v>4096</v>
      </c>
      <c r="D76" s="94"/>
      <c r="E76" s="4"/>
    </row>
    <row r="77" spans="2:5" ht="20.100000000000001" customHeight="1" x14ac:dyDescent="0.2">
      <c r="B77" s="4" t="s">
        <v>555</v>
      </c>
      <c r="C77" s="362" t="str">
        <f>sample_ca_email_address</f>
        <v>administrator@rainpole.io</v>
      </c>
      <c r="D77" s="94"/>
      <c r="E77" s="4"/>
    </row>
    <row r="78" spans="2:5" ht="20.100000000000001" customHeight="1" x14ac:dyDescent="0.2">
      <c r="B78" s="4" t="s">
        <v>547</v>
      </c>
      <c r="C78" s="362" t="str">
        <f>sample_ca_organization</f>
        <v>IT</v>
      </c>
      <c r="D78" s="94"/>
      <c r="E78" s="4"/>
    </row>
    <row r="79" spans="2:5" ht="20.100000000000001" customHeight="1" x14ac:dyDescent="0.2">
      <c r="B79" s="4" t="s">
        <v>562</v>
      </c>
      <c r="C79" s="362" t="str">
        <f>sample_ca_organization_unit</f>
        <v>Rainpole</v>
      </c>
      <c r="D79" s="94"/>
      <c r="E79" s="4"/>
    </row>
    <row r="80" spans="2:5" ht="20.100000000000001" customHeight="1" x14ac:dyDescent="0.2">
      <c r="B80" s="4" t="s">
        <v>553</v>
      </c>
      <c r="C80" s="362" t="str">
        <f>sample_ca_locality</f>
        <v>San Francisco</v>
      </c>
      <c r="D80" s="94"/>
      <c r="E80" s="4"/>
    </row>
    <row r="81" spans="2:5" ht="20.100000000000001" customHeight="1" x14ac:dyDescent="0.2">
      <c r="B81" s="4" t="s">
        <v>551</v>
      </c>
      <c r="C81" s="362" t="str">
        <f>sample_ca_state</f>
        <v>CA</v>
      </c>
      <c r="D81" s="94"/>
      <c r="E81" s="4"/>
    </row>
    <row r="82" spans="2:5" ht="20.100000000000001" customHeight="1" x14ac:dyDescent="0.2">
      <c r="B82" s="4" t="s">
        <v>549</v>
      </c>
      <c r="C82" s="362" t="str">
        <f>sample_ca_country</f>
        <v>US</v>
      </c>
      <c r="D82" s="94"/>
      <c r="E82" s="4"/>
    </row>
    <row r="83" spans="2:5" ht="20.100000000000001" customHeight="1" x14ac:dyDescent="0.2">
      <c r="B83" s="4" t="s">
        <v>565</v>
      </c>
      <c r="C83" s="362" t="s">
        <v>566</v>
      </c>
      <c r="D83" s="337"/>
      <c r="E83" s="4"/>
    </row>
    <row r="84" spans="2:5" ht="20.100000000000001" customHeight="1" x14ac:dyDescent="0.2">
      <c r="B84" s="4" t="s">
        <v>296</v>
      </c>
      <c r="C84" s="362" t="str">
        <f>sample_sddc_mgr_vcf_password</f>
        <v>VMw@re1!VMw@re1!</v>
      </c>
      <c r="D84" s="94"/>
      <c r="E84" s="4"/>
    </row>
    <row r="85" spans="2:5" ht="15.95" customHeight="1" x14ac:dyDescent="0.2">
      <c r="B85" s="6"/>
    </row>
    <row r="86" spans="2:5" ht="33.950000000000003" customHeight="1" x14ac:dyDescent="0.2">
      <c r="B86" s="525" t="s">
        <v>567</v>
      </c>
      <c r="C86" s="526"/>
      <c r="D86" s="526"/>
      <c r="E86" s="527"/>
    </row>
    <row r="87" spans="2:5" ht="20.100000000000001" customHeight="1" x14ac:dyDescent="0.2">
      <c r="B87" s="414" t="s">
        <v>568</v>
      </c>
      <c r="C87" s="415"/>
      <c r="D87" s="415"/>
      <c r="E87" s="416"/>
    </row>
    <row r="88" spans="2:5" ht="20.100000000000001" customHeight="1" x14ac:dyDescent="0.2">
      <c r="B88" s="43" t="s">
        <v>37</v>
      </c>
      <c r="C88" s="346" t="s">
        <v>276</v>
      </c>
      <c r="D88" s="346" t="s">
        <v>277</v>
      </c>
      <c r="E88" s="346" t="s">
        <v>5</v>
      </c>
    </row>
    <row r="89" spans="2:5" ht="20.100000000000001" customHeight="1" x14ac:dyDescent="0.2">
      <c r="B89" s="528" t="s">
        <v>569</v>
      </c>
      <c r="C89" s="529"/>
      <c r="D89" s="529"/>
      <c r="E89" s="530"/>
    </row>
    <row r="90" spans="2:5" ht="20.100000000000001" customHeight="1" x14ac:dyDescent="0.2">
      <c r="B90" s="4" t="s">
        <v>569</v>
      </c>
      <c r="C90" s="362" t="s">
        <v>570</v>
      </c>
      <c r="D90" s="337" t="str">
        <f>mgmt_vns_chosen</f>
        <v>Exclude</v>
      </c>
      <c r="E90" s="337" t="str">
        <f>IF(mgmt_vns_result="Excluded","Inputs are masked out and only required if NSX Network Connectivity for MGMT Domain is chosen from the Post-Deployment Option","")</f>
        <v>Inputs are masked out and only required if NSX Network Connectivity for MGMT Domain is chosen from the Post-Deployment Option</v>
      </c>
    </row>
    <row r="91" spans="2:5" ht="20.100000000000001" customHeight="1" x14ac:dyDescent="0.2">
      <c r="B91" s="528" t="s">
        <v>571</v>
      </c>
      <c r="C91" s="529"/>
      <c r="D91" s="529"/>
      <c r="E91" s="530"/>
    </row>
    <row r="92" spans="2:5" ht="20.100000000000001" customHeight="1" x14ac:dyDescent="0.2">
      <c r="B92" s="351" t="s">
        <v>398</v>
      </c>
      <c r="C92" s="362">
        <v>1198</v>
      </c>
      <c r="D92" s="347"/>
      <c r="E92" s="337" t="str">
        <f>IF(mgmt_vns_chosen="Centralized Connectivity","Inputs are masked out and only required if Distributed Connectivity Gateway Type is chosen from the Post-Deployment Option","Needs to be a routable network is customers envoirnemt" )</f>
        <v>Needs to be a routable network is customers envoirnemt</v>
      </c>
    </row>
    <row r="93" spans="2:5" ht="20.100000000000001" customHeight="1" x14ac:dyDescent="0.2">
      <c r="B93" s="351" t="s">
        <v>572</v>
      </c>
      <c r="C93" s="362" t="s">
        <v>573</v>
      </c>
      <c r="D93" s="347"/>
      <c r="E93" s="4"/>
    </row>
    <row r="94" spans="2:5" ht="20.100000000000001" customHeight="1" x14ac:dyDescent="0.2">
      <c r="B94" s="528" t="s">
        <v>574</v>
      </c>
      <c r="C94" s="529"/>
      <c r="D94" s="529"/>
      <c r="E94" s="530"/>
    </row>
    <row r="95" spans="2:5" ht="20.100000000000001" customHeight="1" x14ac:dyDescent="0.2">
      <c r="B95" s="4" t="s">
        <v>575</v>
      </c>
      <c r="C95" s="362" t="str">
        <f>CONCATENATE(this_instance,"-m01-ec01")</f>
        <v>sfo-m01-ec01</v>
      </c>
      <c r="D95" s="347"/>
      <c r="E95" s="4"/>
    </row>
    <row r="96" spans="2:5" ht="20.100000000000001" customHeight="1" x14ac:dyDescent="0.2">
      <c r="B96" s="4" t="s">
        <v>576</v>
      </c>
      <c r="C96" s="362">
        <v>1700</v>
      </c>
      <c r="D96" s="94"/>
      <c r="E96" s="337" t="s">
        <v>577</v>
      </c>
    </row>
    <row r="97" spans="2:5" ht="20.100000000000001" customHeight="1" x14ac:dyDescent="0.2">
      <c r="B97" s="4" t="s">
        <v>578</v>
      </c>
      <c r="C97" s="362" t="s">
        <v>214</v>
      </c>
      <c r="D97" s="94" t="s">
        <v>214</v>
      </c>
      <c r="E97" s="4"/>
    </row>
    <row r="98" spans="2:5" ht="20.100000000000001" customHeight="1" x14ac:dyDescent="0.2">
      <c r="B98" s="405" t="s">
        <v>579</v>
      </c>
      <c r="C98" s="406"/>
      <c r="D98" s="406"/>
      <c r="E98" s="407"/>
    </row>
    <row r="99" spans="2:5" ht="20.100000000000001" customHeight="1" x14ac:dyDescent="0.2">
      <c r="B99" s="4" t="s">
        <v>580</v>
      </c>
      <c r="C99" s="89" t="str">
        <f>CONCATENATE(this_instance,"-m01-r01-en01",".",sample_child_dns_zone)</f>
        <v>sfo-m01-r01-en01.sfo.rainpole.io</v>
      </c>
      <c r="D99" s="347"/>
      <c r="E99" s="4"/>
    </row>
    <row r="100" spans="2:5" ht="20.100000000000001" customHeight="1" x14ac:dyDescent="0.2">
      <c r="B100" s="4" t="s">
        <v>302</v>
      </c>
      <c r="C100" s="362" t="str">
        <f>sample_mgmt_cl01_cluster</f>
        <v>sfo-m01-cl01</v>
      </c>
      <c r="D100" s="343" t="str">
        <f>mgmt_cl01_cluster</f>
        <v>vcf-mgmt-cluster01</v>
      </c>
      <c r="E100" s="347" t="s">
        <v>581</v>
      </c>
    </row>
    <row r="101" spans="2:5" ht="20.100000000000001" customHeight="1" x14ac:dyDescent="0.2">
      <c r="B101" s="4" t="s">
        <v>582</v>
      </c>
      <c r="C101" s="362" t="str">
        <f>CONCATENATE(this_instance,"-m01-cl01-rp-ec01")</f>
        <v>sfo-m01-cl01-rp-ec01</v>
      </c>
      <c r="D101" s="94"/>
      <c r="E101" s="337" t="s">
        <v>583</v>
      </c>
    </row>
    <row r="102" spans="2:5" ht="20.100000000000001" customHeight="1" x14ac:dyDescent="0.2">
      <c r="B102" s="4" t="s">
        <v>584</v>
      </c>
      <c r="C102" s="362" t="s">
        <v>585</v>
      </c>
      <c r="D102" s="94" t="s">
        <v>585</v>
      </c>
      <c r="E102" s="337"/>
    </row>
    <row r="103" spans="2:5" ht="20.100000000000001" customHeight="1" x14ac:dyDescent="0.2">
      <c r="B103" s="4" t="s">
        <v>586</v>
      </c>
      <c r="C103" s="362" t="str">
        <f>CONCATENATE(this_instance,"-m01","-host-group-affinity-rule-ec01-en01")</f>
        <v>sfo-m01-host-group-affinity-rule-ec01-en01</v>
      </c>
      <c r="D103" s="94"/>
      <c r="E103" s="337"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100000000000001" customHeight="1" x14ac:dyDescent="0.2">
      <c r="B104" s="4" t="s">
        <v>587</v>
      </c>
      <c r="C104" s="362" t="str">
        <f>sample_mgmt_cl01_vsan_datastore</f>
        <v>sfo-m01-cl01-ds-vsan01</v>
      </c>
      <c r="D104" s="343" t="str">
        <f>mgmt_cl01_vsan_datastore</f>
        <v>LABVSANESA01</v>
      </c>
      <c r="E104" s="347" t="s">
        <v>588</v>
      </c>
    </row>
    <row r="105" spans="2:5" ht="20.100000000000001" customHeight="1" x14ac:dyDescent="0.2">
      <c r="B105" s="4" t="s">
        <v>589</v>
      </c>
      <c r="C105" s="89" t="s">
        <v>590</v>
      </c>
      <c r="D105" s="94" t="s">
        <v>590</v>
      </c>
      <c r="E105" s="337"/>
    </row>
    <row r="106" spans="2:5" ht="20.100000000000001" customHeight="1" x14ac:dyDescent="0.2">
      <c r="B106" s="4" t="s">
        <v>591</v>
      </c>
      <c r="C106" s="89" t="str">
        <f>sample_mgmt_cl01_az1_mgmt_vm_pg</f>
        <v>sfo-m01-cl01-vds01-pg-vm-mgmt</v>
      </c>
      <c r="D106" s="343" t="str">
        <f>mgmt_cl01_az1_mgmt_vm_pg</f>
        <v>VLAN_250_VMs</v>
      </c>
      <c r="E106" s="347" t="s">
        <v>592</v>
      </c>
    </row>
    <row r="107" spans="2:5" ht="20.100000000000001" customHeight="1" x14ac:dyDescent="0.2">
      <c r="B107" s="4" t="s">
        <v>593</v>
      </c>
      <c r="C107" s="89"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94"/>
      <c r="E107" s="337" t="str">
        <f>IF(mgmt_az1_en1_ip_allocation_chosen="DHCP","Inputs are masked out and only required if Static IP Allocation is selected","")</f>
        <v/>
      </c>
    </row>
    <row r="108" spans="2:5" ht="20.100000000000001" customHeight="1" x14ac:dyDescent="0.2">
      <c r="B108" s="4" t="s">
        <v>594</v>
      </c>
      <c r="C108" s="362" t="str">
        <f>sample_mgmt_az1_mgmt_vm_gateway_ip</f>
        <v>10.11.10.1</v>
      </c>
      <c r="D108" s="343" t="str">
        <f>mgmt_az1_mgmt_vm_gateway_ip</f>
        <v>10.100.50.1</v>
      </c>
      <c r="E108"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100000000000001" customHeight="1" x14ac:dyDescent="0.2">
      <c r="B109" s="4" t="s">
        <v>595</v>
      </c>
      <c r="C109" s="362" t="s">
        <v>596</v>
      </c>
      <c r="D109" s="94" t="s">
        <v>596</v>
      </c>
      <c r="E109" s="4"/>
    </row>
    <row r="110" spans="2:5" ht="20.100000000000001" customHeight="1" x14ac:dyDescent="0.2">
      <c r="B110" s="405" t="s">
        <v>597</v>
      </c>
      <c r="C110" s="406"/>
      <c r="D110" s="406"/>
      <c r="E110" s="407"/>
    </row>
    <row r="111" spans="2:5" ht="20.100000000000001" customHeight="1" x14ac:dyDescent="0.2">
      <c r="B111" s="4" t="s">
        <v>598</v>
      </c>
      <c r="C111" s="362" t="str">
        <f>IF(mgmt_cl01_vds_profile_chosen="Storage Traffic and NSX Traffic Separation","vmnic4",IF(mgmt_cl01_vds_profile_chosen="NSX Traffic Separation","vmnic2","vmnic0"))</f>
        <v>vmnic0</v>
      </c>
      <c r="D111" s="94"/>
      <c r="E111" s="337" t="s">
        <v>599</v>
      </c>
    </row>
    <row r="112" spans="2:5" ht="20.100000000000001" customHeight="1" x14ac:dyDescent="0.2">
      <c r="B112" s="17" t="s">
        <v>598</v>
      </c>
      <c r="C112" s="362" t="str">
        <f>IF(mgmt_cl01_vds_profile_chosen="Storage Traffic and NSX Traffic Separation","vmnic5",IF(mgmt_cl01_vds_profile_chosen="NSX Traffic Separation","vmnic3","vmnic1"))</f>
        <v>vmnic1</v>
      </c>
      <c r="D112" s="94"/>
      <c r="E112" s="337" t="s">
        <v>600</v>
      </c>
    </row>
    <row r="113" spans="2:5" ht="20.100000000000001" customHeight="1" x14ac:dyDescent="0.2">
      <c r="B113" s="17" t="s">
        <v>601</v>
      </c>
      <c r="C113" s="362" t="str">
        <f>IF(mgmt_cl01_vds_profile_chosen="Storage Traffic and NSX Traffic Separation","vmnic5",IF(mgmt_cl01_vds_profile_chosen="NSX Traffic Separation","vmnic3","vmnic1"))</f>
        <v>vmnic1</v>
      </c>
      <c r="D113" s="94"/>
      <c r="E113" s="337" t="s">
        <v>599</v>
      </c>
    </row>
    <row r="114" spans="2:5" ht="20.100000000000001" customHeight="1" x14ac:dyDescent="0.2">
      <c r="B114" s="22" t="s">
        <v>601</v>
      </c>
      <c r="C114" s="362" t="str">
        <f>IF(mgmt_cl01_vds_profile_chosen="Storage Traffic and NSX Traffic Separation","vmnic4",IF(mgmt_cl01_vds_profile_chosen="NSX Traffic Separation","vmnic2","vmnic0"))</f>
        <v>vmnic0</v>
      </c>
      <c r="D114" s="94"/>
      <c r="E114" s="337" t="s">
        <v>600</v>
      </c>
    </row>
    <row r="115" spans="2:5" ht="20.100000000000001" customHeight="1" x14ac:dyDescent="0.2">
      <c r="B115" s="4" t="s">
        <v>602</v>
      </c>
      <c r="C115" s="80" t="str">
        <f>CONCATENATE(prefix_mgmt_az1_vlan,"19")</f>
        <v>1119</v>
      </c>
      <c r="D115" s="347"/>
      <c r="E115" s="337" t="str">
        <f>IF(mgmt_ec01_use_host_overlay_chosen="Selected","Inputs are masked out as host overlay network and edge overlay networks will share the same network configuration","")</f>
        <v/>
      </c>
    </row>
    <row r="116" spans="2:5" ht="20.100000000000001" customHeight="1" x14ac:dyDescent="0.2">
      <c r="B116" s="4" t="s">
        <v>603</v>
      </c>
      <c r="C116" s="362" t="s">
        <v>604</v>
      </c>
      <c r="D116" s="94" t="s">
        <v>604</v>
      </c>
      <c r="E116" s="4"/>
    </row>
    <row r="117" spans="2:5" ht="20.100000000000001" customHeight="1" x14ac:dyDescent="0.2">
      <c r="B117" s="4" t="s">
        <v>605</v>
      </c>
      <c r="C117" s="89" t="str">
        <f>CONCATENATE(sample_mgmt_sddc_domain,"-r01-ip-pool02-edge")</f>
        <v>sfo-m01-r01-ip-pool02-edge</v>
      </c>
      <c r="D117" s="94"/>
      <c r="E117" s="337" t="str">
        <f>IF(mgmt_az1_en1_edge_overlay_network_ip_allocation_chosen&lt;&gt;"IP Pool","Inputs are masked out and only required if IP Pools are required","")</f>
        <v>Inputs are masked out and only required if IP Pools are required</v>
      </c>
    </row>
    <row r="118" spans="2:5" ht="20.100000000000001" customHeight="1" x14ac:dyDescent="0.2">
      <c r="B118" s="4" t="s">
        <v>606</v>
      </c>
      <c r="C118" s="89" t="str">
        <f>CONCATENATE(prefix_mgmt_az1_cidr,"19.2")</f>
        <v>10.11.19.2</v>
      </c>
      <c r="D118" s="94"/>
      <c r="E118" s="337" t="str">
        <f>IF(mgmt_az1_en1_edge_overlay_network_ip_allocation_chosen&lt;&gt;"IP Pool","Inputs are masked out and only required if IP Pools are required","")</f>
        <v>Inputs are masked out and only required if IP Pools are required</v>
      </c>
    </row>
    <row r="119" spans="2:5" ht="20.100000000000001" customHeight="1" x14ac:dyDescent="0.2">
      <c r="B119" s="4" t="s">
        <v>607</v>
      </c>
      <c r="C119" s="89" t="str">
        <f>CONCATENATE(prefix_mgmt_az1_cidr,"19.5")</f>
        <v>10.11.19.5</v>
      </c>
      <c r="D119" s="94"/>
      <c r="E119" s="337" t="str">
        <f>IF(mgmt_az1_en1_edge_overlay_network_ip_allocation_chosen&lt;&gt;"IP Pool","Inputs are masked out and only required if IP Pools are required","")</f>
        <v>Inputs are masked out and only required if IP Pools are required</v>
      </c>
    </row>
    <row r="120" spans="2:5" ht="20.100000000000001" customHeight="1" x14ac:dyDescent="0.2">
      <c r="B120" s="4" t="s">
        <v>608</v>
      </c>
      <c r="C120" s="89" t="str">
        <f>CONCATENATE(prefix_mgmt_az1_cidr,"19.2")</f>
        <v>10.11.19.2</v>
      </c>
      <c r="D120" s="347"/>
      <c r="E120" s="337"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100000000000001" customHeight="1" x14ac:dyDescent="0.2">
      <c r="B121" s="4" t="s">
        <v>609</v>
      </c>
      <c r="C121" s="89" t="str">
        <f>CONCATENATE(prefix_mgmt_az1_cidr,"19.3")</f>
        <v>10.11.19.3</v>
      </c>
      <c r="D121" s="347"/>
      <c r="E121" s="337"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100000000000001" customHeight="1" x14ac:dyDescent="0.2">
      <c r="B122" s="4" t="s">
        <v>610</v>
      </c>
      <c r="C122" s="80" t="str">
        <f>CONCATENATE(prefix_mgmt_az1_cidr,"19.1")</f>
        <v>10.11.19.1</v>
      </c>
      <c r="D122" s="347"/>
      <c r="E122" s="4"/>
    </row>
    <row r="123" spans="2:5" ht="20.100000000000001" customHeight="1" x14ac:dyDescent="0.2">
      <c r="B123" s="4" t="s">
        <v>611</v>
      </c>
      <c r="C123" s="362" t="s">
        <v>612</v>
      </c>
      <c r="D123" s="94"/>
      <c r="E123" s="4"/>
    </row>
    <row r="124" spans="2:5" ht="20.100000000000001" customHeight="1" x14ac:dyDescent="0.2">
      <c r="B124" s="405" t="s">
        <v>613</v>
      </c>
      <c r="C124" s="406"/>
      <c r="D124" s="406"/>
      <c r="E124" s="407"/>
    </row>
    <row r="125" spans="2:5" ht="20.100000000000001" customHeight="1" x14ac:dyDescent="0.2">
      <c r="B125" s="4" t="s">
        <v>614</v>
      </c>
      <c r="C125" s="126" t="str">
        <f>CONCATENATE(this_instance,"-m01-r01-en02",".",sample_child_dns_zone)</f>
        <v>sfo-m01-r01-en02.sfo.rainpole.io</v>
      </c>
      <c r="D125" s="347"/>
      <c r="E125" s="4"/>
    </row>
    <row r="126" spans="2:5" ht="20.100000000000001" customHeight="1" x14ac:dyDescent="0.2">
      <c r="B126" s="4" t="s">
        <v>302</v>
      </c>
      <c r="C126" s="362" t="str">
        <f>sample_mgmt_cl01_cluster</f>
        <v>sfo-m01-cl01</v>
      </c>
      <c r="D126" s="343" t="str">
        <f>mgmt_cl01_cluster</f>
        <v>vcf-mgmt-cluster01</v>
      </c>
      <c r="E126" s="347" t="s">
        <v>581</v>
      </c>
    </row>
    <row r="127" spans="2:5" ht="20.100000000000001" customHeight="1" x14ac:dyDescent="0.2">
      <c r="B127" s="4" t="s">
        <v>582</v>
      </c>
      <c r="C127" s="362" t="str">
        <f>sample_mgmt_ec_rp_name</f>
        <v>sfo-m01-cl01-rp-ec01</v>
      </c>
      <c r="D127" s="343" t="str">
        <f>mgmt_ec_rp_name</f>
        <v>Value Missing</v>
      </c>
      <c r="E127" s="337" t="str">
        <f>IF(input_mgmt_ec_rp_name="","Input is masked out based on based Resource Pool value for Edge node 1","")</f>
        <v>Input is masked out based on based Resource Pool value for Edge node 1</v>
      </c>
    </row>
    <row r="128" spans="2:5" ht="20.100000000000001" customHeight="1" x14ac:dyDescent="0.2">
      <c r="B128" s="4" t="s">
        <v>584</v>
      </c>
      <c r="C128" s="362" t="s">
        <v>585</v>
      </c>
      <c r="D128" s="343" t="str">
        <f>_xlfn.SINGLE(mgmt_ec01_host_group_affinity_rule_chosen)</f>
        <v>No</v>
      </c>
      <c r="E128" s="337" t="s">
        <v>615</v>
      </c>
    </row>
    <row r="129" spans="2:5" ht="20.100000000000001" customHeight="1" x14ac:dyDescent="0.2">
      <c r="B129" s="4" t="s">
        <v>586</v>
      </c>
      <c r="C129" s="362" t="str">
        <f>CONCATENATE(this_instance,"-m01","-host-group-affinity-rule-ec01-en02")</f>
        <v>sfo-m01-host-group-affinity-rule-ec01-en02</v>
      </c>
      <c r="D129" s="94"/>
      <c r="E129" s="337"/>
    </row>
    <row r="130" spans="2:5" ht="20.100000000000001" customHeight="1" x14ac:dyDescent="0.2">
      <c r="B130" s="4" t="s">
        <v>587</v>
      </c>
      <c r="C130" s="362" t="str">
        <f>sample_mgmt_cl01_vsan_datastore</f>
        <v>sfo-m01-cl01-ds-vsan01</v>
      </c>
      <c r="D130" s="343" t="str">
        <f>mgmt_cl01_vsan_datastore</f>
        <v>LABVSANESA01</v>
      </c>
      <c r="E130" s="347" t="s">
        <v>588</v>
      </c>
    </row>
    <row r="131" spans="2:5" ht="20.100000000000001" customHeight="1" x14ac:dyDescent="0.2">
      <c r="B131" s="4" t="s">
        <v>589</v>
      </c>
      <c r="C131" s="89" t="s">
        <v>590</v>
      </c>
      <c r="D131" s="337" t="str">
        <f>mgmt_az1_en1_ip_allocation_chosen</f>
        <v>Static</v>
      </c>
      <c r="E131" s="337" t="s">
        <v>616</v>
      </c>
    </row>
    <row r="132" spans="2:5" ht="20.100000000000001" customHeight="1" x14ac:dyDescent="0.2">
      <c r="B132" s="4" t="s">
        <v>591</v>
      </c>
      <c r="C132" s="89" t="str">
        <f>sample_mgmt_cl01_az1_mgmt_vm_pg</f>
        <v>sfo-m01-cl01-vds01-pg-vm-mgmt</v>
      </c>
      <c r="D132" s="337" t="str">
        <f>mgmt_cl01_az1_mgmt_vm_pg</f>
        <v>VLAN_250_VMs</v>
      </c>
      <c r="E132" s="347" t="s">
        <v>592</v>
      </c>
    </row>
    <row r="133" spans="2:5" ht="20.100000000000001" customHeight="1" x14ac:dyDescent="0.2">
      <c r="B133" s="4" t="s">
        <v>617</v>
      </c>
      <c r="C133" s="89"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347"/>
      <c r="E133" s="337" t="str">
        <f>IF(mgmt_az1_en1_ip_allocation_chosen="DHCP","Inputs are masked out and only required if Static IP Allocation is selected","")</f>
        <v/>
      </c>
    </row>
    <row r="134" spans="2:5" ht="20.100000000000001" customHeight="1" x14ac:dyDescent="0.2">
      <c r="B134" s="4" t="s">
        <v>618</v>
      </c>
      <c r="C134" s="362" t="str">
        <f>sample_mgmt_az1_mgmt_vm_gateway_ip</f>
        <v>10.11.10.1</v>
      </c>
      <c r="D134" s="343" t="str">
        <f>mgmt_az1_mgmt_vm_gateway_ip</f>
        <v>10.100.50.1</v>
      </c>
      <c r="E134"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20.100000000000001" customHeight="1" x14ac:dyDescent="0.2">
      <c r="B135" s="4" t="s">
        <v>595</v>
      </c>
      <c r="C135" s="362" t="s">
        <v>596</v>
      </c>
      <c r="D135" s="343" t="str">
        <f>mgmt_ec01_use_host_overlay_chosen</f>
        <v xml:space="preserve">Unselected </v>
      </c>
      <c r="E135" s="337" t="s">
        <v>619</v>
      </c>
    </row>
    <row r="136" spans="2:5" ht="20.100000000000001" customHeight="1" x14ac:dyDescent="0.2">
      <c r="B136" s="405" t="s">
        <v>620</v>
      </c>
      <c r="C136" s="406"/>
      <c r="D136" s="406"/>
      <c r="E136" s="407"/>
    </row>
    <row r="137" spans="2:5" ht="20.100000000000001" customHeight="1" x14ac:dyDescent="0.2">
      <c r="B137" s="4" t="s">
        <v>598</v>
      </c>
      <c r="C137" s="362" t="str">
        <f>IF(mgmt_cl01_vds_profile_chosen="Storage Traffic and NSX Traffic Separation","vmnic4",IF(mgmt_cl01_vds_profile_chosen="NSX Traffic Separation","vmnic2","vmnic0"))</f>
        <v>vmnic0</v>
      </c>
      <c r="D137" s="94"/>
      <c r="E137" s="4"/>
    </row>
    <row r="138" spans="2:5" ht="20.100000000000001" customHeight="1" x14ac:dyDescent="0.2">
      <c r="B138" s="17" t="s">
        <v>598</v>
      </c>
      <c r="C138" s="362" t="str">
        <f>IF(mgmt_cl01_vds_profile_chosen="Storage Traffic and NSX Traffic Separation","vmnic5",IF(mgmt_cl01_vds_profile_chosen="NSX Traffic Separation","vmnic3","vmnic1"))</f>
        <v>vmnic1</v>
      </c>
      <c r="D138" s="94"/>
      <c r="E138" s="4"/>
    </row>
    <row r="139" spans="2:5" ht="20.100000000000001" customHeight="1" x14ac:dyDescent="0.2">
      <c r="B139" s="17" t="s">
        <v>601</v>
      </c>
      <c r="C139" s="362" t="str">
        <f>IF(mgmt_cl01_vds_profile_chosen="Storage Traffic and NSX Traffic Separation","vmnic5",IF(mgmt_cl01_vds_profile_chosen="NSX Traffic Separation","vmnic3","vmnic1"))</f>
        <v>vmnic1</v>
      </c>
      <c r="D139" s="94"/>
      <c r="E139" s="4"/>
    </row>
    <row r="140" spans="2:5" ht="20.100000000000001" customHeight="1" x14ac:dyDescent="0.2">
      <c r="B140" s="22" t="s">
        <v>601</v>
      </c>
      <c r="C140" s="362" t="str">
        <f>IF(mgmt_cl01_vds_profile_chosen="Storage Traffic and NSX Traffic Separation","vmnic4",IF(mgmt_cl01_vds_profile_chosen="NSX Traffic Separation","vmnic2","vmnic0"))</f>
        <v>vmnic0</v>
      </c>
      <c r="D140" s="94"/>
      <c r="E140" s="4"/>
    </row>
    <row r="141" spans="2:5" ht="20.100000000000001" customHeight="1" x14ac:dyDescent="0.2">
      <c r="B141" s="4" t="s">
        <v>602</v>
      </c>
      <c r="C141" s="80" t="str">
        <f>sample_mgmt_az1_edge_overlay_vlan</f>
        <v>1119</v>
      </c>
      <c r="D141" s="337" t="str">
        <f>mgmt_az1_edge_overlay_vlan</f>
        <v>Value Missing</v>
      </c>
      <c r="E141" s="337"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100000000000001" customHeight="1" x14ac:dyDescent="0.2">
      <c r="B142" s="4" t="s">
        <v>603</v>
      </c>
      <c r="C142" s="362" t="s">
        <v>604</v>
      </c>
      <c r="D142" s="343" t="str">
        <f>mgmt_az1_en1_edge_overlay_network_ip_allocation_chosen</f>
        <v>Static IP List</v>
      </c>
      <c r="E142" s="337"/>
    </row>
    <row r="143" spans="2:5" ht="20.100000000000001" customHeight="1" x14ac:dyDescent="0.2">
      <c r="B143" s="4" t="s">
        <v>605</v>
      </c>
      <c r="C143" s="362" t="str">
        <f>sample_mgmt_az1_edge_overlay_network_pool_name</f>
        <v>sfo-m01-r01-ip-pool02-edge</v>
      </c>
      <c r="D143" s="343" t="str">
        <f>mgmt_az1_edge_overlay_network_pool_name</f>
        <v>Value Missing</v>
      </c>
      <c r="E143" s="337"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100000000000001" customHeight="1" x14ac:dyDescent="0.2">
      <c r="B144" s="4" t="s">
        <v>621</v>
      </c>
      <c r="C144" s="89" t="str">
        <f>CONCATENATE(prefix_mgmt_az1_cidr,"19.4")</f>
        <v>10.11.19.4</v>
      </c>
      <c r="D144" s="347"/>
      <c r="E144" s="337"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100000000000001" customHeight="1" x14ac:dyDescent="0.2">
      <c r="B145" s="4" t="s">
        <v>622</v>
      </c>
      <c r="C145" s="89" t="str">
        <f>CONCATENATE(prefix_mgmt_az1_cidr,"19.5")</f>
        <v>10.11.19.5</v>
      </c>
      <c r="D145" s="347"/>
      <c r="E145" s="337"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100000000000001" customHeight="1" x14ac:dyDescent="0.2">
      <c r="B146" s="4" t="s">
        <v>610</v>
      </c>
      <c r="C146" s="362" t="str">
        <f>sample_mgmt_az1_edge_overlay_gateway_ip</f>
        <v>10.11.19.1</v>
      </c>
      <c r="D146" s="337" t="str">
        <f>mgmt_az1_edge_overlay_gateway_ip</f>
        <v>Value Missing</v>
      </c>
      <c r="E146" s="337" t="str">
        <f>IF(mgmt_az1_en1_edge_overlay_network_ip_allocation_chosen&lt;&gt;"Static IP List","Inputs are masked out and only required if Static IP List are required","")</f>
        <v/>
      </c>
    </row>
    <row r="147" spans="2:5" ht="20.100000000000001" customHeight="1" x14ac:dyDescent="0.2">
      <c r="B147" s="4" t="s">
        <v>611</v>
      </c>
      <c r="C147" s="362" t="str">
        <f>sample_mgmt_az1_edge_overlay_mask</f>
        <v>255.255.255.0</v>
      </c>
      <c r="D147" s="343" t="str">
        <f>mgmt_az1_edge_overlay_mask</f>
        <v>Value Missing</v>
      </c>
      <c r="E147" s="337"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100000000000001" customHeight="1" x14ac:dyDescent="0.2">
      <c r="B148" s="4" t="s">
        <v>623</v>
      </c>
      <c r="C148" s="362" t="s">
        <v>596</v>
      </c>
      <c r="D148" s="94" t="s">
        <v>596</v>
      </c>
      <c r="E148" s="4"/>
    </row>
    <row r="149" spans="2:5" ht="20.100000000000001" customHeight="1" x14ac:dyDescent="0.2">
      <c r="B149" s="4" t="s">
        <v>624</v>
      </c>
      <c r="C149" s="362" t="s">
        <v>297</v>
      </c>
      <c r="D149" s="347"/>
      <c r="E149" s="337" t="str">
        <f>IF(mgmt_az1_ec01_password_creation_chosen="Selected","Inputs are masked out as you have opted to deploy with system generated passwords","Minimum 15 Characters, 1 Uppercase, 1 Special")</f>
        <v>Minimum 15 Characters, 1 Uppercase, 1 Special</v>
      </c>
    </row>
    <row r="150" spans="2:5" ht="20.100000000000001" customHeight="1" x14ac:dyDescent="0.2">
      <c r="B150" s="4" t="s">
        <v>625</v>
      </c>
      <c r="C150" s="362" t="s">
        <v>297</v>
      </c>
      <c r="D150" s="347"/>
      <c r="E150" s="337" t="str">
        <f>IF(mgmt_az1_ec01_password_creation_chosen="Selected","Inputs are masked out as you have opted to deploy with system generated passwords","Minimum 15 Characters, 1 Uppercase, 1 Special")</f>
        <v>Minimum 15 Characters, 1 Uppercase, 1 Special</v>
      </c>
    </row>
    <row r="151" spans="2:5" ht="20.100000000000001" customHeight="1" x14ac:dyDescent="0.2">
      <c r="B151" s="405" t="s">
        <v>626</v>
      </c>
      <c r="C151" s="406"/>
      <c r="D151" s="406"/>
      <c r="E151" s="407"/>
    </row>
    <row r="152" spans="2:5" ht="20.100000000000001" customHeight="1" x14ac:dyDescent="0.2">
      <c r="B152" s="4" t="s">
        <v>627</v>
      </c>
      <c r="C152" s="362" t="str">
        <f>IF(AND(mgmt_nsxt_federation_chosen="Standby Global Manager",(mgmt_vns_chosen="Centralized Connectivity")),"Selected","Unselected")</f>
        <v>Unselected</v>
      </c>
      <c r="D152" s="347" t="s">
        <v>286</v>
      </c>
      <c r="E152" s="337"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100000000000001" customHeight="1" x14ac:dyDescent="0.2">
      <c r="B153" s="4" t="s">
        <v>628</v>
      </c>
      <c r="C153" s="362" t="str">
        <f>CONCATENATE(this_instance,"-m01-ec01-t0-gw01")</f>
        <v>sfo-m01-ec01-t0-gw01</v>
      </c>
      <c r="D153" s="347"/>
      <c r="E153" s="4"/>
    </row>
    <row r="154" spans="2:5" ht="20.100000000000001" customHeight="1" x14ac:dyDescent="0.2">
      <c r="B154" s="4" t="s">
        <v>629</v>
      </c>
      <c r="C154" s="362" t="s">
        <v>630</v>
      </c>
      <c r="D154" s="94" t="s">
        <v>630</v>
      </c>
      <c r="E154" s="4"/>
    </row>
    <row r="155" spans="2:5" ht="20.100000000000001" customHeight="1" x14ac:dyDescent="0.2">
      <c r="B155" s="4" t="s">
        <v>631</v>
      </c>
      <c r="C155" s="362" t="s">
        <v>632</v>
      </c>
      <c r="D155" s="94" t="s">
        <v>632</v>
      </c>
      <c r="E155" s="4"/>
    </row>
    <row r="156" spans="2:5" ht="20.100000000000001" customHeight="1" x14ac:dyDescent="0.2">
      <c r="B156" s="4" t="s">
        <v>633</v>
      </c>
      <c r="C156" s="80" t="str">
        <f>IF(mgmt_domain_chosen="First Instance","65101","65201")</f>
        <v>65101</v>
      </c>
      <c r="D156" s="347"/>
      <c r="E156" s="4"/>
    </row>
    <row r="157" spans="2:5" ht="20.100000000000001" customHeight="1" x14ac:dyDescent="0.2">
      <c r="B157" s="405" t="s">
        <v>634</v>
      </c>
      <c r="C157" s="406"/>
      <c r="D157" s="406"/>
      <c r="E157" s="407"/>
    </row>
    <row r="158" spans="2:5" ht="20.100000000000001" customHeight="1" x14ac:dyDescent="0.2">
      <c r="B158" s="351" t="s">
        <v>635</v>
      </c>
      <c r="C158" s="80" t="str">
        <f>CONCATENATE(prefix_mgmt_az1_vlan,"17")</f>
        <v>1117</v>
      </c>
      <c r="D158" s="347"/>
      <c r="E158" s="337" t="s">
        <v>636</v>
      </c>
    </row>
    <row r="159" spans="2:5" ht="20.100000000000001" customHeight="1" x14ac:dyDescent="0.2">
      <c r="B159" s="351" t="s">
        <v>637</v>
      </c>
      <c r="C159" s="89" t="str">
        <f>CONCATENATE(prefix_mgmt_az1_cidr,"17.2","/",INT(RIGHT(sample_mgmt_az1_uplink01_cidr,LEN(sample_mgmt_az1_uplink01_cidr)-FIND("/",sample_mgmt_az1_uplink01_cidr))))</f>
        <v>10.11.17.2/24</v>
      </c>
      <c r="D159" s="347"/>
      <c r="E159" s="337" t="s">
        <v>638</v>
      </c>
    </row>
    <row r="160" spans="2:5" ht="20.100000000000001" customHeight="1" x14ac:dyDescent="0.2">
      <c r="B160" s="351" t="s">
        <v>639</v>
      </c>
      <c r="C160" s="80" t="str">
        <f>CONCATENATE(prefix_mgmt_az1_cidr,"17.10")</f>
        <v>10.11.17.10</v>
      </c>
      <c r="D160" s="347"/>
      <c r="E160" s="337" t="str">
        <f>IF(mgmt_gateway_routing_type_chosen="STATIC","Value is masked out due to Gateway Routing Type. Value is only requied if BGP is selected", "Top of Rack 1 - IP Address")</f>
        <v>Top of Rack 1 - IP Address</v>
      </c>
    </row>
    <row r="161" spans="2:5" ht="20.100000000000001" customHeight="1" x14ac:dyDescent="0.2">
      <c r="B161" s="351" t="s">
        <v>640</v>
      </c>
      <c r="C161" s="362" t="s">
        <v>323</v>
      </c>
      <c r="D161" s="347" t="s">
        <v>323</v>
      </c>
      <c r="E161" s="337"/>
    </row>
    <row r="162" spans="2:5" ht="20.100000000000001" customHeight="1" x14ac:dyDescent="0.2">
      <c r="B162" s="351" t="s">
        <v>401</v>
      </c>
      <c r="C162" s="362">
        <v>9000</v>
      </c>
      <c r="D162" s="347"/>
      <c r="E162" s="337"/>
    </row>
    <row r="163" spans="2:5" ht="20.100000000000001" customHeight="1" x14ac:dyDescent="0.2">
      <c r="B163" s="351" t="s">
        <v>641</v>
      </c>
      <c r="C163" s="80" t="str">
        <f>IF(wld_domain_chosen="First Domain",CONCATENATE(asn_start,asn_instance,asn_mgmt_az1,1),IF(wld_nsxt_federation_result="Included",CONCATENATE(asn_start,asn_instance,asn_mgmt_az1,1),CONCATENATE(asn_start,asn_instance,asn_mgmt_az1,1)))</f>
        <v>65111</v>
      </c>
      <c r="D163" s="347"/>
      <c r="E163" s="345" t="str">
        <f>IF(mgmt_gateway_routing_type_chosen="STATIC","Value is masked out due to Gateway Routing Type. Value is only requied if BGP is selected", "Top of Rack 1 - Autonomous System ID")</f>
        <v>Top of Rack 1 - Autonomous System ID</v>
      </c>
    </row>
    <row r="164" spans="2:5" ht="20.100000000000001" customHeight="1" x14ac:dyDescent="0.2">
      <c r="B164" s="351" t="s">
        <v>642</v>
      </c>
      <c r="C164" s="80" t="s">
        <v>379</v>
      </c>
      <c r="D164" s="347"/>
      <c r="E164" s="345" t="str">
        <f>IF(mgmt_gateway_routing_type_chosen="STATIC","Value is masked out due to Gateway Routing Type. Value is only requied if BGP is selected", "Top of Rack 1 - BGP Neighbor Password")</f>
        <v>Top of Rack 1 - BGP Neighbor Password</v>
      </c>
    </row>
    <row r="165" spans="2:5" ht="20.100000000000001" customHeight="1" x14ac:dyDescent="0.2">
      <c r="B165" s="351" t="s">
        <v>643</v>
      </c>
      <c r="C165" s="80" t="str">
        <f>CONCATENATE(prefix_mgmt_az1_vlan,"18")</f>
        <v>1118</v>
      </c>
      <c r="D165" s="347"/>
      <c r="E165" s="345" t="s">
        <v>644</v>
      </c>
    </row>
    <row r="166" spans="2:5" ht="20.100000000000001" customHeight="1" x14ac:dyDescent="0.2">
      <c r="B166" s="351" t="s">
        <v>637</v>
      </c>
      <c r="C166" s="89" t="str">
        <f>CONCATENATE(prefix_mgmt_az1_cidr,"18.2","/",INT(RIGHT(sample_mgmt_az1_uplink02_cidr,LEN(sample_mgmt_az1_uplink02_cidr)-FIND("/",sample_mgmt_az1_uplink02_cidr))))</f>
        <v>10.11.18.2/24</v>
      </c>
      <c r="D166" s="347"/>
      <c r="E166" s="345" t="s">
        <v>645</v>
      </c>
    </row>
    <row r="167" spans="2:5" ht="20.100000000000001" customHeight="1" x14ac:dyDescent="0.2">
      <c r="B167" s="351" t="s">
        <v>639</v>
      </c>
      <c r="C167" s="80" t="str">
        <f>CONCATENATE(prefix_mgmt_az1_cidr,"18.10")</f>
        <v>10.11.18.10</v>
      </c>
      <c r="D167" s="347"/>
      <c r="E167" s="345" t="str">
        <f>IF(mgmt_gateway_routing_type_chosen="STATIC","Value is masked out due to Gateway Routing Type. Value is only requied if BGP is selected", "Top of Rack 2 - IP Address")</f>
        <v>Top of Rack 2 - IP Address</v>
      </c>
    </row>
    <row r="168" spans="2:5" ht="20.100000000000001" customHeight="1" x14ac:dyDescent="0.2">
      <c r="B168" s="351" t="s">
        <v>640</v>
      </c>
      <c r="C168" s="362" t="s">
        <v>323</v>
      </c>
      <c r="D168" s="337" t="str">
        <f>mgmt_en01_bfd_chosen</f>
        <v>Selected</v>
      </c>
      <c r="E168" s="345"/>
    </row>
    <row r="169" spans="2:5" ht="20.100000000000001" customHeight="1" x14ac:dyDescent="0.2">
      <c r="B169" s="351" t="s">
        <v>401</v>
      </c>
      <c r="C169" s="80">
        <v>9000</v>
      </c>
      <c r="D169" s="347"/>
      <c r="E169" s="345"/>
    </row>
    <row r="170" spans="2:5" ht="20.100000000000001" customHeight="1" x14ac:dyDescent="0.2">
      <c r="B170" s="351" t="s">
        <v>641</v>
      </c>
      <c r="C170" s="80" t="str">
        <f>IF(wld_domain_chosen="First Domain",CONCATENATE(asn_start,asn_instance,asn_mgmt_az1,1),IF(wld_nsxt_federation_result="Included",CONCATENATE(asn_start,asn_instance,asn_mgmt_az1,1),CONCATENATE(asn_start,asn_instance,asn_mgmt_az1,1)))</f>
        <v>65111</v>
      </c>
      <c r="D170" s="347"/>
      <c r="E170" s="337" t="str">
        <f>IF(mgmt_gateway_routing_type_chosen="STATIC","Value is masked out due to Gateway Routing Type. Value is only requied if BGP is selected", "Top of Rack 2 - Autonomous System ID")</f>
        <v>Top of Rack 2 - Autonomous System ID</v>
      </c>
    </row>
    <row r="171" spans="2:5" ht="20.100000000000001" customHeight="1" x14ac:dyDescent="0.2">
      <c r="B171" s="351" t="s">
        <v>642</v>
      </c>
      <c r="C171" s="80" t="s">
        <v>379</v>
      </c>
      <c r="D171" s="347"/>
      <c r="E171" s="337" t="str">
        <f>IF(mgmt_gateway_routing_type_chosen="STATIC","Value is masked out due to Gateway Routing Type. Value is only requied if BGP is selected", "Top of Rack 2 - BGP Neighbor Password")</f>
        <v>Top of Rack 2 - BGP Neighbor Password</v>
      </c>
    </row>
    <row r="172" spans="2:5" ht="20.100000000000001" customHeight="1" x14ac:dyDescent="0.2">
      <c r="B172" s="405" t="s">
        <v>646</v>
      </c>
      <c r="C172" s="406"/>
      <c r="D172" s="406"/>
      <c r="E172" s="407"/>
    </row>
    <row r="173" spans="2:5" ht="20.100000000000001" customHeight="1" x14ac:dyDescent="0.2">
      <c r="B173" s="17" t="s">
        <v>635</v>
      </c>
      <c r="C173" s="362" t="str">
        <f>sample_mgmt_az1_uplink01_vlan</f>
        <v>1117</v>
      </c>
      <c r="D173" s="343" t="str">
        <f>mgmt_az1_uplink01_vlan</f>
        <v>Value Missing</v>
      </c>
      <c r="E173" s="153" t="s">
        <v>636</v>
      </c>
    </row>
    <row r="174" spans="2:5" ht="20.100000000000001" customHeight="1" x14ac:dyDescent="0.2">
      <c r="B174" s="17" t="s">
        <v>637</v>
      </c>
      <c r="C174" s="89" t="str">
        <f>CONCATENATE(prefix_mgmt_az1_cidr,"17.3","/",INT(RIGHT(sample_mgmt_az1_uplink01_cidr,LEN(sample_mgmt_az1_uplink01_cidr)-FIND("/",sample_mgmt_az1_uplink01_cidr))))</f>
        <v>10.11.17.3/24</v>
      </c>
      <c r="D174" s="347"/>
      <c r="E174" s="337" t="s">
        <v>647</v>
      </c>
    </row>
    <row r="175" spans="2:5" ht="20.100000000000001" customHeight="1" x14ac:dyDescent="0.2">
      <c r="B175" s="17" t="s">
        <v>639</v>
      </c>
      <c r="C175" s="362" t="str">
        <f>sample_mgmt_az1_tor1_peer_ip</f>
        <v>10.11.17.10</v>
      </c>
      <c r="D175" s="343" t="str">
        <f>mgmt_az1_tor1_peer_ip</f>
        <v>Value Missing</v>
      </c>
      <c r="E175" s="337" t="s">
        <v>648</v>
      </c>
    </row>
    <row r="176" spans="2:5" ht="20.100000000000001" customHeight="1" x14ac:dyDescent="0.2">
      <c r="B176" s="17" t="s">
        <v>640</v>
      </c>
      <c r="C176" s="362" t="s">
        <v>323</v>
      </c>
      <c r="D176" s="347" t="s">
        <v>323</v>
      </c>
      <c r="E176" s="302"/>
    </row>
    <row r="177" spans="2:5" ht="20.100000000000001" customHeight="1" x14ac:dyDescent="0.2">
      <c r="B177" s="17" t="s">
        <v>401</v>
      </c>
      <c r="C177" s="362">
        <v>9000</v>
      </c>
      <c r="D177" s="337" t="str">
        <f>mgmt_az1_uplink01_mtu</f>
        <v>Value Missing</v>
      </c>
      <c r="E177" s="345"/>
    </row>
    <row r="178" spans="2:5" ht="20.100000000000001" customHeight="1" x14ac:dyDescent="0.2">
      <c r="B178" s="17" t="s">
        <v>641</v>
      </c>
      <c r="C178" s="362" t="str">
        <f>sample_mgmt_az1_tor1_peer_asn</f>
        <v>65111</v>
      </c>
      <c r="D178" s="343" t="str">
        <f>mgmt_az1_tor1_peer_asn</f>
        <v>Value Missing</v>
      </c>
      <c r="E178" s="337" t="s">
        <v>649</v>
      </c>
    </row>
    <row r="179" spans="2:5" ht="20.100000000000001" customHeight="1" x14ac:dyDescent="0.2">
      <c r="B179" s="17" t="s">
        <v>642</v>
      </c>
      <c r="C179" s="362" t="str">
        <f>sample_mgmt_az1_tor1_peer_bgp_password</f>
        <v>VMw@re1!</v>
      </c>
      <c r="D179" s="343" t="str">
        <f>mgmt_az1_tor1_peer_bgp_password</f>
        <v>Value Missing</v>
      </c>
      <c r="E179" s="337" t="s">
        <v>650</v>
      </c>
    </row>
    <row r="180" spans="2:5" ht="20.100000000000001" customHeight="1" x14ac:dyDescent="0.2">
      <c r="B180" s="17" t="s">
        <v>643</v>
      </c>
      <c r="C180" s="362" t="str">
        <f>sample_mgmt_az1_uplink02_vlan</f>
        <v>1118</v>
      </c>
      <c r="D180" s="343" t="str">
        <f>mgmt_az1_uplink02_vlan</f>
        <v>Value Missing</v>
      </c>
      <c r="E180" s="337" t="s">
        <v>644</v>
      </c>
    </row>
    <row r="181" spans="2:5" ht="20.100000000000001" customHeight="1" x14ac:dyDescent="0.2">
      <c r="B181" s="17" t="s">
        <v>637</v>
      </c>
      <c r="C181" s="89" t="str">
        <f>CONCATENATE(prefix_mgmt_az1_cidr,"18.3","/",INT(RIGHT(sample_mgmt_az1_uplink02_cidr,LEN(sample_mgmt_az1_uplink02_cidr)-FIND("/",sample_mgmt_az1_uplink02_cidr))))</f>
        <v>10.11.18.3/24</v>
      </c>
      <c r="D181" s="347"/>
      <c r="E181" s="337" t="s">
        <v>645</v>
      </c>
    </row>
    <row r="182" spans="2:5" ht="20.100000000000001" customHeight="1" x14ac:dyDescent="0.2">
      <c r="B182" s="17" t="s">
        <v>639</v>
      </c>
      <c r="C182" s="362" t="str">
        <f>sample_mgmt_az1_tor2_peer_ip</f>
        <v>10.11.18.10</v>
      </c>
      <c r="D182" s="343" t="str">
        <f>mgmt_az1_tor2_peer_ip</f>
        <v>Value Missing</v>
      </c>
      <c r="E182" s="337" t="s">
        <v>651</v>
      </c>
    </row>
    <row r="183" spans="2:5" ht="20.100000000000001" customHeight="1" x14ac:dyDescent="0.2">
      <c r="B183" s="17" t="s">
        <v>640</v>
      </c>
      <c r="C183" s="362" t="s">
        <v>323</v>
      </c>
      <c r="D183" s="337" t="str">
        <f>mgmt_en02_bfd_chosen</f>
        <v>Selected</v>
      </c>
      <c r="E183" s="302"/>
    </row>
    <row r="184" spans="2:5" ht="20.100000000000001" customHeight="1" x14ac:dyDescent="0.2">
      <c r="B184" s="17" t="s">
        <v>401</v>
      </c>
      <c r="C184" s="362">
        <v>9000</v>
      </c>
      <c r="D184" s="337" t="str">
        <f>mgmt_az1_uplink02_mtu</f>
        <v>Value Missing</v>
      </c>
      <c r="E184" s="345"/>
    </row>
    <row r="185" spans="2:5" ht="20.100000000000001" customHeight="1" x14ac:dyDescent="0.2">
      <c r="B185" s="17" t="s">
        <v>641</v>
      </c>
      <c r="C185" s="362" t="str">
        <f>sample_mgmt_az1_tor2_peer_asn</f>
        <v>65111</v>
      </c>
      <c r="D185" s="343" t="str">
        <f>mgmt_az1_tor2_peer_asn</f>
        <v>Value Missing</v>
      </c>
      <c r="E185" s="337" t="s">
        <v>652</v>
      </c>
    </row>
    <row r="186" spans="2:5" ht="20.100000000000001" customHeight="1" x14ac:dyDescent="0.2">
      <c r="B186" s="17" t="s">
        <v>642</v>
      </c>
      <c r="C186" s="362" t="str">
        <f>sample_mgmt_az1_tor2_peer_bgp_password</f>
        <v>VMw@re1!</v>
      </c>
      <c r="D186" s="343" t="str">
        <f>mgmt_az1_tor2_peer_bgp_password</f>
        <v>Value Missing</v>
      </c>
      <c r="E186" s="337" t="s">
        <v>653</v>
      </c>
    </row>
    <row r="187" spans="2:5" ht="20.100000000000001" customHeight="1" x14ac:dyDescent="0.2">
      <c r="B187" s="414" t="s">
        <v>654</v>
      </c>
      <c r="C187" s="501"/>
      <c r="D187" s="415"/>
      <c r="E187" s="416"/>
    </row>
    <row r="188" spans="2:5" ht="20.100000000000001" customHeight="1" x14ac:dyDescent="0.2">
      <c r="B188" s="4" t="s">
        <v>655</v>
      </c>
      <c r="C188" s="362" t="s">
        <v>656</v>
      </c>
      <c r="D188" s="94"/>
      <c r="E188" s="337" t="s">
        <v>657</v>
      </c>
    </row>
    <row r="189" spans="2:5" ht="20.100000000000001" customHeight="1" x14ac:dyDescent="0.2">
      <c r="B189" s="4" t="s">
        <v>658</v>
      </c>
      <c r="C189" s="362" t="s">
        <v>659</v>
      </c>
      <c r="D189" s="94"/>
      <c r="E189" s="337" t="s">
        <v>660</v>
      </c>
    </row>
    <row r="190" spans="2:5" ht="20.100000000000001" customHeight="1" x14ac:dyDescent="0.2">
      <c r="B190" s="414" t="s">
        <v>661</v>
      </c>
      <c r="C190" s="415"/>
      <c r="D190" s="415"/>
      <c r="E190" s="416"/>
    </row>
    <row r="191" spans="2:5" ht="20.100000000000001" customHeight="1" x14ac:dyDescent="0.2">
      <c r="B191" s="4" t="s">
        <v>662</v>
      </c>
      <c r="C191" s="80" t="s">
        <v>663</v>
      </c>
      <c r="D191" s="355" t="s">
        <v>663</v>
      </c>
      <c r="E191" s="4" t="str">
        <f>IF(mgmt_ec_api_chosen="Exclude","","Use the JSON Generator to create the JSON Spec - PATCH https://sfo-m01-nsx01.sfo.rainpole.io/policy/api/v1/infra")</f>
        <v>Use the JSON Generator to create the JSON Spec - PATCH https://sfo-m01-nsx01.sfo.rainpole.io/policy/api/v1/infra</v>
      </c>
    </row>
    <row r="192" spans="2:5" ht="20.100000000000001" customHeight="1" x14ac:dyDescent="0.2">
      <c r="B192" s="405" t="s">
        <v>664</v>
      </c>
      <c r="C192" s="406"/>
      <c r="D192" s="406"/>
      <c r="E192" s="407"/>
    </row>
    <row r="193" spans="2:7" ht="20.100000000000001" customHeight="1" x14ac:dyDescent="0.2">
      <c r="B193" s="4" t="s">
        <v>437</v>
      </c>
      <c r="C193" s="80" t="str">
        <f>CONCATENATE(this_instance,"-m01-cl01-vds01-pg-uplink01")</f>
        <v>sfo-m01-cl01-vds01-pg-uplink01</v>
      </c>
      <c r="D193" s="94"/>
      <c r="E193" s="33" t="s">
        <v>665</v>
      </c>
    </row>
    <row r="194" spans="2:7" ht="20.100000000000001" customHeight="1" x14ac:dyDescent="0.2">
      <c r="B194" s="4" t="s">
        <v>399</v>
      </c>
      <c r="C194" s="80" t="str">
        <f>CONCATENATE(prefix_mgmt_az1_cidr,"17.1")</f>
        <v>10.11.17.1</v>
      </c>
      <c r="D194" s="94"/>
      <c r="E194" s="32"/>
    </row>
    <row r="195" spans="2:7" ht="20.100000000000001" customHeight="1" x14ac:dyDescent="0.2">
      <c r="B195" s="4" t="s">
        <v>400</v>
      </c>
      <c r="C195" s="80" t="str">
        <f>CONCATENATE(prefix_mgmt_az1_cidr,"17.0/24")</f>
        <v>10.11.17.0/24</v>
      </c>
      <c r="D195" s="94"/>
      <c r="E195" s="32"/>
    </row>
    <row r="196" spans="2:7" ht="20.100000000000001" customHeight="1" x14ac:dyDescent="0.2">
      <c r="B196" s="405" t="s">
        <v>666</v>
      </c>
      <c r="C196" s="406"/>
      <c r="D196" s="406"/>
      <c r="E196" s="407"/>
    </row>
    <row r="197" spans="2:7" ht="20.100000000000001" customHeight="1" x14ac:dyDescent="0.2">
      <c r="B197" s="4" t="s">
        <v>437</v>
      </c>
      <c r="C197" s="80" t="str">
        <f>CONCATENATE(this_instance,"-m01-cl01-vds01-pg-uplink02")</f>
        <v>sfo-m01-cl01-vds01-pg-uplink02</v>
      </c>
      <c r="D197" s="94"/>
      <c r="E197" s="33" t="s">
        <v>4023</v>
      </c>
    </row>
    <row r="198" spans="2:7" ht="20.100000000000001" customHeight="1" x14ac:dyDescent="0.2">
      <c r="B198" s="4" t="s">
        <v>399</v>
      </c>
      <c r="C198" s="80" t="str">
        <f>CONCATENATE(prefix_mgmt_az1_cidr,"18.1")</f>
        <v>10.11.18.1</v>
      </c>
      <c r="D198" s="94"/>
      <c r="E198" s="32"/>
    </row>
    <row r="199" spans="2:7" ht="20.100000000000001" customHeight="1" x14ac:dyDescent="0.2">
      <c r="B199" s="4" t="s">
        <v>400</v>
      </c>
      <c r="C199" s="80" t="str">
        <f>CONCATENATE(prefix_mgmt_az1_cidr,"18.0/24")</f>
        <v>10.11.18.0/24</v>
      </c>
      <c r="D199" s="94"/>
      <c r="E199" s="32"/>
    </row>
    <row r="200" spans="2:7" ht="20.100000000000001" customHeight="1" x14ac:dyDescent="0.2">
      <c r="B200" s="405" t="s">
        <v>667</v>
      </c>
      <c r="C200" s="406"/>
      <c r="D200" s="406"/>
      <c r="E200" s="407"/>
    </row>
    <row r="201" spans="2:7" ht="20.100000000000001" customHeight="1" x14ac:dyDescent="0.2">
      <c r="B201" s="4" t="s">
        <v>400</v>
      </c>
      <c r="C201" s="80" t="str">
        <f>CONCATENATE(prefix_mgmt_az1_cidr,"19.0/24")</f>
        <v>10.11.19.0/24</v>
      </c>
      <c r="D201" s="94"/>
      <c r="E201" s="32"/>
    </row>
    <row r="202" spans="2:7" ht="20.100000000000001" customHeight="1" x14ac:dyDescent="0.2">
      <c r="B202" s="4" t="s">
        <v>401</v>
      </c>
      <c r="C202" s="80">
        <v>9000</v>
      </c>
      <c r="D202" s="94"/>
      <c r="E202" s="32"/>
    </row>
    <row r="203" spans="2:7" ht="15.95" customHeight="1" x14ac:dyDescent="0.2"/>
    <row r="204" spans="2:7" ht="33.950000000000003" customHeight="1" x14ac:dyDescent="0.2">
      <c r="B204" s="502" t="s">
        <v>668</v>
      </c>
      <c r="C204" s="503"/>
      <c r="D204" s="503"/>
      <c r="E204" s="504"/>
      <c r="G204" s="27"/>
    </row>
    <row r="205" spans="2:7" ht="20.100000000000001" customHeight="1" x14ac:dyDescent="0.2">
      <c r="B205" s="414" t="s">
        <v>669</v>
      </c>
      <c r="C205" s="415"/>
      <c r="D205" s="415"/>
      <c r="E205" s="416"/>
    </row>
    <row r="206" spans="2:7" ht="20.100000000000001" customHeight="1" x14ac:dyDescent="0.2">
      <c r="B206" s="43" t="s">
        <v>37</v>
      </c>
      <c r="C206" s="346" t="s">
        <v>276</v>
      </c>
      <c r="D206" s="346" t="s">
        <v>277</v>
      </c>
      <c r="E206" s="346" t="s">
        <v>5</v>
      </c>
    </row>
    <row r="207" spans="2:7" ht="20.100000000000001" customHeight="1" x14ac:dyDescent="0.2">
      <c r="B207" s="414" t="s">
        <v>670</v>
      </c>
      <c r="C207" s="415"/>
      <c r="D207" s="415"/>
      <c r="E207" s="416"/>
      <c r="G207" s="27"/>
    </row>
    <row r="208" spans="2:7" ht="20.100000000000001" customHeight="1" x14ac:dyDescent="0.2">
      <c r="B208" s="4" t="s">
        <v>121</v>
      </c>
      <c r="C208" s="362" t="s">
        <v>671</v>
      </c>
      <c r="D208" s="347"/>
      <c r="E208" s="4"/>
    </row>
    <row r="209" spans="2:7" ht="20.100000000000001" customHeight="1" x14ac:dyDescent="0.2">
      <c r="B209" s="414" t="s">
        <v>672</v>
      </c>
      <c r="C209" s="501"/>
      <c r="D209" s="415"/>
      <c r="E209" s="416"/>
    </row>
    <row r="210" spans="2:7" ht="20.100000000000001" customHeight="1" x14ac:dyDescent="0.2">
      <c r="B210" s="4" t="s">
        <v>574</v>
      </c>
      <c r="C210" s="362" t="s">
        <v>214</v>
      </c>
      <c r="D210" s="337" t="s">
        <v>214</v>
      </c>
      <c r="E210" s="4"/>
    </row>
    <row r="211" spans="2:7" ht="20.100000000000001" customHeight="1" x14ac:dyDescent="0.2">
      <c r="B211" s="414" t="s">
        <v>673</v>
      </c>
      <c r="C211" s="501"/>
      <c r="D211" s="415"/>
      <c r="E211" s="416"/>
    </row>
    <row r="212" spans="2:7" ht="20.100000000000001" customHeight="1" x14ac:dyDescent="0.2">
      <c r="B212" s="4" t="s">
        <v>674</v>
      </c>
      <c r="C212" s="362" t="s">
        <v>297</v>
      </c>
      <c r="D212" s="347"/>
      <c r="E212" s="337" t="s">
        <v>675</v>
      </c>
      <c r="G212" s="27"/>
    </row>
    <row r="213" spans="2:7" ht="20.100000000000001" customHeight="1" x14ac:dyDescent="0.2">
      <c r="B213" s="4" t="s">
        <v>676</v>
      </c>
      <c r="C213" s="89" t="str">
        <f>IF(mgmt_dpg_reuse_result="Included",CONCATENATE(prefix_mgmt_az1_cidr,"10.92"),CONCATENATE(prefix_mgmt_az1_cidr,"11.92"))</f>
        <v>10.11.10.92</v>
      </c>
      <c r="D213" s="129"/>
      <c r="E213" s="337" t="s">
        <v>677</v>
      </c>
    </row>
    <row r="214" spans="2:7" ht="20.100000000000001" customHeight="1" x14ac:dyDescent="0.2">
      <c r="B214" s="4" t="s">
        <v>678</v>
      </c>
      <c r="C214" s="89" t="str">
        <f>IF(mgmt_dpg_reuse_result="Included",CONCATENATE(prefix_mgmt_az1_cidr,"10.93"),CONCATENATE(prefix_mgmt_az1_cidr,"11.93"))</f>
        <v>10.11.10.93</v>
      </c>
      <c r="D214" s="129"/>
      <c r="E214" s="337" t="s">
        <v>679</v>
      </c>
    </row>
    <row r="215" spans="2:7" ht="20.100000000000001" customHeight="1" x14ac:dyDescent="0.2">
      <c r="B215" s="4" t="s">
        <v>680</v>
      </c>
      <c r="C215" s="89" t="str">
        <f>IF(mgmt_dpg_reuse_result="Included",CONCATENATE(prefix_mgmt_az1_cidr,"10.94"),CONCATENATE(prefix_mgmt_az1_cidr,"11.94"))</f>
        <v>10.11.10.94</v>
      </c>
      <c r="D215" s="129"/>
      <c r="E215" s="337" t="s">
        <v>681</v>
      </c>
    </row>
    <row r="216" spans="2:7" ht="20.100000000000001" customHeight="1" x14ac:dyDescent="0.2">
      <c r="B216" s="4" t="s">
        <v>682</v>
      </c>
      <c r="C216" s="89" t="str">
        <f>IF(mgmt_dpg_reuse_result="Included",CONCATENATE(prefix_mgmt_az1_cidr,"10.91"),CONCATENATE(prefix_mgmt_az1_cidr,"11.91"))</f>
        <v>10.11.10.91</v>
      </c>
      <c r="D216" s="129"/>
      <c r="E216" s="337" t="s">
        <v>683</v>
      </c>
    </row>
    <row r="217" spans="2:7" ht="20.100000000000001" customHeight="1" x14ac:dyDescent="0.2">
      <c r="B217" s="4" t="s">
        <v>359</v>
      </c>
      <c r="C217" s="362" t="str">
        <f>CONCATENATE(this_instance,"-m01-avlb01",".",sample_child_dns_zone)</f>
        <v>sfo-m01-avlb01.sfo.rainpole.io</v>
      </c>
      <c r="D217" s="347"/>
      <c r="E217" s="4"/>
    </row>
    <row r="218" spans="2:7" ht="20.100000000000001" customHeight="1" x14ac:dyDescent="0.2">
      <c r="B218" s="4" t="s">
        <v>353</v>
      </c>
      <c r="C218" s="362" t="str">
        <f>CONCATENATE(this_instance,"-m01-cl01-avilb01")</f>
        <v>sfo-m01-cl01-avilb01</v>
      </c>
      <c r="D218" s="347"/>
      <c r="E218" s="4"/>
    </row>
    <row r="219" spans="2:7" ht="15.95" customHeight="1" x14ac:dyDescent="0.2"/>
    <row r="220" spans="2:7" ht="33.950000000000003" customHeight="1" x14ac:dyDescent="0.2">
      <c r="B220" s="502" t="s">
        <v>684</v>
      </c>
      <c r="C220" s="503"/>
      <c r="D220" s="503"/>
      <c r="E220" s="504"/>
      <c r="G220" s="27"/>
    </row>
    <row r="221" spans="2:7" ht="15.95" customHeight="1" x14ac:dyDescent="0.2">
      <c r="G221" s="27"/>
    </row>
    <row r="222" spans="2:7" ht="33.950000000000003" customHeight="1" x14ac:dyDescent="0.2">
      <c r="B222" s="505" t="s">
        <v>685</v>
      </c>
      <c r="C222" s="506"/>
      <c r="D222" s="506"/>
      <c r="E222" s="507"/>
    </row>
    <row r="223" spans="2:7" ht="20.100000000000001" customHeight="1" x14ac:dyDescent="0.2">
      <c r="B223" s="43" t="s">
        <v>37</v>
      </c>
      <c r="C223" s="346" t="s">
        <v>276</v>
      </c>
      <c r="D223" s="346" t="s">
        <v>277</v>
      </c>
      <c r="E223" s="346" t="s">
        <v>5</v>
      </c>
    </row>
    <row r="224" spans="2:7" ht="20.100000000000001" customHeight="1" x14ac:dyDescent="0.2">
      <c r="B224" s="405" t="s">
        <v>397</v>
      </c>
      <c r="C224" s="406"/>
      <c r="D224" s="406"/>
      <c r="E224" s="407"/>
    </row>
    <row r="225" spans="2:5" ht="20.100000000000001" customHeight="1" x14ac:dyDescent="0.2">
      <c r="B225" s="4" t="s">
        <v>398</v>
      </c>
      <c r="C225" s="80" t="str">
        <f>CONCATENATE(prefix_mgmt_az2_vlan,"11")</f>
        <v>1211</v>
      </c>
      <c r="D225" s="347"/>
      <c r="E225" s="93"/>
    </row>
    <row r="226" spans="2:5" ht="20.100000000000001" customHeight="1" x14ac:dyDescent="0.2">
      <c r="B226" s="4" t="s">
        <v>399</v>
      </c>
      <c r="C226" s="80" t="str">
        <f>CONCATENATE(prefix_mgmt_az2_cidr,"11.1")</f>
        <v>10.12.11.1</v>
      </c>
      <c r="D226" s="347"/>
      <c r="E226" s="32"/>
    </row>
    <row r="227" spans="2:5" ht="20.100000000000001" customHeight="1" x14ac:dyDescent="0.2">
      <c r="B227" s="4" t="s">
        <v>400</v>
      </c>
      <c r="C227" s="80" t="str">
        <f>CONCATENATE(prefix_mgmt_az2_cidr,"11.0/24")</f>
        <v>10.12.11.0/24</v>
      </c>
      <c r="D227" s="347"/>
      <c r="E227" s="32"/>
    </row>
    <row r="228" spans="2:5" ht="20.100000000000001" customHeight="1" x14ac:dyDescent="0.2">
      <c r="B228" s="4" t="s">
        <v>401</v>
      </c>
      <c r="C228" s="80">
        <v>1500</v>
      </c>
      <c r="D228" s="347"/>
      <c r="E228" s="32"/>
    </row>
    <row r="229" spans="2:5" ht="20.100000000000001" customHeight="1" x14ac:dyDescent="0.2">
      <c r="B229" s="508" t="s">
        <v>476</v>
      </c>
      <c r="C229" s="509"/>
      <c r="D229" s="509"/>
      <c r="E229" s="510"/>
    </row>
    <row r="230" spans="2:5" ht="20.100000000000001" customHeight="1" x14ac:dyDescent="0.2">
      <c r="B230" s="17" t="s">
        <v>686</v>
      </c>
      <c r="C230" s="131" t="str">
        <f>CONCATENATE(prefix_mgmt_az2_cidr,"11.101")</f>
        <v>10.12.11.101</v>
      </c>
      <c r="D230" s="347"/>
      <c r="E230" s="132" t="s">
        <v>477</v>
      </c>
    </row>
    <row r="231" spans="2:5" ht="20.100000000000001" customHeight="1" x14ac:dyDescent="0.2">
      <c r="B231" s="17" t="s">
        <v>687</v>
      </c>
      <c r="C231" s="131" t="str">
        <f>CONCATENATE(prefix_mgmt_az2_cidr,"11.102")</f>
        <v>10.12.11.102</v>
      </c>
      <c r="D231" s="347"/>
      <c r="E231" s="132" t="s">
        <v>478</v>
      </c>
    </row>
    <row r="232" spans="2:5" ht="20.100000000000001" customHeight="1" x14ac:dyDescent="0.2">
      <c r="B232" s="17" t="s">
        <v>688</v>
      </c>
      <c r="C232" s="131" t="str">
        <f>CONCATENATE(prefix_mgmt_az2_cidr,"11.103")</f>
        <v>10.12.11.103</v>
      </c>
      <c r="D232" s="347"/>
      <c r="E232" s="132" t="s">
        <v>479</v>
      </c>
    </row>
    <row r="233" spans="2:5" ht="20.100000000000001" customHeight="1" x14ac:dyDescent="0.2">
      <c r="B233" s="17" t="s">
        <v>689</v>
      </c>
      <c r="C233" s="131" t="str">
        <f>CONCATENATE(prefix_mgmt_az2_cidr,"11.104")</f>
        <v>10.12.11.104</v>
      </c>
      <c r="D233" s="347"/>
      <c r="E233" s="132" t="s">
        <v>480</v>
      </c>
    </row>
    <row r="234" spans="2:5" ht="20.100000000000001" customHeight="1" x14ac:dyDescent="0.2">
      <c r="B234" s="17" t="s">
        <v>690</v>
      </c>
      <c r="C234" s="131" t="str">
        <f>CONCATENATE(prefix_mgmt_az2_cidr,"11.105")</f>
        <v>10.12.11.105</v>
      </c>
      <c r="D234" s="347"/>
      <c r="E234" s="132" t="s">
        <v>481</v>
      </c>
    </row>
    <row r="235" spans="2:5" ht="20.100000000000001" customHeight="1" x14ac:dyDescent="0.2">
      <c r="B235" s="17" t="s">
        <v>691</v>
      </c>
      <c r="C235" s="131" t="str">
        <f>CONCATENATE(prefix_mgmt_az2_cidr,"11.106")</f>
        <v>10.12.11.106</v>
      </c>
      <c r="D235" s="347"/>
      <c r="E235" s="132" t="s">
        <v>482</v>
      </c>
    </row>
    <row r="236" spans="2:5" ht="20.100000000000001" customHeight="1" x14ac:dyDescent="0.2">
      <c r="B236" s="17" t="s">
        <v>692</v>
      </c>
      <c r="C236" s="131" t="str">
        <f>CONCATENATE(prefix_mgmt_az2_cidr,"11.107")</f>
        <v>10.12.11.107</v>
      </c>
      <c r="D236" s="347"/>
      <c r="E236" s="132" t="s">
        <v>483</v>
      </c>
    </row>
    <row r="237" spans="2:5" ht="20.100000000000001" customHeight="1" x14ac:dyDescent="0.2">
      <c r="B237" s="17" t="s">
        <v>693</v>
      </c>
      <c r="C237" s="131" t="str">
        <f>CONCATENATE(prefix_mgmt_az2_cidr,"11.108")</f>
        <v>10.12.11.108</v>
      </c>
      <c r="D237" s="347"/>
      <c r="E237" s="132" t="s">
        <v>484</v>
      </c>
    </row>
    <row r="238" spans="2:5" ht="20.100000000000001" customHeight="1" x14ac:dyDescent="0.2">
      <c r="B238" s="17" t="s">
        <v>694</v>
      </c>
      <c r="C238" s="131" t="str">
        <f>CONCATENATE(prefix_mgmt_az2_cidr,"11.109")</f>
        <v>10.12.11.109</v>
      </c>
      <c r="D238" s="347"/>
      <c r="E238" s="132" t="s">
        <v>485</v>
      </c>
    </row>
    <row r="239" spans="2:5" ht="20.100000000000001" customHeight="1" x14ac:dyDescent="0.2">
      <c r="B239" s="17" t="s">
        <v>695</v>
      </c>
      <c r="C239" s="131" t="str">
        <f>CONCATENATE(prefix_mgmt_az2_cidr,"11.110")</f>
        <v>10.12.11.110</v>
      </c>
      <c r="D239" s="347"/>
      <c r="E239" s="132" t="s">
        <v>486</v>
      </c>
    </row>
    <row r="240" spans="2:5" ht="20.100000000000001" customHeight="1" x14ac:dyDescent="0.2">
      <c r="B240" s="17" t="s">
        <v>696</v>
      </c>
      <c r="C240" s="131" t="str">
        <f>CONCATENATE(prefix_mgmt_az2_cidr,"11.111")</f>
        <v>10.12.11.111</v>
      </c>
      <c r="D240" s="347"/>
      <c r="E240" s="132" t="s">
        <v>487</v>
      </c>
    </row>
    <row r="241" spans="2:7" ht="20.100000000000001" customHeight="1" x14ac:dyDescent="0.2">
      <c r="B241" s="17" t="s">
        <v>697</v>
      </c>
      <c r="C241" s="131" t="str">
        <f>CONCATENATE(prefix_mgmt_az2_cidr,"11.112")</f>
        <v>10.12.11.112</v>
      </c>
      <c r="D241" s="347"/>
      <c r="E241" s="132" t="s">
        <v>488</v>
      </c>
    </row>
    <row r="242" spans="2:7" ht="20.100000000000001" customHeight="1" x14ac:dyDescent="0.2">
      <c r="B242" s="17" t="s">
        <v>698</v>
      </c>
      <c r="C242" s="131" t="str">
        <f>CONCATENATE(prefix_mgmt_az2_cidr,"11.113")</f>
        <v>10.12.11.113</v>
      </c>
      <c r="D242" s="347"/>
      <c r="E242" s="132" t="s">
        <v>489</v>
      </c>
    </row>
    <row r="243" spans="2:7" ht="20.100000000000001" customHeight="1" x14ac:dyDescent="0.2">
      <c r="B243" s="17" t="s">
        <v>699</v>
      </c>
      <c r="C243" s="131" t="str">
        <f>CONCATENATE(prefix_mgmt_az2_cidr,"11.114")</f>
        <v>10.12.11.114</v>
      </c>
      <c r="D243" s="347"/>
      <c r="E243" s="132" t="s">
        <v>490</v>
      </c>
    </row>
    <row r="244" spans="2:7" ht="20.100000000000001" customHeight="1" x14ac:dyDescent="0.2">
      <c r="B244" s="17" t="s">
        <v>700</v>
      </c>
      <c r="C244" s="131" t="str">
        <f>CONCATENATE(prefix_mgmt_az2_cidr,"11.115")</f>
        <v>10.12.11.115</v>
      </c>
      <c r="D244" s="347"/>
      <c r="E244" s="132" t="s">
        <v>491</v>
      </c>
    </row>
    <row r="245" spans="2:7" ht="20.100000000000001" customHeight="1" x14ac:dyDescent="0.2">
      <c r="B245" s="17" t="s">
        <v>701</v>
      </c>
      <c r="C245" s="131" t="str">
        <f>CONCATENATE(prefix_mgmt_az2_cidr,"11.116")</f>
        <v>10.12.11.116</v>
      </c>
      <c r="D245" s="347"/>
      <c r="E245" s="132" t="s">
        <v>492</v>
      </c>
    </row>
    <row r="246" spans="2:7" ht="15.95" customHeight="1" x14ac:dyDescent="0.2">
      <c r="G246" s="27"/>
    </row>
    <row r="247" spans="2:7" ht="33.950000000000003" customHeight="1" x14ac:dyDescent="0.2">
      <c r="B247" s="505" t="s">
        <v>702</v>
      </c>
      <c r="C247" s="506"/>
      <c r="D247" s="506"/>
      <c r="E247" s="507"/>
    </row>
    <row r="248" spans="2:7" ht="20.100000000000001" customHeight="1" x14ac:dyDescent="0.2">
      <c r="B248" s="43" t="s">
        <v>37</v>
      </c>
      <c r="C248" s="346" t="s">
        <v>276</v>
      </c>
      <c r="D248" s="346" t="s">
        <v>277</v>
      </c>
      <c r="E248" s="346" t="s">
        <v>5</v>
      </c>
    </row>
    <row r="249" spans="2:7" ht="20.100000000000001" customHeight="1" x14ac:dyDescent="0.2">
      <c r="B249" s="4" t="s">
        <v>703</v>
      </c>
      <c r="C249" s="362" t="s">
        <v>704</v>
      </c>
      <c r="D249" s="127" t="s">
        <v>704</v>
      </c>
      <c r="E249" s="337" t="str">
        <f>IF(mgmt_az2_reuse_vcf_networkpool_chosen="Re-use an existing VCF Network Pool","An exisiting VCF Network Pool will be reused","A new VCF Network Pool will be created")</f>
        <v>A new VCF Network Pool will be created</v>
      </c>
    </row>
    <row r="250" spans="2:7" ht="20.100000000000001" customHeight="1" x14ac:dyDescent="0.2">
      <c r="B250" s="17" t="s">
        <v>705</v>
      </c>
      <c r="C250" s="133" t="str">
        <f>CONCATENATE(this_instance,"02-m01-r01-network-pool-01")</f>
        <v>sfo02-m01-r01-network-pool-01</v>
      </c>
      <c r="D250" s="134"/>
      <c r="E250" s="32"/>
    </row>
    <row r="251" spans="2:7" ht="20.100000000000001" customHeight="1" x14ac:dyDescent="0.2">
      <c r="B251" s="405" t="s">
        <v>404</v>
      </c>
      <c r="C251" s="406"/>
      <c r="D251" s="406"/>
      <c r="E251" s="407"/>
    </row>
    <row r="252" spans="2:7" ht="20.100000000000001" customHeight="1" x14ac:dyDescent="0.2">
      <c r="B252" s="4" t="s">
        <v>398</v>
      </c>
      <c r="C252" s="80" t="str">
        <f>CONCATENATE(prefix_mgmt_az2_vlan,"12")</f>
        <v>1212</v>
      </c>
      <c r="D252" s="347"/>
      <c r="E252" s="143" t="str">
        <f>IF(mgmt_az2_reuse_vcf_networkpool_chosen="Re-use an existing VCF Network Pool", "Inputs are masked out as existing VCF Network Pool will be used","")</f>
        <v/>
      </c>
    </row>
    <row r="253" spans="2:7" ht="20.100000000000001" customHeight="1" x14ac:dyDescent="0.2">
      <c r="B253" s="4" t="s">
        <v>401</v>
      </c>
      <c r="C253" s="80">
        <v>9000</v>
      </c>
      <c r="D253" s="347"/>
      <c r="E253" s="32"/>
    </row>
    <row r="254" spans="2:7" ht="20.100000000000001" customHeight="1" x14ac:dyDescent="0.2">
      <c r="B254" s="4" t="s">
        <v>706</v>
      </c>
      <c r="C254" s="80" t="str">
        <f>CONCATENATE(prefix_mgmt_az2_cidr,"12.0")</f>
        <v>10.12.12.0</v>
      </c>
      <c r="D254" s="347"/>
      <c r="E254" s="32"/>
    </row>
    <row r="255" spans="2:7" ht="20.100000000000001" customHeight="1" x14ac:dyDescent="0.2">
      <c r="B255" s="4" t="s">
        <v>707</v>
      </c>
      <c r="C255" s="80" t="s">
        <v>612</v>
      </c>
      <c r="D255" s="347"/>
      <c r="E255" s="32"/>
    </row>
    <row r="256" spans="2:7" ht="20.100000000000001" customHeight="1" x14ac:dyDescent="0.2">
      <c r="B256" s="4" t="s">
        <v>708</v>
      </c>
      <c r="C256" s="80" t="str">
        <f>CONCATENATE(prefix_mgmt_az2_cidr,"12.1")</f>
        <v>10.12.12.1</v>
      </c>
      <c r="D256" s="347"/>
      <c r="E256" s="32"/>
    </row>
    <row r="257" spans="2:5" ht="20.100000000000001" customHeight="1" x14ac:dyDescent="0.2">
      <c r="B257" s="17" t="s">
        <v>460</v>
      </c>
      <c r="C257" s="80" t="str">
        <f>CONCATENATE(prefix_mgmt_az2_cidr,"12.101")</f>
        <v>10.12.12.101</v>
      </c>
      <c r="D257" s="347"/>
      <c r="E257" s="32"/>
    </row>
    <row r="258" spans="2:5" ht="20.100000000000001" customHeight="1" x14ac:dyDescent="0.2">
      <c r="B258" s="17" t="s">
        <v>461</v>
      </c>
      <c r="C258" s="80" t="str">
        <f>CONCATENATE(prefix_mgmt_az2_cidr,"12.116")</f>
        <v>10.12.12.116</v>
      </c>
      <c r="D258" s="347"/>
      <c r="E258" s="32"/>
    </row>
    <row r="259" spans="2:5" ht="20.100000000000001" customHeight="1" x14ac:dyDescent="0.2">
      <c r="B259" s="405" t="s">
        <v>407</v>
      </c>
      <c r="C259" s="406"/>
      <c r="D259" s="406"/>
      <c r="E259" s="407"/>
    </row>
    <row r="260" spans="2:5" ht="20.100000000000001" customHeight="1" x14ac:dyDescent="0.2">
      <c r="B260" s="4" t="s">
        <v>398</v>
      </c>
      <c r="C260" s="80" t="str">
        <f>CONCATENATE(prefix_mgmt_az2_vlan,"13")</f>
        <v>1213</v>
      </c>
      <c r="D260" s="347"/>
      <c r="E260" s="33" t="str">
        <f>IF(mgmt_az2_reuse_vcf_networkpool_chosen="Re-use an existing VCF Network Pool", "Inputs are masked out as existing VCF Network Pool will be used","")</f>
        <v/>
      </c>
    </row>
    <row r="261" spans="2:5" ht="20.100000000000001" customHeight="1" x14ac:dyDescent="0.2">
      <c r="B261" s="4" t="s">
        <v>401</v>
      </c>
      <c r="C261" s="80">
        <v>9000</v>
      </c>
      <c r="D261" s="347"/>
      <c r="E261" s="32"/>
    </row>
    <row r="262" spans="2:5" ht="20.100000000000001" customHeight="1" x14ac:dyDescent="0.2">
      <c r="B262" s="4" t="s">
        <v>706</v>
      </c>
      <c r="C262" s="80" t="str">
        <f>CONCATENATE(prefix_mgmt_az2_cidr,"13.0")</f>
        <v>10.12.13.0</v>
      </c>
      <c r="D262" s="347"/>
      <c r="E262" s="56"/>
    </row>
    <row r="263" spans="2:5" ht="20.100000000000001" customHeight="1" x14ac:dyDescent="0.2">
      <c r="B263" s="4" t="s">
        <v>707</v>
      </c>
      <c r="C263" s="80" t="s">
        <v>612</v>
      </c>
      <c r="D263" s="347"/>
      <c r="E263" s="56"/>
    </row>
    <row r="264" spans="2:5" ht="20.100000000000001" customHeight="1" x14ac:dyDescent="0.2">
      <c r="B264" s="4" t="s">
        <v>708</v>
      </c>
      <c r="C264" s="80" t="str">
        <f>CONCATENATE(prefix_mgmt_az2_cidr,"13.1")</f>
        <v>10.12.13.1</v>
      </c>
      <c r="D264" s="347"/>
      <c r="E264" s="32" t="str">
        <f>IF(AND(mgmt_stretched_cluster_result="Included",mgmt_dpg_reuse_result="Excluded"),"Stretched L2","")</f>
        <v/>
      </c>
    </row>
    <row r="265" spans="2:5" ht="20.100000000000001" customHeight="1" x14ac:dyDescent="0.2">
      <c r="B265" s="17" t="s">
        <v>460</v>
      </c>
      <c r="C265" s="80" t="str">
        <f>CONCATENATE(prefix_mgmt_az2_cidr,"13.101")</f>
        <v>10.12.13.101</v>
      </c>
      <c r="D265" s="347"/>
      <c r="E265" s="56"/>
    </row>
    <row r="266" spans="2:5" ht="20.100000000000001" customHeight="1" x14ac:dyDescent="0.2">
      <c r="B266" s="17" t="s">
        <v>461</v>
      </c>
      <c r="C266" s="80" t="str">
        <f>CONCATENATE(prefix_mgmt_az2_cidr,"13.116")</f>
        <v>10.12.13.116</v>
      </c>
      <c r="D266" s="347"/>
      <c r="E266" s="56"/>
    </row>
    <row r="267" spans="2:5" ht="20.100000000000001" customHeight="1" x14ac:dyDescent="0.2">
      <c r="B267" s="405" t="s">
        <v>410</v>
      </c>
      <c r="C267" s="406"/>
      <c r="D267" s="406"/>
      <c r="E267" s="407"/>
    </row>
    <row r="268" spans="2:5" ht="20.100000000000001" customHeight="1" x14ac:dyDescent="0.2">
      <c r="B268" s="4" t="s">
        <v>398</v>
      </c>
      <c r="C268" s="135" t="str">
        <f>CONCATENATE(prefix_mgmt_az2_vlan,"15")</f>
        <v>1215</v>
      </c>
      <c r="D268" s="347"/>
      <c r="E268" s="3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20.100000000000001" customHeight="1" x14ac:dyDescent="0.2">
      <c r="B269" s="4" t="s">
        <v>401</v>
      </c>
      <c r="C269" s="136">
        <v>9000</v>
      </c>
      <c r="D269" s="347"/>
      <c r="E269" s="32"/>
    </row>
    <row r="270" spans="2:5" ht="20.100000000000001" customHeight="1" x14ac:dyDescent="0.2">
      <c r="B270" s="4" t="s">
        <v>706</v>
      </c>
      <c r="C270" s="136" t="str">
        <f>CONCATENATE(prefix_mgmt_az2_cidr,"15.0")</f>
        <v>10.12.15.0</v>
      </c>
      <c r="D270" s="347"/>
      <c r="E270" s="56"/>
    </row>
    <row r="271" spans="2:5" ht="20.100000000000001" customHeight="1" x14ac:dyDescent="0.2">
      <c r="B271" s="4" t="s">
        <v>707</v>
      </c>
      <c r="C271" s="136" t="s">
        <v>612</v>
      </c>
      <c r="D271" s="347"/>
      <c r="E271" s="56"/>
    </row>
    <row r="272" spans="2:5" ht="20.100000000000001" customHeight="1" x14ac:dyDescent="0.2">
      <c r="B272" s="4" t="s">
        <v>708</v>
      </c>
      <c r="C272" s="136" t="str">
        <f>CONCATENATE(prefix_mgmt_az2_cidr,"15.1")</f>
        <v>10.12.15.1</v>
      </c>
      <c r="D272" s="347"/>
      <c r="E272" s="32" t="str">
        <f>IF(AND(mgmt_stretched_cluster_result="Included",mgmt_dpg_reuse_result="Excluded"),"Stretched L2","")</f>
        <v/>
      </c>
    </row>
    <row r="273" spans="2:5" ht="20.100000000000001" customHeight="1" x14ac:dyDescent="0.2">
      <c r="B273" s="17" t="s">
        <v>460</v>
      </c>
      <c r="C273" s="136" t="str">
        <f>CONCATENATE(prefix_mgmt_az2_cidr,"15.101")</f>
        <v>10.12.15.101</v>
      </c>
      <c r="D273" s="347"/>
      <c r="E273" s="56"/>
    </row>
    <row r="274" spans="2:5" ht="20.100000000000001" customHeight="1" x14ac:dyDescent="0.2">
      <c r="B274" s="17" t="s">
        <v>461</v>
      </c>
      <c r="C274" s="136" t="str">
        <f>CONCATENATE(prefix_mgmt_az2_cidr,"15.116")</f>
        <v>10.12.15.116</v>
      </c>
      <c r="D274" s="347"/>
      <c r="E274" s="56"/>
    </row>
    <row r="275" spans="2:5" ht="15.95" customHeight="1" x14ac:dyDescent="0.2"/>
    <row r="276" spans="2:5" ht="33.950000000000003" customHeight="1" x14ac:dyDescent="0.2">
      <c r="B276" s="505" t="s">
        <v>709</v>
      </c>
      <c r="C276" s="506"/>
      <c r="D276" s="506"/>
      <c r="E276" s="507"/>
    </row>
    <row r="277" spans="2:5" ht="20.100000000000001" customHeight="1" x14ac:dyDescent="0.2">
      <c r="B277" s="514" t="s">
        <v>710</v>
      </c>
      <c r="C277" s="515"/>
      <c r="D277" s="515"/>
      <c r="E277" s="516"/>
    </row>
    <row r="278" spans="2:5" ht="20.100000000000001" customHeight="1" x14ac:dyDescent="0.2">
      <c r="B278" s="43" t="s">
        <v>259</v>
      </c>
      <c r="C278" s="43" t="s">
        <v>711</v>
      </c>
      <c r="D278" s="130" t="s">
        <v>277</v>
      </c>
      <c r="E278" s="43" t="s">
        <v>457</v>
      </c>
    </row>
    <row r="279" spans="2:5" ht="20.100000000000001" customHeight="1" x14ac:dyDescent="0.2">
      <c r="B279" s="17" t="s">
        <v>686</v>
      </c>
      <c r="C279" s="89" t="str">
        <f>CONCATENATE(this_instance,"02-m01-r01-esx01",".",sample_child_dns_zone)</f>
        <v>sfo02-m01-r01-esx01.sfo.rainpole.io</v>
      </c>
      <c r="D279" s="347"/>
      <c r="E279" s="32"/>
    </row>
    <row r="280" spans="2:5" ht="20.100000000000001" customHeight="1" x14ac:dyDescent="0.2">
      <c r="B280" s="17" t="s">
        <v>687</v>
      </c>
      <c r="C280" s="89" t="str">
        <f>CONCATENATE(this_instance,"02-m01-r01-esx02",".",sample_child_dns_zone)</f>
        <v>sfo02-m01-r01-esx02.sfo.rainpole.io</v>
      </c>
      <c r="D280" s="347"/>
      <c r="E280" s="32"/>
    </row>
    <row r="281" spans="2:5" ht="20.100000000000001" customHeight="1" x14ac:dyDescent="0.2">
      <c r="B281" s="17" t="s">
        <v>688</v>
      </c>
      <c r="C281" s="89" t="str">
        <f>CONCATENATE(this_instance,"02-m01-r01-esx03",".",sample_child_dns_zone)</f>
        <v>sfo02-m01-r01-esx03.sfo.rainpole.io</v>
      </c>
      <c r="D281" s="347"/>
      <c r="E281" s="32"/>
    </row>
    <row r="282" spans="2:5" ht="20.100000000000001" customHeight="1" x14ac:dyDescent="0.2">
      <c r="B282" s="17" t="s">
        <v>689</v>
      </c>
      <c r="C282" s="89" t="str">
        <f>CONCATENATE(this_instance,"02-m01-r01-esx04",".",sample_child_dns_zone)</f>
        <v>sfo02-m01-r01-esx04.sfo.rainpole.io</v>
      </c>
      <c r="D282" s="347"/>
      <c r="E282" s="32"/>
    </row>
    <row r="283" spans="2:5" ht="20.100000000000001" customHeight="1" x14ac:dyDescent="0.2">
      <c r="B283" s="17" t="s">
        <v>690</v>
      </c>
      <c r="C283" s="89" t="str">
        <f>CONCATENATE(this_instance,"02-m01-r01-esx05",".",sample_child_dns_zone)</f>
        <v>sfo02-m01-r01-esx05.sfo.rainpole.io</v>
      </c>
      <c r="D283" s="347"/>
      <c r="E283" s="32"/>
    </row>
    <row r="284" spans="2:5" ht="20.100000000000001" customHeight="1" x14ac:dyDescent="0.2">
      <c r="B284" s="17" t="s">
        <v>691</v>
      </c>
      <c r="C284" s="89" t="str">
        <f>CONCATENATE(this_instance,"02-m01-r01-esx06",".",sample_child_dns_zone)</f>
        <v>sfo02-m01-r01-esx06.sfo.rainpole.io</v>
      </c>
      <c r="D284" s="347"/>
      <c r="E284" s="32"/>
    </row>
    <row r="285" spans="2:5" ht="20.100000000000001" customHeight="1" x14ac:dyDescent="0.2">
      <c r="B285" s="17" t="s">
        <v>692</v>
      </c>
      <c r="C285" s="89" t="str">
        <f>CONCATENATE(this_instance,"02-m01-r01-esx07",".",sample_child_dns_zone)</f>
        <v>sfo02-m01-r01-esx07.sfo.rainpole.io</v>
      </c>
      <c r="D285" s="347"/>
      <c r="E285" s="32"/>
    </row>
    <row r="286" spans="2:5" ht="20.100000000000001" customHeight="1" x14ac:dyDescent="0.2">
      <c r="B286" s="17" t="s">
        <v>693</v>
      </c>
      <c r="C286" s="89" t="str">
        <f>CONCATENATE(this_instance,"02-m01-r01-esx08",".",sample_child_dns_zone)</f>
        <v>sfo02-m01-r01-esx08.sfo.rainpole.io</v>
      </c>
      <c r="D286" s="347"/>
      <c r="E286" s="32"/>
    </row>
    <row r="287" spans="2:5" ht="20.100000000000001" customHeight="1" x14ac:dyDescent="0.2">
      <c r="B287" s="17" t="s">
        <v>694</v>
      </c>
      <c r="C287" s="89" t="str">
        <f>CONCATENATE(this_instance,"02-m01-r01-esx09",".",sample_child_dns_zone)</f>
        <v>sfo02-m01-r01-esx09.sfo.rainpole.io</v>
      </c>
      <c r="D287" s="347"/>
      <c r="E287" s="32"/>
    </row>
    <row r="288" spans="2:5" ht="20.100000000000001" customHeight="1" x14ac:dyDescent="0.2">
      <c r="B288" s="17" t="s">
        <v>695</v>
      </c>
      <c r="C288" s="89" t="str">
        <f>CONCATENATE(this_instance,"02-m01-r01-esx10",".",sample_child_dns_zone)</f>
        <v>sfo02-m01-r01-esx10.sfo.rainpole.io</v>
      </c>
      <c r="D288" s="347"/>
      <c r="E288" s="32"/>
    </row>
    <row r="289" spans="2:5" ht="20.100000000000001" customHeight="1" x14ac:dyDescent="0.2">
      <c r="B289" s="17" t="s">
        <v>696</v>
      </c>
      <c r="C289" s="89" t="str">
        <f>CONCATENATE(this_instance,"02-m01-r01-esx11",".",sample_child_dns_zone)</f>
        <v>sfo02-m01-r01-esx11.sfo.rainpole.io</v>
      </c>
      <c r="D289" s="347"/>
      <c r="E289" s="32"/>
    </row>
    <row r="290" spans="2:5" ht="20.100000000000001" customHeight="1" x14ac:dyDescent="0.2">
      <c r="B290" s="17" t="s">
        <v>697</v>
      </c>
      <c r="C290" s="89" t="str">
        <f>CONCATENATE(this_instance,"02-m01-r01-esx12",".",sample_child_dns_zone)</f>
        <v>sfo02-m01-r01-esx12.sfo.rainpole.io</v>
      </c>
      <c r="D290" s="347"/>
      <c r="E290" s="32"/>
    </row>
    <row r="291" spans="2:5" ht="20.100000000000001" customHeight="1" x14ac:dyDescent="0.2">
      <c r="B291" s="17" t="s">
        <v>698</v>
      </c>
      <c r="C291" s="89" t="str">
        <f>CONCATENATE(this_instance,"02-m01-r01-esx13",".",sample_child_dns_zone)</f>
        <v>sfo02-m01-r01-esx13.sfo.rainpole.io</v>
      </c>
      <c r="D291" s="347"/>
      <c r="E291" s="32"/>
    </row>
    <row r="292" spans="2:5" ht="20.100000000000001" customHeight="1" x14ac:dyDescent="0.2">
      <c r="B292" s="17" t="s">
        <v>699</v>
      </c>
      <c r="C292" s="89" t="str">
        <f>CONCATENATE(this_instance,"02-m01-r01-esx14",".",sample_child_dns_zone)</f>
        <v>sfo02-m01-r01-esx14.sfo.rainpole.io</v>
      </c>
      <c r="D292" s="347"/>
      <c r="E292" s="32"/>
    </row>
    <row r="293" spans="2:5" ht="20.100000000000001" customHeight="1" x14ac:dyDescent="0.2">
      <c r="B293" s="17" t="s">
        <v>700</v>
      </c>
      <c r="C293" s="89" t="str">
        <f>CONCATENATE(this_instance,"02-m01-r01-esx15",".",sample_child_dns_zone)</f>
        <v>sfo02-m01-r01-esx15.sfo.rainpole.io</v>
      </c>
      <c r="D293" s="347"/>
      <c r="E293" s="32"/>
    </row>
    <row r="294" spans="2:5" ht="20.100000000000001" customHeight="1" x14ac:dyDescent="0.2">
      <c r="B294" s="17" t="s">
        <v>701</v>
      </c>
      <c r="C294" s="89" t="str">
        <f>CONCATENATE(this_instance,"02-m01-r01-esx16",".",sample_child_dns_zone)</f>
        <v>sfo02-m01-r01-esx16.sfo.rainpole.io</v>
      </c>
      <c r="D294" s="347"/>
      <c r="E294" s="32"/>
    </row>
    <row r="295" spans="2:5" ht="20.100000000000001" customHeight="1" x14ac:dyDescent="0.2">
      <c r="B295" s="17" t="s">
        <v>712</v>
      </c>
      <c r="C295" s="78" t="s">
        <v>713</v>
      </c>
      <c r="D295" s="337" t="s">
        <v>713</v>
      </c>
      <c r="E295" s="32"/>
    </row>
    <row r="296" spans="2:5" ht="20.100000000000001" customHeight="1" x14ac:dyDescent="0.2">
      <c r="B296" s="17" t="s">
        <v>714</v>
      </c>
      <c r="C296" s="78" t="s">
        <v>715</v>
      </c>
      <c r="D296" s="347" t="s">
        <v>715</v>
      </c>
      <c r="E296" s="32"/>
    </row>
    <row r="297" spans="2:5" ht="20.100000000000001" customHeight="1" x14ac:dyDescent="0.2">
      <c r="B297" s="17" t="s">
        <v>716</v>
      </c>
      <c r="C297" s="78" t="s">
        <v>323</v>
      </c>
      <c r="D297" s="337" t="str">
        <f>IF(mgmt_principal_storage_chosen="vSAN-ESA","Selected","Unselected")</f>
        <v>Selected</v>
      </c>
      <c r="E297" s="32"/>
    </row>
    <row r="298" spans="2:5" ht="20.100000000000001" customHeight="1" x14ac:dyDescent="0.2">
      <c r="B298" s="17" t="s">
        <v>705</v>
      </c>
      <c r="C298" s="78" t="str">
        <f>sample_mgmt_az2_pool_name</f>
        <v>sfo02-m01-r01-network-pool-01</v>
      </c>
      <c r="D298" s="337" t="str">
        <f>mgmt_az2_pool_name</f>
        <v>Value Missing</v>
      </c>
      <c r="E298" s="32"/>
    </row>
    <row r="299" spans="2:5" ht="20.100000000000001" customHeight="1" x14ac:dyDescent="0.2">
      <c r="B299" s="17" t="s">
        <v>535</v>
      </c>
      <c r="C299" s="78" t="s">
        <v>717</v>
      </c>
      <c r="D299" s="347"/>
      <c r="E299" s="32"/>
    </row>
    <row r="300" spans="2:5" ht="20.100000000000001" customHeight="1" x14ac:dyDescent="0.2">
      <c r="B300" s="17" t="s">
        <v>296</v>
      </c>
      <c r="C300" s="78" t="s">
        <v>379</v>
      </c>
      <c r="D300" s="347"/>
      <c r="E300" s="32"/>
    </row>
    <row r="301" spans="2:5" ht="15.95" customHeight="1" x14ac:dyDescent="0.2"/>
    <row r="302" spans="2:5" ht="33.950000000000003" customHeight="1" x14ac:dyDescent="0.2">
      <c r="B302" s="505" t="s">
        <v>718</v>
      </c>
      <c r="C302" s="506"/>
      <c r="D302" s="506"/>
      <c r="E302" s="507"/>
    </row>
    <row r="303" spans="2:5" ht="20.100000000000001" customHeight="1" x14ac:dyDescent="0.2">
      <c r="B303" s="405" t="s">
        <v>719</v>
      </c>
      <c r="C303" s="406"/>
      <c r="D303" s="406"/>
      <c r="E303" s="407"/>
    </row>
    <row r="304" spans="2:5" ht="20.100000000000001" customHeight="1" x14ac:dyDescent="0.2">
      <c r="B304" s="43" t="s">
        <v>259</v>
      </c>
      <c r="C304" s="43" t="s">
        <v>711</v>
      </c>
      <c r="D304" s="130" t="s">
        <v>277</v>
      </c>
      <c r="E304" s="43" t="s">
        <v>457</v>
      </c>
    </row>
    <row r="305" spans="2:5" ht="20.100000000000001" customHeight="1" x14ac:dyDescent="0.2">
      <c r="B305" s="4" t="s">
        <v>398</v>
      </c>
      <c r="C305" s="80" t="str">
        <f>IF(mgmt_dpg_reuse_result="Included",CONCATENATE(prefix_mgmt_witness_vlan,"10"),CONCATENATE(prefix_mgmt_witness_vlan,"11"))</f>
        <v>2110</v>
      </c>
      <c r="D305" s="347"/>
      <c r="E305" s="32"/>
    </row>
    <row r="306" spans="2:5" ht="20.100000000000001" customHeight="1" x14ac:dyDescent="0.2">
      <c r="B306" s="4" t="s">
        <v>399</v>
      </c>
      <c r="C306" s="362" t="str">
        <f>IF(mgmt_dpg_reuse_result="Included",CONCATENATE(prefix_mgmt_witness_cidr,"10.1"),CONCATENATE(prefix_mgmt_witness_cidr,"11.1"))</f>
        <v>10.21.10.1</v>
      </c>
      <c r="D306" s="347"/>
      <c r="E306" s="32" t="str">
        <f>IF(AND(mgmt_stretched_cluster_result="Included",mgmt_dpg_reuse_result="Excluded"),"Stretched L2","")</f>
        <v/>
      </c>
    </row>
    <row r="307" spans="2:5" ht="20.100000000000001" customHeight="1" x14ac:dyDescent="0.2">
      <c r="B307" s="4" t="s">
        <v>400</v>
      </c>
      <c r="C307" s="362" t="str">
        <f>IF(mgmt_dpg_reuse_result="Included",CONCATENATE(prefix_mgmt_witness_cidr,"10.0/24"),CONCATENATE(prefix_mgmt_witness_cidr,"11.0/24"))</f>
        <v>10.21.10.0/24</v>
      </c>
      <c r="D307" s="347"/>
      <c r="E307" s="32"/>
    </row>
    <row r="308" spans="2:5" ht="20.100000000000001" customHeight="1" x14ac:dyDescent="0.2">
      <c r="B308" s="4" t="s">
        <v>401</v>
      </c>
      <c r="C308" s="80">
        <v>1500</v>
      </c>
      <c r="D308" s="347"/>
      <c r="E308" s="32"/>
    </row>
    <row r="309" spans="2:5" ht="20.100000000000001" customHeight="1" x14ac:dyDescent="0.2">
      <c r="B309" s="514" t="s">
        <v>720</v>
      </c>
      <c r="C309" s="515"/>
      <c r="D309" s="515"/>
      <c r="E309" s="516"/>
    </row>
    <row r="310" spans="2:5" ht="20.100000000000001" customHeight="1" x14ac:dyDescent="0.2">
      <c r="B310" s="4" t="s">
        <v>721</v>
      </c>
      <c r="C310" s="126" t="str">
        <f>CONCATENATE(other_instance,"-m01-vc01.",other_instance,".rainpole.io")</f>
        <v>lax-m01-vc01.lax.rainpole.io</v>
      </c>
      <c r="D310" s="129"/>
      <c r="E310" s="337" t="s">
        <v>722</v>
      </c>
    </row>
    <row r="311" spans="2:5" ht="20.100000000000001" customHeight="1" x14ac:dyDescent="0.2">
      <c r="B311" s="4" t="s">
        <v>723</v>
      </c>
      <c r="C311" s="181" t="str">
        <f>IF(mgmt_dpg_reuse_result="Included",CONCATENATE(prefix_other_region_az1_cidr,"10.70"),CONCATENATE(prefix_other_region_az1_cidr,"11.70"))</f>
        <v>10.21.10.70</v>
      </c>
      <c r="D311" s="182"/>
      <c r="E311" s="4"/>
    </row>
    <row r="312" spans="2:5" ht="20.100000000000001" customHeight="1" x14ac:dyDescent="0.2">
      <c r="B312" s="4" t="s">
        <v>724</v>
      </c>
      <c r="C312" s="126" t="str">
        <f>CONCATENATE(this_instance,"-m01-cl01-vsw01")</f>
        <v>sfo-m01-cl01-vsw01</v>
      </c>
      <c r="D312" s="129"/>
      <c r="E312" s="4"/>
    </row>
    <row r="313" spans="2:5" ht="20.100000000000001" customHeight="1" x14ac:dyDescent="0.2">
      <c r="B313" s="4" t="s">
        <v>725</v>
      </c>
      <c r="C313" s="362" t="str">
        <f>CONCATENATE(other_instance,"-m01-cl01")</f>
        <v>lax-m01-cl01</v>
      </c>
      <c r="D313" s="129"/>
      <c r="E313" s="4"/>
    </row>
    <row r="314" spans="2:5" ht="20.100000000000001" customHeight="1" x14ac:dyDescent="0.2">
      <c r="B314" s="4" t="s">
        <v>726</v>
      </c>
      <c r="C314" s="362" t="str">
        <f>CONCATENATE(other_instance,"-m01","-fd-mgmt")</f>
        <v>lax-m01-fd-mgmt</v>
      </c>
      <c r="D314" s="129"/>
      <c r="E314" s="4"/>
    </row>
    <row r="315" spans="2:5" ht="20.100000000000001" customHeight="1" x14ac:dyDescent="0.2">
      <c r="B315" s="4" t="s">
        <v>727</v>
      </c>
      <c r="C315" s="362" t="str">
        <f>CONCATENATE(other_instance,"-m01-cl01-ds-vsan01")</f>
        <v>lax-m01-cl01-ds-vsan01</v>
      </c>
      <c r="D315" s="129"/>
      <c r="E315" s="4"/>
    </row>
    <row r="316" spans="2:5" ht="20.100000000000001" customHeight="1" x14ac:dyDescent="0.2">
      <c r="B316" s="4" t="s">
        <v>728</v>
      </c>
      <c r="C316" s="362" t="str">
        <f>CONCATENATE(other_instance,"01-m01-cl01-vds01-pg-mgmt")</f>
        <v>lax01-m01-cl01-vds01-pg-mgmt</v>
      </c>
      <c r="D316" s="129"/>
      <c r="E316" s="4"/>
    </row>
    <row r="317" spans="2:5" ht="20.100000000000001" customHeight="1" x14ac:dyDescent="0.2">
      <c r="B317" s="4" t="s">
        <v>729</v>
      </c>
      <c r="C317" s="362" t="str">
        <f>sample_mgmt_witness_mgmt_pg</f>
        <v>lax01-m01-cl01-vds01-pg-mgmt</v>
      </c>
      <c r="D317" s="9" t="str">
        <f>mgmt_witness_mgmt_pg</f>
        <v>Value Missing</v>
      </c>
      <c r="E317" s="4"/>
    </row>
    <row r="318" spans="2:5" ht="20.100000000000001" customHeight="1" x14ac:dyDescent="0.2">
      <c r="B318" s="4" t="s">
        <v>337</v>
      </c>
      <c r="C318" s="362" t="s">
        <v>379</v>
      </c>
      <c r="D318" s="129"/>
      <c r="E318" s="4"/>
    </row>
    <row r="319" spans="2:5" ht="20.100000000000001" customHeight="1" x14ac:dyDescent="0.2">
      <c r="B319" s="4" t="s">
        <v>730</v>
      </c>
      <c r="C319" s="126" t="str">
        <f>IF(mgmt_dpg_reuse_result="Included",CONCATENATE(prefix_other_region_az1_cidr,"10.218"),CONCATENATE(prefix_other_region_az1_cidr,"11.219"))</f>
        <v>10.21.10.218</v>
      </c>
      <c r="D319" s="129"/>
      <c r="E319" s="337" t="s">
        <v>731</v>
      </c>
    </row>
    <row r="320" spans="2:5" ht="20.100000000000001" customHeight="1" x14ac:dyDescent="0.2">
      <c r="B320" s="4" t="s">
        <v>732</v>
      </c>
      <c r="C320" s="362" t="s">
        <v>612</v>
      </c>
      <c r="D320" s="9" t="str">
        <f>mgmt_witnessaz_mgmt_mask</f>
        <v>Value Missing</v>
      </c>
      <c r="E320" s="4"/>
    </row>
    <row r="321" spans="2:7" ht="20.100000000000001" customHeight="1" x14ac:dyDescent="0.2">
      <c r="B321" s="4" t="s">
        <v>399</v>
      </c>
      <c r="C321" s="362" t="str">
        <f>sample_mgmt_witnessaz_mgmt_gateway_ip</f>
        <v>10.21.10.1</v>
      </c>
      <c r="D321" s="9" t="str">
        <f>mgmt_witnessaz_mgmt_gateway_ip</f>
        <v>Value Missing</v>
      </c>
      <c r="E321" s="4"/>
    </row>
    <row r="322" spans="2:7" ht="20.100000000000001" customHeight="1" x14ac:dyDescent="0.2">
      <c r="B322" s="4" t="s">
        <v>733</v>
      </c>
      <c r="C322" s="362" t="str">
        <f>sample_child_dns_zone</f>
        <v>sfo.rainpole.io</v>
      </c>
      <c r="D322" s="9"/>
      <c r="E322" s="4"/>
    </row>
    <row r="323" spans="2:7" ht="20.100000000000001" customHeight="1" x14ac:dyDescent="0.2">
      <c r="B323" s="4" t="s">
        <v>734</v>
      </c>
      <c r="C323" s="362" t="str">
        <f>CONCATENATE(this_instance,"-m01-cl01-vsw01")</f>
        <v>sfo-m01-cl01-vsw01</v>
      </c>
      <c r="D323" s="9" t="str">
        <f>mgmt_witness_hostname</f>
        <v>Value Missing</v>
      </c>
      <c r="E323" s="4"/>
    </row>
    <row r="324" spans="2:7" ht="20.100000000000001" customHeight="1" x14ac:dyDescent="0.2">
      <c r="B324" s="4" t="s">
        <v>735</v>
      </c>
      <c r="C324" s="80" t="str">
        <f>IF(mgmt_dpg_reuse_result="Included",CONCATENATE(prefix_other_region_az1_cidr,"10.4"),CONCATENATE(prefix_other_region_az1_cidr,"11.4"))</f>
        <v>10.21.10.4</v>
      </c>
      <c r="D324" s="129"/>
      <c r="E324" s="337" t="s">
        <v>736</v>
      </c>
    </row>
    <row r="325" spans="2:7" ht="20.100000000000001" customHeight="1" x14ac:dyDescent="0.2">
      <c r="B325" s="4" t="s">
        <v>737</v>
      </c>
      <c r="C325" s="80" t="str">
        <f>IF(mgmt_dpg_reuse_result="Included",CONCATENATE(prefix_other_region_az1_cidr,"10.5"),CONCATENATE(prefix_other_region_az1_cidr,"11.5"))</f>
        <v>10.21.10.5</v>
      </c>
      <c r="D325" s="129"/>
      <c r="E325" s="337" t="s">
        <v>738</v>
      </c>
    </row>
    <row r="326" spans="2:7" ht="20.100000000000001" customHeight="1" x14ac:dyDescent="0.2">
      <c r="B326" s="4" t="s">
        <v>739</v>
      </c>
      <c r="C326" s="84" t="str">
        <f>CONCATENATE("ntp0.",this_instance,".rainpole.io")</f>
        <v>ntp0.sfo.rainpole.io</v>
      </c>
      <c r="D326" s="129"/>
      <c r="E326" s="337"/>
    </row>
    <row r="327" spans="2:7" ht="20.100000000000001" customHeight="1" x14ac:dyDescent="0.2">
      <c r="B327" s="4" t="s">
        <v>740</v>
      </c>
      <c r="C327" s="137" t="str">
        <f>CONCATENATE("ntp1.",this_instance,".rainpole.io")</f>
        <v>ntp1.sfo.rainpole.io</v>
      </c>
      <c r="D327" s="129"/>
      <c r="E327" s="4"/>
      <c r="G327" s="27"/>
    </row>
    <row r="328" spans="2:7" ht="20.100000000000001" customHeight="1" x14ac:dyDescent="0.2">
      <c r="B328" s="514" t="s">
        <v>741</v>
      </c>
      <c r="C328" s="515"/>
      <c r="D328" s="515"/>
      <c r="E328" s="516"/>
    </row>
    <row r="329" spans="2:7" ht="20.100000000000001" customHeight="1" x14ac:dyDescent="0.2">
      <c r="B329" s="4" t="s">
        <v>721</v>
      </c>
      <c r="C329" s="362" t="str">
        <f>sample_mgmt_vc_fqdn</f>
        <v>sfo-m01-vc01.sfo.rainpole.io</v>
      </c>
      <c r="D329" s="343" t="str">
        <f>mgmt_vc_fqdn</f>
        <v>labvcvcf01v.vcf.lab.local</v>
      </c>
      <c r="E329" s="4"/>
      <c r="G329" s="27"/>
    </row>
    <row r="330" spans="2:7" ht="20.100000000000001" customHeight="1" x14ac:dyDescent="0.2">
      <c r="B330" s="4" t="s">
        <v>742</v>
      </c>
      <c r="C330" s="362" t="str">
        <f>sample_mgmt_datacenter</f>
        <v>sfo-m01-dc01</v>
      </c>
      <c r="D330" s="343" t="str">
        <f>mgmt_datacenter</f>
        <v>Site01</v>
      </c>
      <c r="E330" s="4"/>
    </row>
    <row r="331" spans="2:7" ht="20.100000000000001" customHeight="1" x14ac:dyDescent="0.2">
      <c r="B331" s="4" t="s">
        <v>527</v>
      </c>
      <c r="C331" s="362" t="str">
        <f>sample_mgmt_witness_hostname</f>
        <v>sfo-m01-cl01-vsw01</v>
      </c>
      <c r="D331" s="343" t="str">
        <f>mgmt_witness_hostname</f>
        <v>Value Missing</v>
      </c>
      <c r="E331" s="4"/>
    </row>
    <row r="332" spans="2:7" ht="20.100000000000001" customHeight="1" x14ac:dyDescent="0.2">
      <c r="B332" s="4" t="s">
        <v>743</v>
      </c>
      <c r="C332" s="362" t="str">
        <f>sample_mgmt_witness_root_password</f>
        <v>VMw@re1!</v>
      </c>
      <c r="D332" s="343" t="str">
        <f>mgmt_witness_root_password</f>
        <v>Value Missing</v>
      </c>
      <c r="E332" s="4"/>
    </row>
    <row r="333" spans="2:7" ht="20.100000000000001" customHeight="1" x14ac:dyDescent="0.2">
      <c r="B333" s="514" t="s">
        <v>744</v>
      </c>
      <c r="C333" s="515"/>
      <c r="D333" s="515"/>
      <c r="E333" s="516"/>
    </row>
    <row r="334" spans="2:7" ht="20.100000000000001" customHeight="1" x14ac:dyDescent="0.2">
      <c r="B334" s="4" t="s">
        <v>721</v>
      </c>
      <c r="C334" s="362" t="str">
        <f>sample_mgmt_vc_fqdn</f>
        <v>sfo-m01-vc01.sfo.rainpole.io</v>
      </c>
      <c r="D334" s="343" t="str">
        <f>mgmt_vc_fqdn</f>
        <v>labvcvcf01v.vcf.lab.local</v>
      </c>
      <c r="E334" s="4"/>
    </row>
    <row r="335" spans="2:7" ht="20.100000000000001" customHeight="1" x14ac:dyDescent="0.2">
      <c r="B335" s="4" t="s">
        <v>745</v>
      </c>
      <c r="C335" s="362" t="str">
        <f>CONCATENATE(this_instance,"-m01-cl01-vsw01")</f>
        <v>sfo-m01-cl01-vsw01</v>
      </c>
      <c r="D335" s="343" t="str">
        <f>mgmt_witness_hostname</f>
        <v>Value Missing</v>
      </c>
      <c r="E335" s="4"/>
    </row>
    <row r="336" spans="2:7" ht="20.100000000000001" customHeight="1" x14ac:dyDescent="0.2">
      <c r="B336" s="4" t="s">
        <v>746</v>
      </c>
      <c r="C336" s="362" t="str">
        <f>CONCATENATE(sample_mgmt_witness_ntp1_server,",",sample_mgmt_witness_ntp2_server)</f>
        <v>ntp0.sfo.rainpole.io,ntp1.sfo.rainpole.io</v>
      </c>
      <c r="D336" s="343" t="str">
        <f>IF(AND((NOT(ISBLANK(witness_ntp2_server))),(witness_ntp2_server&lt;&gt;"n/a"),(witness_ntp2_server&lt;&gt;"")),CONCATENATE(witness_ntp1_server,",",witness_ntp2_server))</f>
        <v>Value Missing,Value Missing</v>
      </c>
      <c r="E336" s="32"/>
      <c r="G336" s="27"/>
    </row>
    <row r="337" spans="2:5" ht="20.100000000000001" customHeight="1" x14ac:dyDescent="0.2">
      <c r="B337" s="514" t="s">
        <v>747</v>
      </c>
      <c r="C337" s="515"/>
      <c r="D337" s="515"/>
      <c r="E337" s="516"/>
    </row>
    <row r="338" spans="2:5" ht="20.100000000000001" customHeight="1" x14ac:dyDescent="0.2">
      <c r="B338" s="4" t="s">
        <v>721</v>
      </c>
      <c r="C338" s="362" t="str">
        <f>sample_mgmt_vc_fqdn</f>
        <v>sfo-m01-vc01.sfo.rainpole.io</v>
      </c>
      <c r="D338" s="343" t="str">
        <f>mgmt_vc_fqdn</f>
        <v>labvcvcf01v.vcf.lab.local</v>
      </c>
      <c r="E338" s="4"/>
    </row>
    <row r="339" spans="2:5" ht="20.100000000000001" customHeight="1" x14ac:dyDescent="0.2">
      <c r="B339" s="4" t="s">
        <v>748</v>
      </c>
      <c r="C339" s="362" t="str">
        <f>sample_mgmt_datacenter</f>
        <v>sfo-m01-dc01</v>
      </c>
      <c r="D339" s="343" t="str">
        <f>mgmt_datacenter</f>
        <v>Site01</v>
      </c>
      <c r="E339" s="4"/>
    </row>
    <row r="340" spans="2:5" ht="20.100000000000001" customHeight="1" x14ac:dyDescent="0.2">
      <c r="B340" s="4" t="s">
        <v>749</v>
      </c>
      <c r="C340" s="362" t="str">
        <f>sample_mgmt_witness_hostname</f>
        <v>sfo-m01-cl01-vsw01</v>
      </c>
      <c r="D340" s="343" t="str">
        <f>mgmt_witness_hostname</f>
        <v>Value Missing</v>
      </c>
      <c r="E340" s="4"/>
    </row>
    <row r="341" spans="2:5" ht="15.95" customHeight="1" x14ac:dyDescent="0.2"/>
    <row r="342" spans="2:5" ht="33.950000000000003" customHeight="1" x14ac:dyDescent="0.2">
      <c r="B342" s="517" t="s">
        <v>750</v>
      </c>
      <c r="C342" s="518"/>
      <c r="D342" s="518"/>
      <c r="E342" s="519"/>
    </row>
    <row r="343" spans="2:5" ht="20.100000000000001" customHeight="1" x14ac:dyDescent="0.2">
      <c r="B343" s="43" t="s">
        <v>259</v>
      </c>
      <c r="C343" s="43" t="s">
        <v>711</v>
      </c>
      <c r="D343" s="130" t="s">
        <v>277</v>
      </c>
      <c r="E343" s="43" t="s">
        <v>457</v>
      </c>
    </row>
    <row r="344" spans="2:5" ht="20.100000000000001" customHeight="1" x14ac:dyDescent="0.2">
      <c r="B344" s="514" t="s">
        <v>751</v>
      </c>
      <c r="C344" s="515"/>
      <c r="D344" s="515"/>
      <c r="E344" s="516"/>
    </row>
    <row r="345" spans="2:5" ht="20.100000000000001" customHeight="1" x14ac:dyDescent="0.2">
      <c r="B345" s="4" t="str">
        <f t="array" ref="B345:B360">mgmt_az2_host_fqdns</f>
        <v>Value Missing</v>
      </c>
      <c r="C345" s="362" t="s">
        <v>752</v>
      </c>
      <c r="D345" s="94"/>
      <c r="E345" s="312" t="s">
        <v>753</v>
      </c>
    </row>
    <row r="346" spans="2:5" ht="20.100000000000001" customHeight="1" x14ac:dyDescent="0.2">
      <c r="B346" s="4" t="str">
        <v>Value Missing</v>
      </c>
      <c r="C346" s="362" t="s">
        <v>754</v>
      </c>
      <c r="D346" s="94"/>
      <c r="E346" s="313" t="s">
        <v>755</v>
      </c>
    </row>
    <row r="347" spans="2:5" ht="20.100000000000001" customHeight="1" x14ac:dyDescent="0.2">
      <c r="B347" s="4" t="str">
        <v>Value Missing</v>
      </c>
      <c r="C347" s="362" t="s">
        <v>756</v>
      </c>
      <c r="D347" s="94"/>
      <c r="E347" s="313" t="s">
        <v>757</v>
      </c>
    </row>
    <row r="348" spans="2:5" ht="20.100000000000001" customHeight="1" x14ac:dyDescent="0.2">
      <c r="B348" s="4" t="str">
        <v>Value Missing</v>
      </c>
      <c r="C348" s="362" t="s">
        <v>758</v>
      </c>
      <c r="D348" s="94"/>
      <c r="E348" s="313" t="s">
        <v>759</v>
      </c>
    </row>
    <row r="349" spans="2:5" ht="20.100000000000001" customHeight="1" x14ac:dyDescent="0.2">
      <c r="B349" s="4" t="str">
        <v>Value Missing</v>
      </c>
      <c r="C349" s="138" t="s">
        <v>760</v>
      </c>
      <c r="D349" s="94"/>
      <c r="E349" s="313" t="s">
        <v>761</v>
      </c>
    </row>
    <row r="350" spans="2:5" ht="20.100000000000001" customHeight="1" x14ac:dyDescent="0.2">
      <c r="B350" s="4" t="str">
        <v>Value Missing</v>
      </c>
      <c r="C350" s="138" t="s">
        <v>762</v>
      </c>
      <c r="D350" s="94"/>
      <c r="E350" s="313" t="s">
        <v>763</v>
      </c>
    </row>
    <row r="351" spans="2:5" ht="20.100000000000001" customHeight="1" x14ac:dyDescent="0.2">
      <c r="B351" s="4" t="str">
        <v>Value Missing</v>
      </c>
      <c r="C351" s="138" t="s">
        <v>764</v>
      </c>
      <c r="D351" s="94"/>
      <c r="E351" s="313" t="s">
        <v>765</v>
      </c>
    </row>
    <row r="352" spans="2:5" ht="20.100000000000001" customHeight="1" x14ac:dyDescent="0.2">
      <c r="B352" s="4" t="str">
        <v>Value Missing</v>
      </c>
      <c r="C352" s="138" t="s">
        <v>766</v>
      </c>
      <c r="D352" s="94"/>
      <c r="E352" s="313" t="s">
        <v>767</v>
      </c>
    </row>
    <row r="353" spans="2:7" ht="20.100000000000001" customHeight="1" x14ac:dyDescent="0.2">
      <c r="B353" s="4" t="str">
        <v>Value Missing</v>
      </c>
      <c r="C353" s="138" t="s">
        <v>768</v>
      </c>
      <c r="D353" s="94"/>
      <c r="E353" s="313" t="s">
        <v>769</v>
      </c>
    </row>
    <row r="354" spans="2:7" ht="20.100000000000001" customHeight="1" x14ac:dyDescent="0.2">
      <c r="B354" s="4" t="str">
        <v>Value Missing</v>
      </c>
      <c r="C354" s="138" t="s">
        <v>770</v>
      </c>
      <c r="D354" s="94"/>
      <c r="E354" s="313" t="s">
        <v>771</v>
      </c>
    </row>
    <row r="355" spans="2:7" ht="20.100000000000001" customHeight="1" x14ac:dyDescent="0.2">
      <c r="B355" s="4" t="str">
        <v>Value Missing</v>
      </c>
      <c r="C355" s="138" t="s">
        <v>772</v>
      </c>
      <c r="D355" s="94"/>
      <c r="E355" s="313" t="s">
        <v>773</v>
      </c>
      <c r="G355" s="27"/>
    </row>
    <row r="356" spans="2:7" ht="20.100000000000001" customHeight="1" x14ac:dyDescent="0.2">
      <c r="B356" s="4" t="str">
        <v>Value Missing</v>
      </c>
      <c r="C356" s="138" t="s">
        <v>774</v>
      </c>
      <c r="D356" s="94"/>
      <c r="E356" s="313" t="s">
        <v>775</v>
      </c>
      <c r="G356" s="27"/>
    </row>
    <row r="357" spans="2:7" ht="20.100000000000001" customHeight="1" x14ac:dyDescent="0.2">
      <c r="B357" s="4" t="str">
        <v>Value Missing</v>
      </c>
      <c r="C357" s="138" t="s">
        <v>776</v>
      </c>
      <c r="D357" s="94"/>
      <c r="E357" s="313" t="s">
        <v>777</v>
      </c>
      <c r="G357" s="27"/>
    </row>
    <row r="358" spans="2:7" ht="20.100000000000001" customHeight="1" x14ac:dyDescent="0.2">
      <c r="B358" s="4" t="str">
        <v>Value Missing</v>
      </c>
      <c r="C358" s="138" t="s">
        <v>778</v>
      </c>
      <c r="D358" s="94"/>
      <c r="E358" s="313" t="s">
        <v>779</v>
      </c>
      <c r="G358" s="27"/>
    </row>
    <row r="359" spans="2:7" ht="20.100000000000001" customHeight="1" x14ac:dyDescent="0.2">
      <c r="B359" s="4" t="str">
        <v>Value Missing</v>
      </c>
      <c r="C359" s="138" t="s">
        <v>780</v>
      </c>
      <c r="D359" s="94"/>
      <c r="E359" s="313" t="s">
        <v>781</v>
      </c>
      <c r="G359" s="27"/>
    </row>
    <row r="360" spans="2:7" ht="20.100000000000001" customHeight="1" x14ac:dyDescent="0.2">
      <c r="B360" s="4" t="str">
        <v>Value Missing</v>
      </c>
      <c r="C360" s="138" t="s">
        <v>782</v>
      </c>
      <c r="D360" s="94"/>
      <c r="E360" s="313" t="s">
        <v>783</v>
      </c>
      <c r="G360" s="27"/>
    </row>
    <row r="361" spans="2:7" ht="20.100000000000001" customHeight="1" x14ac:dyDescent="0.2">
      <c r="B361" s="4" t="s">
        <v>784</v>
      </c>
      <c r="C361" s="139" t="str">
        <f>CONCATENATE(this_instance,"02-",sample_mgmt_cl01_cluster,"-r01-network-profile")</f>
        <v>sfo02-sfo-m01-cl01-r01-network-profile</v>
      </c>
      <c r="D361" s="134"/>
      <c r="E361" s="337"/>
      <c r="G361" s="27"/>
    </row>
    <row r="362" spans="2:7" ht="20.100000000000001" customHeight="1" x14ac:dyDescent="0.2">
      <c r="B362" s="4" t="s">
        <v>785</v>
      </c>
      <c r="C362" s="362" t="s">
        <v>786</v>
      </c>
      <c r="D362" s="134" t="s">
        <v>786</v>
      </c>
      <c r="E362"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100000000000001" customHeight="1" x14ac:dyDescent="0.2">
      <c r="B363" s="4" t="s">
        <v>787</v>
      </c>
      <c r="C363" s="139" t="str">
        <f>CONCATENATE(this_instance,"02-m01","-r01-ip-pool01-host")</f>
        <v>sfo02-m01-r01-ip-pool01-host</v>
      </c>
      <c r="D363" s="134"/>
      <c r="E363" s="4"/>
      <c r="G363" s="27"/>
    </row>
    <row r="364" spans="2:7" ht="20.100000000000001" customHeight="1" x14ac:dyDescent="0.2">
      <c r="B364" s="4" t="s">
        <v>788</v>
      </c>
      <c r="C364" s="139" t="str">
        <f>CONCATENATE(this_instance,"02-m01","-r01-uplink-profile01")</f>
        <v>sfo02-m01-r01-uplink-profile01</v>
      </c>
      <c r="D364" s="134"/>
      <c r="E364" s="4"/>
      <c r="G364" s="27"/>
    </row>
    <row r="365" spans="2:7" ht="20.100000000000001" customHeight="1" x14ac:dyDescent="0.2">
      <c r="B365" s="17" t="s">
        <v>789</v>
      </c>
      <c r="C365" s="80" t="str">
        <f>CONCATENATE(prefix_mgmt_az2_vlan,"14")</f>
        <v>1214</v>
      </c>
      <c r="D365" s="134"/>
      <c r="E365" s="17"/>
      <c r="G365" s="27"/>
    </row>
    <row r="366" spans="2:7" ht="20.100000000000001" customHeight="1" x14ac:dyDescent="0.2">
      <c r="B366" s="4" t="s">
        <v>790</v>
      </c>
      <c r="C366" s="80" t="str">
        <f>CONCATENATE(prefix_mgmt_az2_cidr,"14.1")</f>
        <v>10.12.14.1</v>
      </c>
      <c r="D366" s="134"/>
      <c r="E366" s="22"/>
      <c r="G366" s="27"/>
    </row>
    <row r="367" spans="2:7" ht="20.100000000000001" customHeight="1" x14ac:dyDescent="0.2">
      <c r="B367" s="4" t="s">
        <v>791</v>
      </c>
      <c r="C367" s="80" t="str">
        <f>CONCATENATE(prefix_mgmt_az2_cidr,"14.0/24")</f>
        <v>10.12.14.0/24</v>
      </c>
      <c r="D367" s="134"/>
      <c r="E367" s="22"/>
      <c r="G367" s="27"/>
    </row>
    <row r="368" spans="2:7" ht="20.100000000000001" customHeight="1" x14ac:dyDescent="0.2">
      <c r="B368" s="4" t="s">
        <v>792</v>
      </c>
      <c r="C368" s="80">
        <f>9000</f>
        <v>9000</v>
      </c>
      <c r="D368" s="134"/>
      <c r="E368" s="22"/>
      <c r="G368" s="27"/>
    </row>
    <row r="369" spans="2:7" ht="20.100000000000001" customHeight="1" x14ac:dyDescent="0.2">
      <c r="B369" s="17" t="s">
        <v>460</v>
      </c>
      <c r="C369" s="80" t="str">
        <f>CONCATENATE(prefix_mgmt_az2_cidr,"14.101")</f>
        <v>10.12.14.101</v>
      </c>
      <c r="D369" s="134"/>
      <c r="E369" s="22"/>
      <c r="G369" s="27"/>
    </row>
    <row r="370" spans="2:7" ht="20.100000000000001" customHeight="1" x14ac:dyDescent="0.2">
      <c r="B370" s="17" t="s">
        <v>461</v>
      </c>
      <c r="C370" s="80" t="str">
        <f>CONCATENATE(prefix_mgmt_az2_cidr,"14.132")</f>
        <v>10.12.14.132</v>
      </c>
      <c r="D370" s="134"/>
      <c r="E370" s="22"/>
      <c r="G370" s="27"/>
    </row>
    <row r="371" spans="2:7" ht="20.100000000000001" customHeight="1" x14ac:dyDescent="0.2">
      <c r="B371" s="4" t="s">
        <v>793</v>
      </c>
      <c r="C371" s="362" t="str">
        <f>CONCATENATE(this_instance,"-m01-cl01-vsw01.",sample_child_dns_zone)</f>
        <v>sfo-m01-cl01-vsw01.sfo.rainpole.io</v>
      </c>
      <c r="D371" s="134"/>
      <c r="E371" s="337"/>
      <c r="G371" s="27"/>
    </row>
    <row r="372" spans="2:7" ht="20.100000000000001" customHeight="1" x14ac:dyDescent="0.2">
      <c r="B372" s="4" t="s">
        <v>794</v>
      </c>
      <c r="C372" s="362" t="str">
        <f>sample_mgmt_witnessaz_mgmt_cidr</f>
        <v>10.21.10.0/24</v>
      </c>
      <c r="D372" s="278" t="str">
        <f>mgmt_witnessaz_mgmt_cidr</f>
        <v>Value Missing</v>
      </c>
      <c r="E372" s="337" t="s">
        <v>795</v>
      </c>
      <c r="G372" s="27"/>
    </row>
    <row r="373" spans="2:7" ht="20.100000000000001" customHeight="1" x14ac:dyDescent="0.2">
      <c r="B373" s="4" t="s">
        <v>796</v>
      </c>
      <c r="C373" s="89" t="str">
        <f>sample_mgmt_witness_ip</f>
        <v>10.21.10.218</v>
      </c>
      <c r="D373" s="278" t="e">
        <f>mgmt_witness_mgmt_ip</f>
        <v>#NAME?</v>
      </c>
      <c r="E373" s="337" t="s">
        <v>797</v>
      </c>
      <c r="G373" s="27"/>
    </row>
    <row r="374" spans="2:7" ht="20.100000000000001" customHeight="1" x14ac:dyDescent="0.2">
      <c r="B374" s="4" t="s">
        <v>798</v>
      </c>
      <c r="C374" s="362" t="s">
        <v>799</v>
      </c>
      <c r="D374" s="134"/>
      <c r="E374" s="337" t="s">
        <v>800</v>
      </c>
    </row>
    <row r="375" spans="2:7" ht="20.100000000000001" customHeight="1" x14ac:dyDescent="0.2">
      <c r="B375" s="520"/>
      <c r="C375" s="520"/>
      <c r="D375" s="520"/>
      <c r="E375" s="520"/>
    </row>
    <row r="376" spans="2:7" ht="33.950000000000003" customHeight="1" x14ac:dyDescent="0.2">
      <c r="B376" s="517" t="s">
        <v>801</v>
      </c>
      <c r="C376" s="518"/>
      <c r="D376" s="518"/>
      <c r="E376" s="519"/>
    </row>
    <row r="377" spans="2:7" ht="20.100000000000001" customHeight="1" x14ac:dyDescent="0.2">
      <c r="B377" s="514" t="s">
        <v>802</v>
      </c>
      <c r="C377" s="515"/>
      <c r="D377" s="515"/>
      <c r="E377" s="516"/>
    </row>
    <row r="378" spans="2:7" ht="20.100000000000001" customHeight="1" x14ac:dyDescent="0.2">
      <c r="B378" s="4" t="s">
        <v>803</v>
      </c>
      <c r="C378" s="362" t="str">
        <f>sample_mgmt_nsxt_vip_fqdn</f>
        <v>sfo-m01-nsx01.sfo.rainpole.io</v>
      </c>
      <c r="D378" s="337" t="str">
        <f>mgmt_nsxt_vip_fqdn</f>
        <v>nsx.vcf.lab.local</v>
      </c>
      <c r="E378" s="337"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379" spans="2:7" ht="20.100000000000001" customHeight="1" x14ac:dyDescent="0.2">
      <c r="B379" s="514" t="s">
        <v>804</v>
      </c>
      <c r="C379" s="515"/>
      <c r="D379" s="515"/>
      <c r="E379" s="516"/>
    </row>
    <row r="380" spans="2:7" ht="20.100000000000001" customHeight="1" x14ac:dyDescent="0.2">
      <c r="B380" s="4" t="s">
        <v>803</v>
      </c>
      <c r="C380" s="362" t="str">
        <f>sample_mgmt_nsxt_vip_fqdn</f>
        <v>sfo-m01-nsx01.sfo.rainpole.io</v>
      </c>
      <c r="D380" s="343" t="str">
        <f>mgmt_nsxt_vip_fqdn</f>
        <v>nsx.vcf.lab.local</v>
      </c>
      <c r="E380" s="4"/>
    </row>
    <row r="381" spans="2:7" ht="20.100000000000001" customHeight="1" x14ac:dyDescent="0.2">
      <c r="B381" s="4" t="s">
        <v>805</v>
      </c>
      <c r="C381" s="362" t="str">
        <f>sample_mgmt_en_asn</f>
        <v>65101</v>
      </c>
      <c r="D381" s="343" t="str">
        <f>mgmt_en_asn</f>
        <v>Value Missing</v>
      </c>
      <c r="E381" s="4"/>
    </row>
    <row r="382" spans="2:7" ht="20.100000000000001" customHeight="1" x14ac:dyDescent="0.2">
      <c r="B382" s="514" t="s">
        <v>806</v>
      </c>
      <c r="C382" s="515"/>
      <c r="D382" s="515"/>
      <c r="E382" s="516"/>
    </row>
    <row r="383" spans="2:7" ht="20.100000000000001" customHeight="1" x14ac:dyDescent="0.2">
      <c r="B383" s="4" t="s">
        <v>803</v>
      </c>
      <c r="C383" s="362" t="str">
        <f>sample_mgmt_nsxt_vip_fqdn</f>
        <v>sfo-m01-nsx01.sfo.rainpole.io</v>
      </c>
      <c r="D383" s="343" t="str">
        <f>mgmt_nsxt_vip_fqdn</f>
        <v>nsx.vcf.lab.local</v>
      </c>
      <c r="E383" s="337"/>
    </row>
    <row r="384" spans="2:7" ht="20.100000000000001" customHeight="1" x14ac:dyDescent="0.2">
      <c r="B384" s="4" t="s">
        <v>807</v>
      </c>
      <c r="C384" s="362" t="str">
        <f>CONCATENATE(prefix_mgmt_az1_cidr,"17.11")</f>
        <v>10.11.17.11</v>
      </c>
      <c r="D384" s="347"/>
      <c r="E384" s="337" t="s">
        <v>648</v>
      </c>
    </row>
    <row r="385" spans="2:5" ht="20.100000000000001" customHeight="1" x14ac:dyDescent="0.2">
      <c r="B385" s="4" t="s">
        <v>808</v>
      </c>
      <c r="C385" s="362" t="str">
        <f>IF(wld_domain_chosen="First Domain",CONCATENATE(asn_start,asn_instance,asn_mgmt_az2,1),IF(wld_nsxt_federation_result="Included",CONCATENATE(asn_start,asn_instance,asn_mgmt_az2,1),CONCATENATE(asn_start,asn_instance,asn_mgmt_az2,1)))</f>
        <v>65121</v>
      </c>
      <c r="D385" s="347"/>
      <c r="E385" s="337" t="s">
        <v>649</v>
      </c>
    </row>
    <row r="386" spans="2:5" ht="20.100000000000001" customHeight="1" x14ac:dyDescent="0.2">
      <c r="B386" s="4" t="s">
        <v>809</v>
      </c>
      <c r="C386" s="362" t="str">
        <f>sample_mgmt_az1_en1_uplink01_interface_cidr</f>
        <v>10.11.17.2/24</v>
      </c>
      <c r="D386" s="343" t="str">
        <f>mgmt_az1_en1_uplink01_interface_cidr</f>
        <v>Value Missing</v>
      </c>
      <c r="E386" s="337"/>
    </row>
    <row r="387" spans="2:5" ht="20.100000000000001" customHeight="1" x14ac:dyDescent="0.2">
      <c r="B387" s="4" t="s">
        <v>810</v>
      </c>
      <c r="C387" s="362" t="str">
        <f>sample_mgmt_az1_en2_uplink01_interface_cidr</f>
        <v>10.11.17.3/24</v>
      </c>
      <c r="D387" s="343" t="str">
        <f>mgmt_az1_en2_uplink01_interface_cidr</f>
        <v>Value Missing</v>
      </c>
      <c r="E387" s="337"/>
    </row>
    <row r="388" spans="2:5" ht="20.100000000000001" customHeight="1" x14ac:dyDescent="0.2">
      <c r="B388" s="4" t="s">
        <v>811</v>
      </c>
      <c r="C388" s="362" t="s">
        <v>379</v>
      </c>
      <c r="D388" s="347"/>
      <c r="E388" s="337" t="s">
        <v>650</v>
      </c>
    </row>
    <row r="389" spans="2:5" ht="20.100000000000001" customHeight="1" x14ac:dyDescent="0.2">
      <c r="B389" s="4" t="s">
        <v>812</v>
      </c>
      <c r="C389" s="362" t="str">
        <f>CONCATENATE(prefix_mgmt_az1_cidr,"18.11")</f>
        <v>10.11.18.11</v>
      </c>
      <c r="D389" s="347"/>
      <c r="E389" s="337" t="s">
        <v>651</v>
      </c>
    </row>
    <row r="390" spans="2:5" ht="20.100000000000001" customHeight="1" x14ac:dyDescent="0.2">
      <c r="B390" s="4" t="s">
        <v>809</v>
      </c>
      <c r="C390" s="362" t="str">
        <f>sample_mgmt_az1_en1_uplink02_interface_cidr</f>
        <v>10.11.18.2/24</v>
      </c>
      <c r="D390" s="343" t="str">
        <f>mgmt_az1_en1_uplink02_interface_cidr</f>
        <v>Value Missing</v>
      </c>
      <c r="E390" s="337"/>
    </row>
    <row r="391" spans="2:5" ht="20.100000000000001" customHeight="1" x14ac:dyDescent="0.2">
      <c r="B391" s="4" t="s">
        <v>810</v>
      </c>
      <c r="C391" s="362" t="str">
        <f>sample_mgmt_az1_en2_uplink02_interface_cidr</f>
        <v>10.11.18.3/24</v>
      </c>
      <c r="D391" s="343" t="str">
        <f>mgmt_az1_en2_uplink02_interface_cidr</f>
        <v>Value Missing</v>
      </c>
      <c r="E391" s="337"/>
    </row>
    <row r="392" spans="2:5" ht="20.100000000000001" customHeight="1" x14ac:dyDescent="0.2">
      <c r="B392" s="4" t="s">
        <v>813</v>
      </c>
      <c r="C392" s="362" t="str">
        <f>IF(wld_domain_chosen="First Domain",CONCATENATE(asn_start,asn_instance,asn_mgmt_az2,1),IF(wld_nsxt_federation_result="Included",CONCATENATE(asn_start,asn_instance,asn_mgmt_az2,1),CONCATENATE(asn_start,asn_instance,asn_mgmt_az2,1)))</f>
        <v>65121</v>
      </c>
      <c r="D392" s="347"/>
      <c r="E392" s="337" t="s">
        <v>652</v>
      </c>
    </row>
    <row r="393" spans="2:5" ht="20.100000000000001" customHeight="1" x14ac:dyDescent="0.2">
      <c r="B393" s="4" t="s">
        <v>811</v>
      </c>
      <c r="C393" s="362" t="s">
        <v>379</v>
      </c>
      <c r="D393" s="347"/>
      <c r="E393" s="337" t="s">
        <v>653</v>
      </c>
    </row>
    <row r="394" spans="2:5" ht="15.95" customHeight="1" x14ac:dyDescent="0.2"/>
    <row r="395" spans="2:5" ht="33.950000000000003" customHeight="1" x14ac:dyDescent="0.2">
      <c r="B395" s="511" t="s">
        <v>508</v>
      </c>
      <c r="C395" s="512"/>
      <c r="D395" s="512"/>
      <c r="E395" s="513"/>
    </row>
    <row r="396" spans="2:5" ht="20.100000000000001" customHeight="1" x14ac:dyDescent="0.2">
      <c r="B396" s="514" t="s">
        <v>814</v>
      </c>
      <c r="C396" s="515"/>
      <c r="D396" s="515"/>
      <c r="E396" s="516"/>
    </row>
    <row r="397" spans="2:5" ht="20.100000000000001" customHeight="1" x14ac:dyDescent="0.2">
      <c r="B397" s="43" t="s">
        <v>259</v>
      </c>
      <c r="C397" s="43" t="s">
        <v>711</v>
      </c>
      <c r="D397" s="130" t="s">
        <v>277</v>
      </c>
      <c r="E397" s="43" t="s">
        <v>457</v>
      </c>
    </row>
    <row r="398" spans="2:5" ht="20.100000000000001" customHeight="1" x14ac:dyDescent="0.2">
      <c r="B398" s="4" t="s">
        <v>815</v>
      </c>
      <c r="C398" s="85" t="str">
        <f>sample_mgmt_vc_fqdn</f>
        <v>sfo-m01-vc01.sfo.rainpole.io</v>
      </c>
      <c r="D398" s="337" t="str">
        <f>mgmt_vc_fqdn</f>
        <v>labvcvcf01v.vcf.lab.local</v>
      </c>
      <c r="E398" s="4"/>
    </row>
    <row r="399" spans="2:5" ht="20.100000000000001" customHeight="1" x14ac:dyDescent="0.2">
      <c r="B399" s="514" t="s">
        <v>816</v>
      </c>
      <c r="C399" s="515"/>
      <c r="D399" s="515"/>
      <c r="E399" s="516"/>
    </row>
    <row r="400" spans="2:5" ht="20.100000000000001" customHeight="1" x14ac:dyDescent="0.2">
      <c r="B400" s="4" t="s">
        <v>817</v>
      </c>
      <c r="C400" s="141" t="str">
        <f>CONCATENATE(this_instance,"-m01-nsx-gm01a")</f>
        <v>sfo-m01-nsx-gm01a</v>
      </c>
      <c r="D400" s="129"/>
      <c r="E400" s="4"/>
    </row>
    <row r="401" spans="2:7" ht="20.100000000000001" customHeight="1" x14ac:dyDescent="0.2">
      <c r="B401" s="4" t="s">
        <v>818</v>
      </c>
      <c r="C401" s="85" t="str">
        <f>sample_mgmt_datacenter</f>
        <v>sfo-m01-dc01</v>
      </c>
      <c r="D401" s="337" t="str">
        <f>mgmt_datacenter</f>
        <v>Site01</v>
      </c>
      <c r="E401" s="4"/>
    </row>
    <row r="402" spans="2:7" ht="20.100000000000001" customHeight="1" x14ac:dyDescent="0.2">
      <c r="B402" s="4" t="s">
        <v>819</v>
      </c>
      <c r="C402" s="85" t="str">
        <f>sample_mgmt_cl01_cluster</f>
        <v>sfo-m01-cl01</v>
      </c>
      <c r="D402" s="337" t="str">
        <f>mgmt_cl01_cluster</f>
        <v>vcf-mgmt-cluster01</v>
      </c>
      <c r="E402" s="4"/>
    </row>
    <row r="403" spans="2:7" ht="20.100000000000001" customHeight="1" x14ac:dyDescent="0.2">
      <c r="B403" s="4" t="s">
        <v>820</v>
      </c>
      <c r="C403" s="85" t="s">
        <v>214</v>
      </c>
      <c r="D403" s="337" t="s">
        <v>214</v>
      </c>
      <c r="E403" s="4"/>
    </row>
    <row r="404" spans="2:7" ht="20.100000000000001" customHeight="1" x14ac:dyDescent="0.2">
      <c r="B404" s="4" t="s">
        <v>821</v>
      </c>
      <c r="C404" s="85" t="str">
        <f>sample_mgmt_cl01_vsan_datastore</f>
        <v>sfo-m01-cl01-ds-vsan01</v>
      </c>
      <c r="D404" s="337" t="str">
        <f>mgmt_cl01_vsan_datastore</f>
        <v>LABVSANESA01</v>
      </c>
      <c r="E404" s="4"/>
    </row>
    <row r="405" spans="2:7" ht="20.100000000000001" customHeight="1" x14ac:dyDescent="0.2">
      <c r="B405" s="4" t="s">
        <v>822</v>
      </c>
      <c r="C405" s="142" t="str">
        <f>sample_mgmt_cl01_az1_mgmt_vm_pg</f>
        <v>sfo-m01-cl01-vds01-pg-vm-mgmt</v>
      </c>
      <c r="D405" s="337" t="str">
        <f>mgmt_cl01_az1_mgmt_vm_pg</f>
        <v>VLAN_250_VMs</v>
      </c>
      <c r="E405" s="4"/>
    </row>
    <row r="406" spans="2:7" ht="20.100000000000001" customHeight="1" x14ac:dyDescent="0.2">
      <c r="B406" s="4" t="s">
        <v>823</v>
      </c>
      <c r="C406" s="85" t="s">
        <v>297</v>
      </c>
      <c r="D406" s="347"/>
      <c r="E406" s="4"/>
    </row>
    <row r="407" spans="2:7" ht="20.100000000000001" customHeight="1" x14ac:dyDescent="0.2">
      <c r="B407" s="4" t="s">
        <v>824</v>
      </c>
      <c r="C407" s="85" t="s">
        <v>297</v>
      </c>
      <c r="D407" s="347"/>
      <c r="E407" s="4"/>
    </row>
    <row r="408" spans="2:7" ht="20.100000000000001" customHeight="1" x14ac:dyDescent="0.2">
      <c r="B408" s="4" t="s">
        <v>825</v>
      </c>
      <c r="C408" s="85" t="s">
        <v>297</v>
      </c>
      <c r="D408" s="347"/>
      <c r="E408" s="4"/>
    </row>
    <row r="409" spans="2:7" ht="20.100000000000001" customHeight="1" x14ac:dyDescent="0.2">
      <c r="B409" s="4" t="s">
        <v>826</v>
      </c>
      <c r="C409" s="85" t="str">
        <f>CONCATENATE(sample_mgmt_nsxt_global_mgra_hostname,".",sample_child_dns_zone)</f>
        <v>sfo-m01-nsx-gm01a.sfo.rainpole.io</v>
      </c>
      <c r="D409" s="347"/>
      <c r="E409" s="337" t="s">
        <v>827</v>
      </c>
    </row>
    <row r="410" spans="2:7" ht="20.100000000000001" customHeight="1" x14ac:dyDescent="0.2">
      <c r="B410" s="4" t="s">
        <v>828</v>
      </c>
      <c r="C410" s="141" t="str">
        <f>IF(mgmt_dpg_reuse_result="Included",CONCATENATE(prefix_mgmt_az1_cidr,"10.82"),CONCATENATE(prefix_mgmt_az1_cidr,"11.82"))</f>
        <v>10.11.10.82</v>
      </c>
      <c r="D410" s="129"/>
      <c r="E410" s="4"/>
    </row>
    <row r="411" spans="2:7" ht="20.100000000000001" customHeight="1" x14ac:dyDescent="0.2">
      <c r="B411" s="4" t="s">
        <v>829</v>
      </c>
      <c r="C411" s="85" t="s">
        <v>612</v>
      </c>
      <c r="D411" s="337" t="str">
        <f>mgmt_az1_mgmt_vm_mask</f>
        <v>255.255.255.0</v>
      </c>
      <c r="E411" s="4"/>
    </row>
    <row r="412" spans="2:7" ht="20.100000000000001" customHeight="1" x14ac:dyDescent="0.2">
      <c r="B412" s="4" t="s">
        <v>830</v>
      </c>
      <c r="C412" s="85" t="str">
        <f>sample_mgmt_az1_mgmt_vm_gateway_ip</f>
        <v>10.11.10.1</v>
      </c>
      <c r="D412" s="337" t="str">
        <f>mgmt_az1_mgmt_vm_gateway_ip</f>
        <v>10.100.50.1</v>
      </c>
      <c r="E412" s="4"/>
    </row>
    <row r="413" spans="2:7" ht="20.100000000000001" customHeight="1" x14ac:dyDescent="0.2">
      <c r="B413" s="4" t="s">
        <v>831</v>
      </c>
      <c r="C413" s="85" t="str">
        <f>CONCATENATE(sample_mgmt_witness_dns1_ip,",",sample_mgmt_witness_dns2_ip)</f>
        <v>10.21.10.4,10.21.10.5</v>
      </c>
      <c r="D413" s="337" t="str">
        <f>IF(ISBLANK(input_region_dns1_ip),"Value Missing",CONCATENATE(region_dns1_ip,",",IF(ISBLANK(input_region_dns2_ip),"Value Missing",region_dns2_ip)))</f>
        <v>10.255.50.26,Value Missing</v>
      </c>
      <c r="E413" s="4"/>
    </row>
    <row r="414" spans="2:7" ht="20.100000000000001" customHeight="1" x14ac:dyDescent="0.2">
      <c r="B414" s="4" t="s">
        <v>832</v>
      </c>
      <c r="C414" s="85" t="str">
        <f>CONCATENATE(sample_child_dns_zone,",",sample_parent_dns_zone)</f>
        <v>sfo.rainpole.io,rainpole.io</v>
      </c>
      <c r="D414" s="337" t="str">
        <f>child_dns_zone</f>
        <v>Value Missing</v>
      </c>
      <c r="E414" s="4"/>
      <c r="G414" s="27"/>
    </row>
    <row r="415" spans="2:7" ht="20.100000000000001" customHeight="1" x14ac:dyDescent="0.2">
      <c r="B415" s="4" t="s">
        <v>833</v>
      </c>
      <c r="C415" s="85" t="str">
        <f>IF(AND((NOT(ISBLANK(sample_region_ntp2_server))),(sample_region_ntp2_server &lt;&gt; "n/a")),CONCATENATE(sample_region_ntp1_server,",",sample_region_ntp2_server),sample_region_ntp1_server)</f>
        <v>ntp0.sfo.rainpole.io,ntp1.sfo.rainpole.io</v>
      </c>
      <c r="D415" s="337" t="str">
        <f>IF(AND((NOT(ISBLANK(region_ntp2_server))),(region_ntp2_server&lt;&gt;"n/a"),(region_ntp2_server&lt;&gt;"")),CONCATENATE(region_ntp1_server,",",region_ntp2_server,region_ntp1_server))</f>
        <v>10.255.50.26,Value Missing10.255.50.26</v>
      </c>
      <c r="E415" s="4"/>
    </row>
    <row r="416" spans="2:7" ht="20.100000000000001" customHeight="1" x14ac:dyDescent="0.2">
      <c r="B416" s="514" t="s">
        <v>834</v>
      </c>
      <c r="C416" s="515"/>
      <c r="D416" s="515"/>
      <c r="E416" s="516"/>
    </row>
    <row r="417" spans="2:5" ht="20.100000000000001" customHeight="1" x14ac:dyDescent="0.2">
      <c r="B417" s="4" t="s">
        <v>835</v>
      </c>
      <c r="C417" s="141" t="str">
        <f>CONCATENATE(this_instance,"-m01-nsx-gm01b")</f>
        <v>sfo-m01-nsx-gm01b</v>
      </c>
      <c r="D417" s="129"/>
      <c r="E417" s="4"/>
    </row>
    <row r="418" spans="2:5" ht="20.100000000000001" customHeight="1" x14ac:dyDescent="0.2">
      <c r="B418" s="4" t="s">
        <v>836</v>
      </c>
      <c r="C418" s="85" t="str">
        <f>sample_mgmt_datacenter</f>
        <v>sfo-m01-dc01</v>
      </c>
      <c r="D418" s="337" t="str">
        <f>mgmt_datacenter</f>
        <v>Site01</v>
      </c>
      <c r="E418" s="4"/>
    </row>
    <row r="419" spans="2:5" ht="20.100000000000001" customHeight="1" x14ac:dyDescent="0.2">
      <c r="B419" s="4" t="s">
        <v>837</v>
      </c>
      <c r="C419" s="85" t="str">
        <f>sample_mgmt_cl01_cluster</f>
        <v>sfo-m01-cl01</v>
      </c>
      <c r="D419" s="337" t="str">
        <f>mgmt_cl01_cluster</f>
        <v>vcf-mgmt-cluster01</v>
      </c>
      <c r="E419" s="4"/>
    </row>
    <row r="420" spans="2:5" ht="20.100000000000001" customHeight="1" x14ac:dyDescent="0.2">
      <c r="B420" s="4" t="s">
        <v>838</v>
      </c>
      <c r="C420" s="85" t="s">
        <v>214</v>
      </c>
      <c r="D420" s="337" t="str">
        <f>D403</f>
        <v>Medium</v>
      </c>
      <c r="E420" s="4"/>
    </row>
    <row r="421" spans="2:5" ht="20.100000000000001" customHeight="1" x14ac:dyDescent="0.2">
      <c r="B421" s="4" t="s">
        <v>839</v>
      </c>
      <c r="C421" s="85" t="str">
        <f>sample_mgmt_cl01_vsan_datastore</f>
        <v>sfo-m01-cl01-ds-vsan01</v>
      </c>
      <c r="D421" s="337" t="str">
        <f>mgmt_cl01_vsan_datastore</f>
        <v>LABVSANESA01</v>
      </c>
      <c r="E421" s="4"/>
    </row>
    <row r="422" spans="2:5" ht="20.100000000000001" customHeight="1" x14ac:dyDescent="0.2">
      <c r="B422" s="4" t="s">
        <v>840</v>
      </c>
      <c r="C422" s="142" t="str">
        <f>sample_mgmt_cl01_az1_mgmt_vm_pg</f>
        <v>sfo-m01-cl01-vds01-pg-vm-mgmt</v>
      </c>
      <c r="D422" s="337" t="str">
        <f>mgmt_cl01_az1_mgmt_vm_pg</f>
        <v>VLAN_250_VMs</v>
      </c>
      <c r="E422" s="4"/>
    </row>
    <row r="423" spans="2:5" ht="20.100000000000001" customHeight="1" x14ac:dyDescent="0.2">
      <c r="B423" s="4" t="s">
        <v>841</v>
      </c>
      <c r="C423" s="85" t="str">
        <f>sample_nsxt_gm_root_password</f>
        <v>VMw@re1!VMw@re1!</v>
      </c>
      <c r="D423" s="337" t="str">
        <f>nsxt_gm_root_password</f>
        <v>Value Missing</v>
      </c>
      <c r="E423" s="4"/>
    </row>
    <row r="424" spans="2:5" ht="20.100000000000001" customHeight="1" x14ac:dyDescent="0.2">
      <c r="B424" s="4" t="s">
        <v>842</v>
      </c>
      <c r="C424" s="85" t="str">
        <f>sample_nsxt_gm_audit_password</f>
        <v>VMw@re1!VMw@re1!</v>
      </c>
      <c r="D424" s="337" t="str">
        <f>nsxt_gm_admin_password</f>
        <v>Value Missing</v>
      </c>
      <c r="E424" s="4"/>
    </row>
    <row r="425" spans="2:5" ht="20.100000000000001" customHeight="1" x14ac:dyDescent="0.2">
      <c r="B425" s="4" t="s">
        <v>843</v>
      </c>
      <c r="C425" s="85" t="str">
        <f>sample_nsxt_gm_audit_password</f>
        <v>VMw@re1!VMw@re1!</v>
      </c>
      <c r="D425" s="337" t="str">
        <f>nsxt_gm_audit_password</f>
        <v>Value Missing</v>
      </c>
      <c r="E425" s="4"/>
    </row>
    <row r="426" spans="2:5" ht="20.100000000000001" customHeight="1" x14ac:dyDescent="0.2">
      <c r="B426" s="4" t="s">
        <v>844</v>
      </c>
      <c r="C426" s="85" t="str">
        <f>CONCATENATE(sample_mgmt_nsxt_global_mgrb_hostname,".",sample_child_dns_zone)</f>
        <v>sfo-m01-nsx-gm01b.sfo.rainpole.io</v>
      </c>
      <c r="D426" s="347"/>
      <c r="E426" s="4"/>
    </row>
    <row r="427" spans="2:5" ht="20.100000000000001" customHeight="1" x14ac:dyDescent="0.2">
      <c r="B427" s="4" t="s">
        <v>845</v>
      </c>
      <c r="C427" s="141" t="str">
        <f>IF(mgmt_dpg_reuse_result="Included",CONCATENATE(prefix_mgmt_az1_cidr,"10.83"),CONCATENATE(prefix_mgmt_az1_cidr,"11.83"))</f>
        <v>10.11.10.83</v>
      </c>
      <c r="D427" s="129"/>
      <c r="E427" s="4"/>
    </row>
    <row r="428" spans="2:5" ht="20.100000000000001" customHeight="1" x14ac:dyDescent="0.2">
      <c r="B428" s="4" t="s">
        <v>846</v>
      </c>
      <c r="C428" s="85" t="s">
        <v>612</v>
      </c>
      <c r="D428" s="337" t="str">
        <f>mgmt_az1_mgmt_vm_mask</f>
        <v>255.255.255.0</v>
      </c>
      <c r="E428" s="4"/>
    </row>
    <row r="429" spans="2:5" ht="20.100000000000001" customHeight="1" x14ac:dyDescent="0.2">
      <c r="B429" s="4" t="s">
        <v>847</v>
      </c>
      <c r="C429" s="85" t="str">
        <f>sample_mgmt_az1_mgmt_vm_gateway_ip</f>
        <v>10.11.10.1</v>
      </c>
      <c r="D429" s="337" t="str">
        <f>mgmt_az1_mgmt_vm_gateway_ip</f>
        <v>10.100.50.1</v>
      </c>
      <c r="E429" s="4"/>
    </row>
    <row r="430" spans="2:5" ht="20.100000000000001" customHeight="1" x14ac:dyDescent="0.2">
      <c r="B430" s="4" t="s">
        <v>848</v>
      </c>
      <c r="C430" s="85" t="str">
        <f>CONCATENATE(sample_mgmt_witness_dns1_ip,",",sample_mgmt_witness_dns2_ip)</f>
        <v>10.21.10.4,10.21.10.5</v>
      </c>
      <c r="D430" s="337" t="str">
        <f>IF(ISBLANK(input_region_dns1_ip),"Value Missing",CONCATENATE(region_dns1_ip,",",IF(ISBLANK(input_region_dns2_ip),"Value Missing",region_dns2_ip)))</f>
        <v>10.255.50.26,Value Missing</v>
      </c>
      <c r="E430" s="4"/>
    </row>
    <row r="431" spans="2:5" ht="20.100000000000001" customHeight="1" x14ac:dyDescent="0.2">
      <c r="B431" s="4" t="s">
        <v>849</v>
      </c>
      <c r="C431" s="85" t="str">
        <f>CONCATENATE(sample_child_dns_zone,",",sample_parent_dns_zone)</f>
        <v>sfo.rainpole.io,rainpole.io</v>
      </c>
      <c r="D431" s="337" t="str">
        <f>CONCATENATE(child_dns_zone,",",parent_dns_zone)</f>
        <v>Value Missing,vcf.lab.local</v>
      </c>
      <c r="E431" s="4"/>
    </row>
    <row r="432" spans="2:5" ht="20.100000000000001" customHeight="1" x14ac:dyDescent="0.2">
      <c r="B432" s="4" t="s">
        <v>850</v>
      </c>
      <c r="C432" s="85" t="str">
        <f>IF(AND((NOT(ISBLANK(sample_region_ntp2_server))),(sample_region_ntp2_server &lt;&gt; "n/a")),CONCATENATE(sample_region_ntp1_server,",",sample_region_ntp2_server),sample_region_ntp1_server)</f>
        <v>ntp0.sfo.rainpole.io,ntp1.sfo.rainpole.io</v>
      </c>
      <c r="D432" s="337" t="str">
        <f>IF(AND((NOT(ISBLANK(region_ntp2_server))),(region_ntp2_server &lt;&gt; "n/a")),CONCATENATE(region_ntp1_server,",",region_ntp2_server),region_ntp1_server)</f>
        <v>10.255.50.26,Value Missing</v>
      </c>
      <c r="E432" s="4"/>
    </row>
    <row r="433" spans="2:7" ht="20.100000000000001" customHeight="1" x14ac:dyDescent="0.2">
      <c r="B433" s="514" t="s">
        <v>851</v>
      </c>
      <c r="C433" s="515"/>
      <c r="D433" s="515"/>
      <c r="E433" s="516"/>
    </row>
    <row r="434" spans="2:7" ht="20.100000000000001" customHeight="1" x14ac:dyDescent="0.2">
      <c r="B434" s="4" t="s">
        <v>852</v>
      </c>
      <c r="C434" s="141" t="str">
        <f>CONCATENATE(this_instance,"-m01-nsx-gm01c")</f>
        <v>sfo-m01-nsx-gm01c</v>
      </c>
      <c r="D434" s="129"/>
      <c r="E434" s="4"/>
      <c r="G434" s="27"/>
    </row>
    <row r="435" spans="2:7" ht="20.100000000000001" customHeight="1" x14ac:dyDescent="0.2">
      <c r="B435" s="4" t="s">
        <v>853</v>
      </c>
      <c r="C435" s="85" t="str">
        <f>sample_mgmt_datacenter</f>
        <v>sfo-m01-dc01</v>
      </c>
      <c r="D435" s="337" t="str">
        <f>mgmt_datacenter</f>
        <v>Site01</v>
      </c>
      <c r="E435" s="4"/>
    </row>
    <row r="436" spans="2:7" ht="20.100000000000001" customHeight="1" x14ac:dyDescent="0.2">
      <c r="B436" s="4" t="s">
        <v>854</v>
      </c>
      <c r="C436" s="85" t="str">
        <f>sample_mgmt_cl01_cluster</f>
        <v>sfo-m01-cl01</v>
      </c>
      <c r="D436" s="337" t="str">
        <f>mgmt_cl01_cluster</f>
        <v>vcf-mgmt-cluster01</v>
      </c>
      <c r="E436" s="4"/>
    </row>
    <row r="437" spans="2:7" ht="20.100000000000001" customHeight="1" x14ac:dyDescent="0.2">
      <c r="B437" s="4" t="s">
        <v>855</v>
      </c>
      <c r="C437" s="85" t="s">
        <v>214</v>
      </c>
      <c r="D437" s="337" t="str">
        <f>D420</f>
        <v>Medium</v>
      </c>
      <c r="E437" s="4"/>
    </row>
    <row r="438" spans="2:7" ht="20.100000000000001" customHeight="1" x14ac:dyDescent="0.2">
      <c r="B438" s="4" t="s">
        <v>856</v>
      </c>
      <c r="C438" s="85" t="str">
        <f>sample_mgmt_cl01_vsan_datastore</f>
        <v>sfo-m01-cl01-ds-vsan01</v>
      </c>
      <c r="D438" s="337" t="str">
        <f>mgmt_cl01_vsan_datastore</f>
        <v>LABVSANESA01</v>
      </c>
      <c r="E438" s="4"/>
    </row>
    <row r="439" spans="2:7" ht="20.100000000000001" customHeight="1" x14ac:dyDescent="0.2">
      <c r="B439" s="4" t="s">
        <v>857</v>
      </c>
      <c r="C439" s="142" t="str">
        <f>sample_mgmt_cl01_az1_mgmt_vm_pg</f>
        <v>sfo-m01-cl01-vds01-pg-vm-mgmt</v>
      </c>
      <c r="D439" s="337" t="str">
        <f>mgmt_cl01_az1_mgmt_vm_pg</f>
        <v>VLAN_250_VMs</v>
      </c>
      <c r="E439" s="4"/>
    </row>
    <row r="440" spans="2:7" ht="20.100000000000001" customHeight="1" x14ac:dyDescent="0.2">
      <c r="B440" s="4" t="s">
        <v>858</v>
      </c>
      <c r="C440" s="85" t="str">
        <f>sample_nsxt_gm_root_password</f>
        <v>VMw@re1!VMw@re1!</v>
      </c>
      <c r="D440" s="337" t="str">
        <f>nsxt_gm_root_password</f>
        <v>Value Missing</v>
      </c>
      <c r="E440" s="4"/>
    </row>
    <row r="441" spans="2:7" ht="20.100000000000001" customHeight="1" x14ac:dyDescent="0.2">
      <c r="B441" s="4" t="s">
        <v>859</v>
      </c>
      <c r="C441" s="85" t="str">
        <f>sample_nsxt_gm_admin_password</f>
        <v>VMw@re1!VMw@re1!</v>
      </c>
      <c r="D441" s="337" t="str">
        <f>nsxt_gm_admin_password</f>
        <v>Value Missing</v>
      </c>
      <c r="E441" s="4"/>
    </row>
    <row r="442" spans="2:7" ht="20.100000000000001" customHeight="1" x14ac:dyDescent="0.2">
      <c r="B442" s="4" t="s">
        <v>860</v>
      </c>
      <c r="C442" s="85" t="str">
        <f>sample_nsxt_gm_audit_password</f>
        <v>VMw@re1!VMw@re1!</v>
      </c>
      <c r="D442" s="337" t="str">
        <f>nsxt_gm_audit_password</f>
        <v>Value Missing</v>
      </c>
      <c r="E442" s="4"/>
      <c r="G442" s="27"/>
    </row>
    <row r="443" spans="2:7" ht="20.100000000000001" customHeight="1" x14ac:dyDescent="0.2">
      <c r="B443" s="4" t="s">
        <v>861</v>
      </c>
      <c r="C443" s="85" t="str">
        <f>CONCATENATE(sample_mgmt_nsxt_global_mgrc_hostname,".",sample_child_dns_zone)</f>
        <v>sfo-m01-nsx-gm01c.sfo.rainpole.io</v>
      </c>
      <c r="D443" s="347"/>
      <c r="E443" s="4"/>
    </row>
    <row r="444" spans="2:7" ht="20.100000000000001" customHeight="1" x14ac:dyDescent="0.2">
      <c r="B444" s="4" t="s">
        <v>862</v>
      </c>
      <c r="C444" s="141" t="str">
        <f>IF(mgmt_dpg_reuse_result="Included",CONCATENATE(prefix_mgmt_az1_cidr,"10.84"),CONCATENATE(prefix_mgmt_az1_cidr,"11.84"))</f>
        <v>10.11.10.84</v>
      </c>
      <c r="D444" s="129"/>
      <c r="E444" s="4"/>
    </row>
    <row r="445" spans="2:7" ht="20.100000000000001" customHeight="1" x14ac:dyDescent="0.2">
      <c r="B445" s="4" t="s">
        <v>863</v>
      </c>
      <c r="C445" s="85" t="s">
        <v>612</v>
      </c>
      <c r="D445" s="337" t="str">
        <f>mgmt_az1_mgmt_vm_mask</f>
        <v>255.255.255.0</v>
      </c>
      <c r="E445" s="4"/>
    </row>
    <row r="446" spans="2:7" ht="20.100000000000001" customHeight="1" x14ac:dyDescent="0.2">
      <c r="B446" s="4" t="s">
        <v>864</v>
      </c>
      <c r="C446" s="85" t="str">
        <f>sample_mgmt_az1_mgmt_vm_gateway_ip</f>
        <v>10.11.10.1</v>
      </c>
      <c r="D446" s="337" t="str">
        <f>mgmt_az1_mgmt_vm_gateway_ip</f>
        <v>10.100.50.1</v>
      </c>
      <c r="E446" s="4"/>
    </row>
    <row r="447" spans="2:7" ht="20.100000000000001" customHeight="1" x14ac:dyDescent="0.2">
      <c r="B447" s="4" t="s">
        <v>865</v>
      </c>
      <c r="C447" s="85" t="str">
        <f>CONCATENATE(sample_mgmt_witness_dns1_ip,",",sample_mgmt_witness_dns2_ip)</f>
        <v>10.21.10.4,10.21.10.5</v>
      </c>
      <c r="D447" s="337" t="str">
        <f>IF(ISBLANK(input_region_dns1_ip),"Value Missing",CONCATENATE(region_dns1_ip,",",IF(ISBLANK(input_region_dns2_ip),"Value Missing",region_dns2_ip)))</f>
        <v>10.255.50.26,Value Missing</v>
      </c>
      <c r="E447" s="4"/>
    </row>
    <row r="448" spans="2:7" ht="20.100000000000001" customHeight="1" x14ac:dyDescent="0.2">
      <c r="B448" s="4" t="s">
        <v>866</v>
      </c>
      <c r="C448" s="85" t="str">
        <f>CONCATENATE(sample_child_dns_zone,",",sample_parent_dns_zone)</f>
        <v>sfo.rainpole.io,rainpole.io</v>
      </c>
      <c r="D448" s="337" t="str">
        <f>CONCATENATE(child_dns_zone,",",parent_dns_zone)</f>
        <v>Value Missing,vcf.lab.local</v>
      </c>
      <c r="E448" s="4"/>
      <c r="G448" s="27"/>
    </row>
    <row r="449" spans="2:7" ht="20.100000000000001" customHeight="1" x14ac:dyDescent="0.2">
      <c r="B449" s="4" t="s">
        <v>867</v>
      </c>
      <c r="C449" s="85" t="str">
        <f>IF(AND((NOT(ISBLANK(sample_region_ntp2_server))),(sample_region_ntp2_server &lt;&gt; "n/a")),CONCATENATE(sample_region_ntp1_server,",",sample_region_ntp2_server),sample_region_ntp1_server)</f>
        <v>ntp0.sfo.rainpole.io,ntp1.sfo.rainpole.io</v>
      </c>
      <c r="D449" s="337" t="str">
        <f>IF(AND((NOT(ISBLANK(region_ntp2_server))),(region_ntp2_server &lt;&gt; "n/a")),CONCATENATE(region_ntp1_server,",",region_ntp2_server),region_ntp1_server)</f>
        <v>10.255.50.26,Value Missing</v>
      </c>
      <c r="E449" s="4"/>
    </row>
    <row r="450" spans="2:7" ht="20.100000000000001" customHeight="1" x14ac:dyDescent="0.2">
      <c r="B450" s="4" t="s">
        <v>868</v>
      </c>
      <c r="C450" s="141" t="str">
        <f>CONCATENATE(this_instance,"-m01-nsx-gm01",".",sample_child_dns_zone)</f>
        <v>sfo-m01-nsx-gm01.sfo.rainpole.io</v>
      </c>
      <c r="D450" s="129"/>
      <c r="E450" s="4"/>
    </row>
    <row r="451" spans="2:7" ht="20.100000000000001" customHeight="1" x14ac:dyDescent="0.2">
      <c r="B451" s="514" t="s">
        <v>869</v>
      </c>
      <c r="C451" s="515"/>
      <c r="D451" s="515"/>
      <c r="E451" s="516"/>
      <c r="G451" s="27"/>
    </row>
    <row r="452" spans="2:7" ht="20.100000000000001" customHeight="1" x14ac:dyDescent="0.2">
      <c r="B452" s="17" t="s">
        <v>815</v>
      </c>
      <c r="C452" s="362" t="str">
        <f>sample_mgmt_vc_fqdn</f>
        <v>sfo-m01-vc01.sfo.rainpole.io</v>
      </c>
      <c r="D452" s="343" t="str">
        <f>mgmt_vc_fqdn</f>
        <v>labvcvcf01v.vcf.lab.local</v>
      </c>
      <c r="E452" s="4"/>
    </row>
    <row r="453" spans="2:7" ht="20.100000000000001" customHeight="1" x14ac:dyDescent="0.2">
      <c r="B453" s="17" t="s">
        <v>870</v>
      </c>
      <c r="C453" s="85" t="s">
        <v>871</v>
      </c>
      <c r="D453" s="347"/>
      <c r="E453" s="66"/>
    </row>
    <row r="454" spans="2:7" ht="20.100000000000001" customHeight="1" x14ac:dyDescent="0.2">
      <c r="B454" s="17" t="s">
        <v>872</v>
      </c>
      <c r="C454" s="85" t="s">
        <v>873</v>
      </c>
      <c r="D454" s="347"/>
      <c r="E454" s="66"/>
    </row>
    <row r="455" spans="2:7" ht="20.100000000000001" customHeight="1" x14ac:dyDescent="0.2">
      <c r="B455" s="17" t="s">
        <v>874</v>
      </c>
      <c r="C455" s="362" t="str">
        <f>sample_mgmt_nsxt_global_mgrb_hostname</f>
        <v>sfo-m01-nsx-gm01b</v>
      </c>
      <c r="D455" s="343" t="str">
        <f>mgmt_nsxt_global_mgrb_fqdn</f>
        <v>Value Missing</v>
      </c>
      <c r="E455" s="66"/>
    </row>
    <row r="456" spans="2:7" ht="20.100000000000001" customHeight="1" x14ac:dyDescent="0.2">
      <c r="B456" s="17" t="s">
        <v>875</v>
      </c>
      <c r="C456" s="362" t="str">
        <f>sample_mgmt_nsxt_global_mgra_ip</f>
        <v>10.11.10.82</v>
      </c>
      <c r="D456" s="343" t="str">
        <f>mgmt_nsxt_global_mgra_ip</f>
        <v>Value Missing</v>
      </c>
      <c r="E456" s="66"/>
    </row>
    <row r="457" spans="2:7" ht="20.100000000000001" customHeight="1" x14ac:dyDescent="0.2">
      <c r="B457" s="17" t="s">
        <v>876</v>
      </c>
      <c r="C457" s="362" t="str">
        <f>sample_mgmt_nsxt_global_mgr_cluster_id</f>
        <v>ca3bd7dc-aa06-4f2d-a9e1-0c4999354c9b</v>
      </c>
      <c r="D457" s="343" t="str">
        <f>mgmt_nsxt_global_mgr_cluster_id</f>
        <v>Value Missing</v>
      </c>
      <c r="E457" s="66"/>
      <c r="G457" s="27"/>
    </row>
    <row r="458" spans="2:7" ht="20.100000000000001" customHeight="1" x14ac:dyDescent="0.2">
      <c r="B458" s="17" t="s">
        <v>877</v>
      </c>
      <c r="C458" s="362" t="s">
        <v>878</v>
      </c>
      <c r="D458" s="94"/>
      <c r="E458" s="66"/>
    </row>
    <row r="459" spans="2:7" ht="20.100000000000001" customHeight="1" x14ac:dyDescent="0.2">
      <c r="B459" s="17" t="s">
        <v>879</v>
      </c>
      <c r="C459" s="362" t="str">
        <f>sample_nsxt_gm_admin_password</f>
        <v>VMw@re1!VMw@re1!</v>
      </c>
      <c r="D459" s="343" t="str">
        <f>nsxt_gm_admin_password</f>
        <v>Value Missing</v>
      </c>
      <c r="E459" s="66"/>
    </row>
    <row r="460" spans="2:7" ht="20.100000000000001" customHeight="1" x14ac:dyDescent="0.2">
      <c r="B460" s="17" t="s">
        <v>880</v>
      </c>
      <c r="C460" s="362" t="str">
        <f>sample_mgmt_nsxt_global_mgr_vmca_signed_thumbprint</f>
        <v>c7a6264cd8f74033e851944a205110afdeb046386af42ce47240939c417acb93</v>
      </c>
      <c r="D460" s="343" t="str">
        <f>mgmt_nsxt_global_mgr_vmca_signed_thumbprint</f>
        <v>Value Missing</v>
      </c>
      <c r="E460" s="66"/>
    </row>
    <row r="461" spans="2:7" ht="20.100000000000001" customHeight="1" x14ac:dyDescent="0.2">
      <c r="B461" s="17" t="s">
        <v>881</v>
      </c>
      <c r="C461" s="362" t="str">
        <f>sample_mgmt_nsxt_global_mgrc_hostname</f>
        <v>sfo-m01-nsx-gm01c</v>
      </c>
      <c r="D461" s="343" t="str">
        <f>mgmt_nsxt_global_mgrc_fqdn</f>
        <v>Value Missing</v>
      </c>
      <c r="E461" s="66"/>
    </row>
    <row r="462" spans="2:7" ht="20.100000000000001" customHeight="1" x14ac:dyDescent="0.2">
      <c r="B462" s="17" t="s">
        <v>882</v>
      </c>
      <c r="C462" s="362" t="str">
        <f>sample_mgmt_nsxt_global_mgra_ip</f>
        <v>10.11.10.82</v>
      </c>
      <c r="D462" s="343" t="str">
        <f>mgmt_nsxt_global_mgra_ip</f>
        <v>Value Missing</v>
      </c>
      <c r="E462" s="66"/>
    </row>
    <row r="463" spans="2:7" ht="20.100000000000001" customHeight="1" x14ac:dyDescent="0.2">
      <c r="B463" s="17" t="s">
        <v>883</v>
      </c>
      <c r="C463" s="362" t="str">
        <f>sample_mgmt_nsxt_global_mgr_cluster_id</f>
        <v>ca3bd7dc-aa06-4f2d-a9e1-0c4999354c9b</v>
      </c>
      <c r="D463" s="343" t="str">
        <f>mgmt_nsxt_global_mgr_cluster_id</f>
        <v>Value Missing</v>
      </c>
      <c r="E463" s="66"/>
    </row>
    <row r="464" spans="2:7" ht="20.100000000000001" customHeight="1" x14ac:dyDescent="0.2">
      <c r="B464" s="17" t="s">
        <v>884</v>
      </c>
      <c r="C464" s="362" t="s">
        <v>878</v>
      </c>
      <c r="D464" s="94"/>
      <c r="E464" s="66"/>
      <c r="G464" s="27"/>
    </row>
    <row r="465" spans="2:7" ht="20.100000000000001" customHeight="1" x14ac:dyDescent="0.2">
      <c r="B465" s="17" t="s">
        <v>885</v>
      </c>
      <c r="C465" s="362" t="str">
        <f>sample_nsxt_gm_admin_password</f>
        <v>VMw@re1!VMw@re1!</v>
      </c>
      <c r="D465" s="343" t="str">
        <f>nsxt_gm_admin_password</f>
        <v>Value Missing</v>
      </c>
      <c r="E465" s="66"/>
    </row>
    <row r="466" spans="2:7" ht="20.100000000000001" customHeight="1" x14ac:dyDescent="0.2">
      <c r="B466" s="17" t="s">
        <v>886</v>
      </c>
      <c r="C466" s="362" t="str">
        <f>sample_mgmt_nsxt_global_mgr_vmca_signed_thumbprint</f>
        <v>c7a6264cd8f74033e851944a205110afdeb046386af42ce47240939c417acb93</v>
      </c>
      <c r="D466" s="343" t="str">
        <f>mgmt_nsxt_global_mgr_vmca_signed_thumbprint</f>
        <v>Value Missing</v>
      </c>
      <c r="E466" s="66"/>
    </row>
    <row r="467" spans="2:7" ht="20.100000000000001" customHeight="1" x14ac:dyDescent="0.2">
      <c r="B467" s="514" t="s">
        <v>887</v>
      </c>
      <c r="C467" s="515"/>
      <c r="D467" s="515"/>
      <c r="E467" s="516"/>
    </row>
    <row r="468" spans="2:7" ht="20.100000000000001" customHeight="1" x14ac:dyDescent="0.2">
      <c r="B468" s="4" t="s">
        <v>815</v>
      </c>
      <c r="C468" s="362" t="str">
        <f>sample_mgmt_vc_fqdn</f>
        <v>sfo-m01-vc01.sfo.rainpole.io</v>
      </c>
      <c r="D468" s="337" t="str">
        <f>mgmt_vc_fqdn</f>
        <v>labvcvcf01v.vcf.lab.local</v>
      </c>
      <c r="E468" s="4"/>
    </row>
    <row r="469" spans="2:7" ht="20.100000000000001" customHeight="1" x14ac:dyDescent="0.2">
      <c r="B469" s="4" t="s">
        <v>259</v>
      </c>
      <c r="C469" s="362" t="str">
        <f>CONCATENATE(sample_mgmt_sddc_domain,"-anti-affinity-rule-nsx-global-managers")</f>
        <v>sfo-m01-anti-affinity-rule-nsx-global-managers</v>
      </c>
      <c r="D469" s="347"/>
      <c r="E469" s="4"/>
    </row>
    <row r="470" spans="2:7" ht="20.100000000000001" customHeight="1" x14ac:dyDescent="0.2">
      <c r="B470" s="4" t="s">
        <v>888</v>
      </c>
      <c r="C470" s="362" t="str">
        <f>sample_mgmt_nsxt_global_mgra_hostname</f>
        <v>sfo-m01-nsx-gm01a</v>
      </c>
      <c r="D470" s="337" t="str">
        <f>mgmt_nsxt_global_mgra_hostname</f>
        <v>Value Missing</v>
      </c>
      <c r="E470" s="4"/>
    </row>
    <row r="471" spans="2:7" ht="20.100000000000001" customHeight="1" x14ac:dyDescent="0.2">
      <c r="B471" s="4" t="s">
        <v>889</v>
      </c>
      <c r="C471" s="362" t="str">
        <f>sample_mgmt_nsxt_global_mgrb_hostname</f>
        <v>sfo-m01-nsx-gm01b</v>
      </c>
      <c r="D471" s="337" t="str">
        <f>mgmt_nsxt_global_mgrb_hostname</f>
        <v>Value Missing</v>
      </c>
      <c r="E471" s="4"/>
      <c r="G471" s="27"/>
    </row>
    <row r="472" spans="2:7" ht="20.100000000000001" customHeight="1" x14ac:dyDescent="0.2">
      <c r="B472" s="4" t="s">
        <v>890</v>
      </c>
      <c r="C472" s="362" t="str">
        <f>sample_mgmt_nsxt_global_mgrc_hostname</f>
        <v>sfo-m01-nsx-gm01c</v>
      </c>
      <c r="D472" s="337" t="str">
        <f>mgmt_nsxt_global_mgrc_hostname</f>
        <v>Value Missing</v>
      </c>
      <c r="E472" s="4"/>
    </row>
    <row r="473" spans="2:7" ht="20.100000000000001" customHeight="1" x14ac:dyDescent="0.2">
      <c r="B473" s="514" t="s">
        <v>891</v>
      </c>
      <c r="C473" s="515"/>
      <c r="D473" s="515"/>
      <c r="E473" s="516"/>
    </row>
    <row r="474" spans="2:7" ht="20.100000000000001" customHeight="1" x14ac:dyDescent="0.2">
      <c r="B474" s="4" t="s">
        <v>892</v>
      </c>
      <c r="C474" s="362" t="str">
        <f>sample_mgmt_nsxt_global_mgra_fqdn</f>
        <v>sfo-m01-nsx-gm01a.sfo.rainpole.io</v>
      </c>
      <c r="D474" s="343" t="str">
        <f>mgmt_nsxt_global_mgra_fqdn</f>
        <v>Value Missing</v>
      </c>
      <c r="E474" s="4"/>
      <c r="G474" s="27"/>
    </row>
    <row r="475" spans="2:7" ht="20.100000000000001" customHeight="1" x14ac:dyDescent="0.2">
      <c r="B475" s="4" t="s">
        <v>893</v>
      </c>
      <c r="C475" s="89" t="str">
        <f>IF(mgmt_dpg_reuse_result="Included",CONCATENATE(prefix_mgmt_az1_cidr,"10.81"),CONCATENATE(prefix_mgmt_az1_cidr,"11.81"))</f>
        <v>10.11.10.81</v>
      </c>
      <c r="D475" s="129"/>
      <c r="E475" s="4"/>
    </row>
    <row r="476" spans="2:7" ht="20.100000000000001" customHeight="1" x14ac:dyDescent="0.2">
      <c r="B476" s="4" t="s">
        <v>894</v>
      </c>
      <c r="C476" s="362" t="str">
        <f>sample_mgmt_nsxt_gm_vip_fqdn</f>
        <v>sfo-m01-nsx-gm01.sfo.rainpole.io</v>
      </c>
      <c r="D476" s="343" t="str">
        <f>mgmt_nsxt_gm_vip_fqdn</f>
        <v>Value Missing</v>
      </c>
      <c r="E476" s="66"/>
    </row>
    <row r="477" spans="2:7" ht="20.100000000000001" customHeight="1" x14ac:dyDescent="0.2">
      <c r="B477" s="514" t="s">
        <v>895</v>
      </c>
      <c r="C477" s="515"/>
      <c r="D477" s="515"/>
      <c r="E477" s="516"/>
    </row>
    <row r="478" spans="2:7" ht="20.100000000000001" customHeight="1" x14ac:dyDescent="0.2">
      <c r="B478" s="4" t="s">
        <v>894</v>
      </c>
      <c r="C478" s="362" t="str">
        <f>sample_mgmt_nsxt_gm_vip_fqdn</f>
        <v>sfo-m01-nsx-gm01.sfo.rainpole.io</v>
      </c>
      <c r="D478" s="343" t="str">
        <f>mgmt_nsxt_gm_vip_fqdn</f>
        <v>Value Missing</v>
      </c>
      <c r="E478" s="66"/>
    </row>
    <row r="479" spans="2:7" ht="20.100000000000001" customHeight="1" x14ac:dyDescent="0.2">
      <c r="B479" s="514" t="s">
        <v>896</v>
      </c>
      <c r="C479" s="515"/>
      <c r="D479" s="515"/>
      <c r="E479" s="516"/>
    </row>
    <row r="480" spans="2:7" ht="20.100000000000001" customHeight="1" x14ac:dyDescent="0.2">
      <c r="B480" s="4" t="s">
        <v>894</v>
      </c>
      <c r="C480" s="362" t="str">
        <f>sample_mgmt_nsxt_gm_vip_fqdn</f>
        <v>sfo-m01-nsx-gm01.sfo.rainpole.io</v>
      </c>
      <c r="D480" s="343" t="str">
        <f>mgmt_nsxt_gm_vip_fqdn</f>
        <v>Value Missing</v>
      </c>
      <c r="E480" s="66"/>
    </row>
    <row r="481" spans="2:7" ht="20.100000000000001" customHeight="1" x14ac:dyDescent="0.2">
      <c r="B481" s="4" t="s">
        <v>897</v>
      </c>
      <c r="C481" s="362" t="s">
        <v>898</v>
      </c>
      <c r="D481" s="94"/>
      <c r="E481" s="66"/>
      <c r="G481" s="27"/>
    </row>
    <row r="482" spans="2:7" ht="20.100000000000001" customHeight="1" x14ac:dyDescent="0.2">
      <c r="B482" s="4" t="s">
        <v>892</v>
      </c>
      <c r="C482" s="362" t="str">
        <f>sample_mgmt_nsxt_global_mgra_fqdn</f>
        <v>sfo-m01-nsx-gm01a.sfo.rainpole.io</v>
      </c>
      <c r="D482" s="343" t="str">
        <f>mgmt_nsxt_global_mgra_fqdn</f>
        <v>Value Missing</v>
      </c>
      <c r="E482" s="4"/>
    </row>
    <row r="483" spans="2:7" ht="20.100000000000001" customHeight="1" x14ac:dyDescent="0.2">
      <c r="B483" s="4" t="s">
        <v>899</v>
      </c>
      <c r="C483" s="362" t="str">
        <f>sample_mgmt_nsxt_global_mgr_certificate_id</f>
        <v>a900065b-aeb5-457e-aca6-4612b17d06d9</v>
      </c>
      <c r="D483" s="343" t="str">
        <f>mgmt_nsxt_global_mgr_certificate_id</f>
        <v>Value Missing</v>
      </c>
      <c r="E483" s="66"/>
    </row>
    <row r="484" spans="2:7" ht="20.100000000000001" customHeight="1" x14ac:dyDescent="0.2">
      <c r="B484" s="514" t="s">
        <v>900</v>
      </c>
      <c r="C484" s="515"/>
      <c r="D484" s="515"/>
      <c r="E484" s="516"/>
    </row>
    <row r="485" spans="2:7" ht="20.100000000000001" customHeight="1" x14ac:dyDescent="0.2">
      <c r="B485" s="4" t="s">
        <v>894</v>
      </c>
      <c r="C485" s="362" t="str">
        <f>sample_mgmt_nsxt_gm_vip_fqdn</f>
        <v>sfo-m01-nsx-gm01.sfo.rainpole.io</v>
      </c>
      <c r="D485" s="343" t="str">
        <f>mgmt_nsxt_gm_vip_fqdn</f>
        <v>Value Missing</v>
      </c>
      <c r="E485" s="66"/>
    </row>
    <row r="486" spans="2:7" ht="20.100000000000001" customHeight="1" x14ac:dyDescent="0.2">
      <c r="B486" s="4" t="s">
        <v>901</v>
      </c>
      <c r="C486" s="362" t="str">
        <f>sample_mgmt_nsxt_global_mgrb_hostname</f>
        <v>sfo-m01-nsx-gm01b</v>
      </c>
      <c r="D486" s="343" t="str">
        <f>mgmt_nsxt_global_mgrb_fqdn</f>
        <v>Value Missing</v>
      </c>
      <c r="E486" s="4"/>
    </row>
    <row r="487" spans="2:7" ht="20.100000000000001" customHeight="1" x14ac:dyDescent="0.2">
      <c r="B487" s="4" t="s">
        <v>902</v>
      </c>
      <c r="C487" s="362" t="str">
        <f>sample_mgmt_nsxt_global_mgrc_hostname</f>
        <v>sfo-m01-nsx-gm01c</v>
      </c>
      <c r="D487" s="343" t="str">
        <f>mgmt_nsxt_global_mgrc_fqdn</f>
        <v>Value Missing</v>
      </c>
      <c r="E487" s="4"/>
    </row>
    <row r="488" spans="2:7" ht="20.100000000000001" customHeight="1" x14ac:dyDescent="0.2">
      <c r="B488" s="4" t="s">
        <v>899</v>
      </c>
      <c r="C488" s="362" t="str">
        <f>sample_mgmt_nsxt_global_mgr_certificate_id</f>
        <v>a900065b-aeb5-457e-aca6-4612b17d06d9</v>
      </c>
      <c r="D488" s="343" t="str">
        <f>mgmt_nsxt_global_mgr_certificate_id</f>
        <v>Value Missing</v>
      </c>
      <c r="E488" s="66"/>
    </row>
    <row r="489" spans="2:7" ht="20.100000000000001" customHeight="1" x14ac:dyDescent="0.2">
      <c r="B489" s="514" t="s">
        <v>903</v>
      </c>
      <c r="C489" s="515"/>
      <c r="D489" s="515"/>
      <c r="E489" s="516"/>
    </row>
    <row r="490" spans="2:7" ht="20.100000000000001" customHeight="1" x14ac:dyDescent="0.2">
      <c r="B490" s="4" t="s">
        <v>904</v>
      </c>
      <c r="C490" s="362" t="str">
        <f>sample_mgmt_nsxt_vip_fqdn</f>
        <v>sfo-m01-nsx01.sfo.rainpole.io</v>
      </c>
      <c r="D490" s="343" t="str">
        <f>mgmt_nsxt_vip_fqdn</f>
        <v>nsx.vcf.lab.local</v>
      </c>
      <c r="E490" s="4"/>
    </row>
    <row r="491" spans="2:7" ht="20.100000000000001" customHeight="1" x14ac:dyDescent="0.2">
      <c r="B491" s="4" t="s">
        <v>259</v>
      </c>
      <c r="C491" s="80" t="str">
        <f>CONCATENATE(this_instance,"-m01-r01-ip-pool-rtep")</f>
        <v>sfo-m01-r01-ip-pool-rtep</v>
      </c>
      <c r="D491" s="94"/>
      <c r="E491" s="4"/>
    </row>
    <row r="492" spans="2:7" ht="20.100000000000001" customHeight="1" x14ac:dyDescent="0.2">
      <c r="B492" s="4" t="s">
        <v>905</v>
      </c>
      <c r="C492" s="80" t="str">
        <f>CONCATENATE(prefix_mgmt_az1_cidr,"20.101")</f>
        <v>10.11.20.101</v>
      </c>
      <c r="D492" s="347"/>
      <c r="E492" s="4"/>
      <c r="G492" s="27"/>
    </row>
    <row r="493" spans="2:7" ht="20.100000000000001" customHeight="1" x14ac:dyDescent="0.2">
      <c r="B493" s="4" t="s">
        <v>906</v>
      </c>
      <c r="C493" s="80" t="str">
        <f>IF(mgmt_stretched_cluster_result="Excluded",CONCATENATE(prefix_mgmt_az1_cidr,"20.116"),CONCATENATE(prefix_mgmt_az1_cidr,"20.132"))</f>
        <v>10.11.20.116</v>
      </c>
      <c r="D493" s="347"/>
      <c r="E493" s="4"/>
      <c r="G493" s="27"/>
    </row>
    <row r="494" spans="2:7" ht="20.100000000000001" customHeight="1" x14ac:dyDescent="0.2">
      <c r="B494" s="4" t="s">
        <v>459</v>
      </c>
      <c r="C494" s="80" t="str">
        <f>CONCATENATE(prefix_mgmt_az1_cidr,"20.0/24")</f>
        <v>10.11.20.0/24</v>
      </c>
      <c r="D494" s="347"/>
      <c r="E494" s="4"/>
    </row>
    <row r="495" spans="2:7" ht="20.100000000000001" customHeight="1" x14ac:dyDescent="0.2">
      <c r="B495" s="4" t="s">
        <v>907</v>
      </c>
      <c r="C495" s="80" t="str">
        <f>CONCATENATE(prefix_mgmt_az1_cidr,"20.1")</f>
        <v>10.11.20.1</v>
      </c>
      <c r="D495" s="347"/>
      <c r="E495" s="4"/>
    </row>
    <row r="496" spans="2:7" ht="20.100000000000001" customHeight="1" x14ac:dyDescent="0.2">
      <c r="B496" s="514" t="s">
        <v>908</v>
      </c>
      <c r="C496" s="515"/>
      <c r="D496" s="515"/>
      <c r="E496" s="516"/>
    </row>
    <row r="497" spans="2:7" ht="20.100000000000001" customHeight="1" x14ac:dyDescent="0.2">
      <c r="B497" s="4" t="s">
        <v>909</v>
      </c>
      <c r="C497" s="362" t="str">
        <f>sample_mgmt_nsxt_gm_vip_fqdn</f>
        <v>sfo-m01-nsx-gm01.sfo.rainpole.io</v>
      </c>
      <c r="D497" s="343" t="str">
        <f>mgmt_nsxt_gm_vip_fqdn</f>
        <v>Value Missing</v>
      </c>
      <c r="E497" s="66"/>
    </row>
    <row r="498" spans="2:7" ht="20.100000000000001" customHeight="1" x14ac:dyDescent="0.2">
      <c r="B498" s="4" t="s">
        <v>910</v>
      </c>
      <c r="C498" s="85" t="str">
        <f>CONCATENATE(this_instance,"-m01-nsx-gm01")</f>
        <v>sfo-m01-nsx-gm01</v>
      </c>
      <c r="D498" s="347"/>
      <c r="E498" s="66"/>
      <c r="G498" s="27"/>
    </row>
    <row r="499" spans="2:7" ht="20.100000000000001" customHeight="1" x14ac:dyDescent="0.2">
      <c r="B499" s="514" t="s">
        <v>911</v>
      </c>
      <c r="C499" s="515"/>
      <c r="D499" s="515"/>
      <c r="E499" s="516"/>
    </row>
    <row r="500" spans="2:7" ht="20.100000000000001" customHeight="1" x14ac:dyDescent="0.2">
      <c r="B500" s="4" t="s">
        <v>912</v>
      </c>
      <c r="C500" s="362" t="str">
        <f>sample_mgmt_nsxt_gm_vip_fqdn</f>
        <v>sfo-m01-nsx-gm01.sfo.rainpole.io</v>
      </c>
      <c r="D500" s="343" t="str">
        <f>mgmt_nsxt_gm_vip_fqdn</f>
        <v>Value Missing</v>
      </c>
      <c r="E500" s="66"/>
    </row>
    <row r="501" spans="2:7" ht="20.100000000000001" customHeight="1" x14ac:dyDescent="0.2">
      <c r="B501" s="4" t="s">
        <v>913</v>
      </c>
      <c r="C501" s="362" t="s">
        <v>914</v>
      </c>
      <c r="D501" s="347"/>
      <c r="E501" s="66"/>
    </row>
    <row r="502" spans="2:7" ht="20.100000000000001" customHeight="1" x14ac:dyDescent="0.2">
      <c r="B502" s="4" t="s">
        <v>915</v>
      </c>
      <c r="C502" s="362" t="str">
        <f t="array" ref="C502">IF(mgmt_domain_chosen="First Instance",sample_mgmt_nsxt_gm_vip_fqdn,sample_mgmt_existing_active_nsx_gm)</f>
        <v>sfo-m01-nsx-gm01.sfo.rainpole.io</v>
      </c>
      <c r="D502" s="343" t="str">
        <f t="array" ref="D502">IF(mgmt_domain_chosen="First Instance",mgmt_nsxt_gm_vip_fqdn,mgmt_existing_active_nsx_gm)</f>
        <v>Value Missing</v>
      </c>
      <c r="E502" s="66"/>
      <c r="G502" s="27"/>
    </row>
    <row r="503" spans="2:7" ht="20.100000000000001" customHeight="1" x14ac:dyDescent="0.2">
      <c r="B503" s="4" t="s">
        <v>916</v>
      </c>
      <c r="C503" s="362" t="str">
        <f>sample_mgmt_nsxt_federation_global_manager_name</f>
        <v>sfo-m01-nsx-gm01</v>
      </c>
      <c r="D503" s="343" t="str">
        <f>mgmt_nsxt_federation_global_manager_name</f>
        <v>Value Missing</v>
      </c>
      <c r="E503" s="66"/>
    </row>
    <row r="504" spans="2:7" ht="20.100000000000001" customHeight="1" x14ac:dyDescent="0.2">
      <c r="B504" s="4" t="s">
        <v>917</v>
      </c>
      <c r="C504" s="362" t="str">
        <f>sample_mgmt_nsxt_gm_vip_fqdn</f>
        <v>sfo-m01-nsx-gm01.sfo.rainpole.io</v>
      </c>
      <c r="D504" s="343" t="str">
        <f>mgmt_nsxt_gm_vip_fqdn</f>
        <v>Value Missing</v>
      </c>
      <c r="E504" s="66"/>
    </row>
    <row r="505" spans="2:7" ht="20.100000000000001" customHeight="1" x14ac:dyDescent="0.2">
      <c r="B505" s="4" t="s">
        <v>294</v>
      </c>
      <c r="C505" s="362" t="s">
        <v>878</v>
      </c>
      <c r="D505" s="343"/>
      <c r="E505" s="66"/>
    </row>
    <row r="506" spans="2:7" ht="20.100000000000001" customHeight="1" x14ac:dyDescent="0.2">
      <c r="B506" s="4" t="s">
        <v>296</v>
      </c>
      <c r="C506" s="362" t="str">
        <f>sample_nsxt_gm_admin_password</f>
        <v>VMw@re1!VMw@re1!</v>
      </c>
      <c r="D506" s="343" t="str">
        <f>nsxt_gm_admin_password</f>
        <v>Value Missing</v>
      </c>
      <c r="E506" s="66"/>
    </row>
    <row r="507" spans="2:7" ht="20.100000000000001" customHeight="1" x14ac:dyDescent="0.2">
      <c r="B507" s="4" t="s">
        <v>913</v>
      </c>
      <c r="C507" s="362" t="str">
        <f>sample_mgmt_nsxt_gm_fingerprint</f>
        <v>0d472de0d92da89f2b469d4d10ab23505ad4edb90cd7e68f84497008f6c89ff1</v>
      </c>
      <c r="D507" s="343" t="str">
        <f>mgmt_nsxt_gm_fingerprint</f>
        <v>Value Missing</v>
      </c>
      <c r="E507" s="66"/>
    </row>
    <row r="508" spans="2:7" ht="20.100000000000001" customHeight="1" x14ac:dyDescent="0.2">
      <c r="B508" s="514" t="s">
        <v>918</v>
      </c>
      <c r="C508" s="515"/>
      <c r="D508" s="515"/>
      <c r="E508" s="516"/>
    </row>
    <row r="509" spans="2:7" ht="20.100000000000001" customHeight="1" x14ac:dyDescent="0.2">
      <c r="B509" s="4" t="s">
        <v>904</v>
      </c>
      <c r="C509" s="362" t="str">
        <f>sample_mgmt_nsxt_vip_fqdn</f>
        <v>sfo-m01-nsx01.sfo.rainpole.io</v>
      </c>
      <c r="D509" s="343" t="str">
        <f>mgmt_nsxt_vip_fqdn</f>
        <v>nsx.vcf.lab.local</v>
      </c>
      <c r="E509" s="4"/>
    </row>
    <row r="510" spans="2:7" ht="20.100000000000001" customHeight="1" x14ac:dyDescent="0.2">
      <c r="B510" s="4" t="s">
        <v>913</v>
      </c>
      <c r="C510" s="362" t="s">
        <v>919</v>
      </c>
      <c r="D510" s="347"/>
      <c r="E510" s="66"/>
    </row>
    <row r="511" spans="2:7" ht="20.100000000000001" customHeight="1" x14ac:dyDescent="0.2">
      <c r="B511" s="4" t="s">
        <v>915</v>
      </c>
      <c r="C511" s="362" t="str">
        <f t="array" ref="C511">IF(mgmt_domain_chosen="First Instance",sample_mgmt_nsxt_gm_vip_fqdn,sample_mgmt_existing_active_nsx_gm)</f>
        <v>sfo-m01-nsx-gm01.sfo.rainpole.io</v>
      </c>
      <c r="D511" s="343" t="str">
        <f t="array" ref="D511">IF(mgmt_domain_chosen="First Instance",mgmt_nsxt_gm_vip_fqdn,mgmt_existing_active_nsx_gm)</f>
        <v>Value Missing</v>
      </c>
      <c r="E511" s="66"/>
    </row>
    <row r="512" spans="2:7" ht="20.100000000000001" customHeight="1" x14ac:dyDescent="0.2">
      <c r="B512" s="4" t="s">
        <v>920</v>
      </c>
      <c r="C512" s="362" t="str">
        <f>CONCATENATE(this_instance,"-m01")</f>
        <v>sfo-m01</v>
      </c>
      <c r="D512" s="347"/>
      <c r="E512" s="66"/>
    </row>
    <row r="513" spans="2:5" ht="20.100000000000001" customHeight="1" x14ac:dyDescent="0.2">
      <c r="B513" s="4" t="s">
        <v>917</v>
      </c>
      <c r="C513" s="362" t="str">
        <f>sample_mgmt_nsxt_vip_fqdn</f>
        <v>sfo-m01-nsx01.sfo.rainpole.io</v>
      </c>
      <c r="D513" s="343" t="str">
        <f>mgmt_nsxt_vip_fqdn</f>
        <v>nsx.vcf.lab.local</v>
      </c>
      <c r="E513" s="66"/>
    </row>
    <row r="514" spans="2:5" ht="20.100000000000001" customHeight="1" x14ac:dyDescent="0.2">
      <c r="B514" s="4" t="s">
        <v>294</v>
      </c>
      <c r="C514" s="362" t="s">
        <v>878</v>
      </c>
      <c r="D514" s="343"/>
      <c r="E514" s="66"/>
    </row>
    <row r="515" spans="2:5" ht="20.100000000000001" customHeight="1" x14ac:dyDescent="0.2">
      <c r="B515" s="4" t="s">
        <v>296</v>
      </c>
      <c r="C515" s="362" t="str">
        <f>sample_nsxt_lm_admin_password</f>
        <v>VMw@re1!VMw@re1!</v>
      </c>
      <c r="D515" s="343" t="str">
        <f>nsxt_lm_admin_password</f>
        <v>VMware123!VMware123!</v>
      </c>
      <c r="E515" s="66"/>
    </row>
    <row r="516" spans="2:5" ht="20.100000000000001" customHeight="1" x14ac:dyDescent="0.2">
      <c r="B516" s="4" t="s">
        <v>913</v>
      </c>
      <c r="C516" s="362" t="str">
        <f>sample_mgmt_nsxt_lm_fingerprint</f>
        <v>676edbc9b8c639d9311aaea32a357c7c81226856ad4f8c73a68dd760652d6b5d</v>
      </c>
      <c r="D516" s="343" t="str">
        <f>mgmt_nsxt_lm_fingerprint</f>
        <v>Value Missing</v>
      </c>
      <c r="E516" s="66"/>
    </row>
    <row r="517" spans="2:5" ht="20.100000000000001" customHeight="1" x14ac:dyDescent="0.2">
      <c r="B517" s="4" t="s">
        <v>921</v>
      </c>
      <c r="C517" s="362" t="s">
        <v>922</v>
      </c>
      <c r="D517" s="343" t="s">
        <v>922</v>
      </c>
      <c r="E517" s="143"/>
    </row>
    <row r="518" spans="2:5" ht="20.100000000000001" customHeight="1" x14ac:dyDescent="0.2">
      <c r="B518" s="4" t="s">
        <v>923</v>
      </c>
      <c r="C518" s="362" t="str">
        <f>CONCATENATE(prefix_mgmt_az1_vlan,"20")</f>
        <v>1120</v>
      </c>
      <c r="D518" s="347"/>
      <c r="E518" s="66"/>
    </row>
    <row r="519" spans="2:5" ht="20.100000000000001" customHeight="1" x14ac:dyDescent="0.2">
      <c r="B519" s="4" t="s">
        <v>924</v>
      </c>
      <c r="C519" s="362" t="str">
        <f>sample_mgmt_az1_rtep_ip_pool_name</f>
        <v>sfo-m01-r01-ip-pool-rtep</v>
      </c>
      <c r="D519" s="343" t="str">
        <f>mgmt_az1_rtep_ip_pool_name</f>
        <v>Value Missing</v>
      </c>
      <c r="E519" s="66"/>
    </row>
    <row r="520" spans="2:5" ht="20.100000000000001" customHeight="1" x14ac:dyDescent="0.2">
      <c r="B520" s="514" t="s">
        <v>925</v>
      </c>
      <c r="C520" s="515"/>
      <c r="D520" s="515"/>
      <c r="E520" s="516"/>
    </row>
    <row r="521" spans="2:5" ht="20.100000000000001" customHeight="1" x14ac:dyDescent="0.2">
      <c r="B521" s="4" t="s">
        <v>894</v>
      </c>
      <c r="C521" s="362" t="str">
        <f>sample_mgmt_nsxt_gm_vip_fqdn</f>
        <v>sfo-m01-nsx-gm01.sfo.rainpole.io</v>
      </c>
      <c r="D521" s="343" t="str">
        <f>mgmt_nsxt_gm_vip_fqdn</f>
        <v>Value Missing</v>
      </c>
      <c r="E521" s="66"/>
    </row>
    <row r="522" spans="2:5" ht="20.100000000000001" customHeight="1" x14ac:dyDescent="0.2">
      <c r="B522" s="4" t="s">
        <v>926</v>
      </c>
      <c r="C522" s="85" t="str">
        <f>CONCATENATE(prefix_portable_component,"-m01-ec01-t1-gw01")</f>
        <v>flt-m01-ec01-t1-gw01</v>
      </c>
      <c r="D522" s="347"/>
      <c r="E522" s="66"/>
    </row>
    <row r="523" spans="2:5" ht="20.100000000000001" customHeight="1" x14ac:dyDescent="0.2">
      <c r="B523" s="4" t="s">
        <v>927</v>
      </c>
      <c r="C523" s="78" t="str">
        <f>CONCATENATE(this_instance,"-m01-ec01-t0-gw01")</f>
        <v>sfo-m01-ec01-t0-gw01</v>
      </c>
      <c r="D523" s="343"/>
      <c r="E523" s="66"/>
    </row>
    <row r="524" spans="2:5" ht="20.100000000000001" customHeight="1" x14ac:dyDescent="0.2">
      <c r="B524" s="300" t="s">
        <v>928</v>
      </c>
      <c r="C524" s="362" t="str">
        <f>sample_mgmt_nsxt_federation_location_name</f>
        <v>sfo-m01</v>
      </c>
      <c r="D524" s="337" t="str">
        <f>mgmt_nsxt_federation_location_name</f>
        <v>Value Missing</v>
      </c>
      <c r="E524" s="25"/>
    </row>
    <row r="525" spans="2:5" ht="20.100000000000001" customHeight="1" x14ac:dyDescent="0.2">
      <c r="B525" s="4" t="s">
        <v>574</v>
      </c>
      <c r="C525" s="362" t="str">
        <f>sample_mgmt_ec_name</f>
        <v>sfo-m01-ec01</v>
      </c>
      <c r="D525" s="343" t="str">
        <f>mgmt_ec_name</f>
        <v>Value Missing</v>
      </c>
      <c r="E525" s="66"/>
    </row>
    <row r="526" spans="2:5" ht="20.100000000000001" customHeight="1" x14ac:dyDescent="0.2">
      <c r="B526" s="514" t="s">
        <v>929</v>
      </c>
      <c r="C526" s="515"/>
      <c r="D526" s="515"/>
      <c r="E526" s="516"/>
    </row>
    <row r="527" spans="2:5" ht="20.100000000000001" customHeight="1" x14ac:dyDescent="0.2">
      <c r="B527" s="4" t="s">
        <v>894</v>
      </c>
      <c r="C527" s="362" t="str">
        <f>sample_mgmt_nsxt_gm_vip_fqdn</f>
        <v>sfo-m01-nsx-gm01.sfo.rainpole.io</v>
      </c>
      <c r="D527" s="343" t="str">
        <f>mgmt_nsxt_gm_vip_fqdn</f>
        <v>Value Missing</v>
      </c>
      <c r="E527" s="66"/>
    </row>
    <row r="528" spans="2:5" ht="20.100000000000001" customHeight="1" x14ac:dyDescent="0.2">
      <c r="B528" s="4" t="s">
        <v>930</v>
      </c>
      <c r="C528" s="362"/>
      <c r="D528" s="337"/>
      <c r="E528" s="66"/>
    </row>
    <row r="529" spans="2:7" ht="20.100000000000001" customHeight="1" x14ac:dyDescent="0.2">
      <c r="B529" s="4" t="s">
        <v>931</v>
      </c>
      <c r="C529" s="362" t="str">
        <f>sample_mgmt_nsxt_xreg_t1_name</f>
        <v>flt-m01-ec01-t1-gw01</v>
      </c>
      <c r="D529" s="343" t="str">
        <f>mgmt_nsxt_xreg_t1_name</f>
        <v>Value Missing</v>
      </c>
      <c r="E529" s="66"/>
    </row>
    <row r="530" spans="2:7" ht="20.100000000000001" customHeight="1" x14ac:dyDescent="0.2">
      <c r="B530" s="514" t="s">
        <v>932</v>
      </c>
      <c r="C530" s="515"/>
      <c r="D530" s="515"/>
      <c r="E530" s="516"/>
    </row>
    <row r="531" spans="2:7" ht="20.100000000000001" customHeight="1" x14ac:dyDescent="0.2">
      <c r="B531" s="4" t="s">
        <v>915</v>
      </c>
      <c r="C531" s="362" t="str">
        <f>IF(mgmt_domain_chosen="First Instance",CONCATENATE(this_instance,"-m01-nsx-gm01.",this_instance,".",sample_parent_dns_zone),CONCATENATE(other_instance,"-m01-nsx-gm01.",other_instance,".",sample_parent_dns_zone))</f>
        <v>sfo-m01-nsx-gm01.sfo.rainpole.io</v>
      </c>
      <c r="D531" s="343"/>
      <c r="E531" s="66"/>
    </row>
    <row r="532" spans="2:7" ht="20.100000000000001" customHeight="1" x14ac:dyDescent="0.2">
      <c r="B532" s="4" t="s">
        <v>933</v>
      </c>
      <c r="C532" s="78" t="str">
        <f>CONCATENATE(this_instance,"-m01-ec01-t0-gw01")</f>
        <v>sfo-m01-ec01-t0-gw01</v>
      </c>
      <c r="D532" s="94"/>
      <c r="E532" s="66"/>
    </row>
    <row r="533" spans="2:7" ht="20.100000000000001" customHeight="1" x14ac:dyDescent="0.2">
      <c r="B533" s="4" t="s">
        <v>928</v>
      </c>
      <c r="C533" s="78" t="str">
        <f>sample_mgmt_nsxt_federation_location_name</f>
        <v>sfo-m01</v>
      </c>
      <c r="D533" s="343" t="str">
        <f>mgmt_nsxt_federation_location_name</f>
        <v>Value Missing</v>
      </c>
      <c r="E533" s="25"/>
    </row>
    <row r="534" spans="2:7" ht="20.100000000000001" customHeight="1" x14ac:dyDescent="0.2">
      <c r="B534" s="4" t="s">
        <v>574</v>
      </c>
      <c r="C534" s="78" t="s">
        <v>934</v>
      </c>
      <c r="D534" s="343" t="str">
        <f>mgmt_ec_name</f>
        <v>Value Missing</v>
      </c>
      <c r="E534" s="66"/>
    </row>
    <row r="535" spans="2:7" ht="20.100000000000001" customHeight="1" x14ac:dyDescent="0.2">
      <c r="B535" s="4" t="s">
        <v>935</v>
      </c>
      <c r="C535" s="362" t="str">
        <f>CONCATENATE(sample_mgmt_az1_en1_hostname,"_VCF-edge_",sample_mgmt_ec_name,"_segment_",sample_mgmt_az1_uplink01_vlan,"_",sample_mgmt_az1_en1_uplink01_interface_cidr)</f>
        <v>sfo-m01-en1_VCF-edge_sfo-m01-ec01_segment_1117_10.11.17.2/24</v>
      </c>
      <c r="D535" s="343" t="str">
        <f>CONCATENATE(mgmt_az1_en1_hostname,"_VCF-edge_",mgmt_ec_name,"_segment_",mgmt_az1_uplink01_vlan,"_",mgmt_az1_en1_uplink01_interface_cidr)</f>
        <v>Value Missing_VCF-edge_Value Missing_segment_Value Missing_Value Missing</v>
      </c>
      <c r="E535" s="66"/>
    </row>
    <row r="536" spans="2:7" ht="20.100000000000001" customHeight="1" x14ac:dyDescent="0.2">
      <c r="B536" s="4" t="s">
        <v>936</v>
      </c>
      <c r="C536" s="362" t="str">
        <f>sample_mgmt_nsxt_federation_location_name</f>
        <v>sfo-m01</v>
      </c>
      <c r="D536" s="343" t="str">
        <f>mgmt_nsxt_federation_location_name</f>
        <v>Value Missing</v>
      </c>
      <c r="E536" s="66"/>
      <c r="G536" s="27"/>
    </row>
    <row r="537" spans="2:7" ht="20.100000000000001" customHeight="1" x14ac:dyDescent="0.2">
      <c r="B537" s="4" t="s">
        <v>937</v>
      </c>
      <c r="C537" s="362" t="str">
        <f>sample_mgmt_az1_en1_uplink01_interface_cidr</f>
        <v>10.11.17.2/24</v>
      </c>
      <c r="D537" s="343" t="str">
        <f>mgmt_az1_en1_uplink01_interface_cidr</f>
        <v>Value Missing</v>
      </c>
      <c r="E537" s="66"/>
    </row>
    <row r="538" spans="2:7" ht="20.100000000000001" customHeight="1" x14ac:dyDescent="0.2">
      <c r="B538" s="4" t="s">
        <v>938</v>
      </c>
      <c r="C538" s="362" t="str">
        <f>CONCATENATE("VCF-edge_",sample_mgmt_ec_name,"_segment_uplink1_",sample_mgmt_az1_uplink01_vlan)</f>
        <v>VCF-edge_sfo-m01-ec01_segment_uplink1_1117</v>
      </c>
      <c r="D538" s="343" t="str">
        <f>CONCATENATE("VCF-edge_",mgmt_ec_name,"_segment_uplink1_",mgmt_az1_uplink01_vlan)</f>
        <v>VCF-edge_Value Missing_segment_uplink1_Value Missing</v>
      </c>
      <c r="E538" s="66"/>
    </row>
    <row r="539" spans="2:7" ht="20.100000000000001" customHeight="1" x14ac:dyDescent="0.2">
      <c r="B539" s="4" t="s">
        <v>939</v>
      </c>
      <c r="C539" s="362" t="s">
        <v>940</v>
      </c>
      <c r="D539" s="343" t="str">
        <f>mgmt_az1_en1_hostname</f>
        <v>Value Missing</v>
      </c>
      <c r="E539" s="66"/>
    </row>
    <row r="540" spans="2:7" ht="20.100000000000001" customHeight="1" x14ac:dyDescent="0.2">
      <c r="B540" s="4" t="s">
        <v>941</v>
      </c>
      <c r="C540" s="362">
        <f>sample_mgmt_az1_uplink01_mtu</f>
        <v>9000</v>
      </c>
      <c r="D540" s="343" t="str">
        <f>mgmt_az1_uplink01_mtu</f>
        <v>Value Missing</v>
      </c>
      <c r="E540" s="66"/>
    </row>
    <row r="541" spans="2:7" ht="20.100000000000001" customHeight="1" x14ac:dyDescent="0.2">
      <c r="B541" s="4" t="s">
        <v>942</v>
      </c>
      <c r="C541" s="362" t="str">
        <f>CONCATENATE(sample_mgmt_az1_en1_hostname,"_VCF-edge_",sample_mgmt_ec_name,"_segment_",sample_mgmt_az1_uplink02_vlan,"_",sample_mgmt_az1_en1_uplink02_interface_cidr)</f>
        <v>sfo-m01-en1_VCF-edge_sfo-m01-ec01_segment_1118_10.11.18.2/24</v>
      </c>
      <c r="D541" s="343" t="str">
        <f>CONCATENATE(mgmt_az1_en1_hostname,"_VCF-edge_",mgmt_ec_name,"_segment_",mgmt_az1_uplink02_vlan,"_",mgmt_az1_en1_uplink02_interface_cidr)</f>
        <v>Value Missing_VCF-edge_Value Missing_segment_Value Missing_Value Missing</v>
      </c>
      <c r="E541" s="66"/>
    </row>
    <row r="542" spans="2:7" ht="20.100000000000001" customHeight="1" x14ac:dyDescent="0.2">
      <c r="B542" s="4" t="s">
        <v>943</v>
      </c>
      <c r="C542" s="78" t="str">
        <f>sample_mgmt_nsxt_federation_location_name</f>
        <v>sfo-m01</v>
      </c>
      <c r="D542" s="343" t="str">
        <f>mgmt_nsxt_federation_location_name</f>
        <v>Value Missing</v>
      </c>
      <c r="E542" s="66"/>
      <c r="G542" s="27"/>
    </row>
    <row r="543" spans="2:7" ht="20.100000000000001" customHeight="1" x14ac:dyDescent="0.2">
      <c r="B543" s="4" t="s">
        <v>944</v>
      </c>
      <c r="C543" s="362" t="str">
        <f>sample_mgmt_az1_en1_uplink02_interface_cidr</f>
        <v>10.11.18.2/24</v>
      </c>
      <c r="D543" s="343" t="str">
        <f>mgmt_az1_en1_uplink02_interface_cidr</f>
        <v>Value Missing</v>
      </c>
      <c r="E543" s="66"/>
    </row>
    <row r="544" spans="2:7" ht="20.100000000000001" customHeight="1" x14ac:dyDescent="0.2">
      <c r="B544" s="17" t="s">
        <v>945</v>
      </c>
      <c r="C544" s="362" t="str">
        <f>CONCATENATE("VCF-edge_",sample_mgmt_ec_name,"_segment_uplink2_",sample_mgmt_az1_uplink02_vlan)</f>
        <v>VCF-edge_sfo-m01-ec01_segment_uplink2_1118</v>
      </c>
      <c r="D544" s="343" t="str">
        <f>CONCATENATE("VCF-edge_",mgmt_ec_name,"_segment_uplink2_",mgmt_az1_uplink02_vlan)</f>
        <v>VCF-edge_Value Missing_segment_uplink2_Value Missing</v>
      </c>
      <c r="E544" s="66"/>
    </row>
    <row r="545" spans="2:5" ht="20.100000000000001" customHeight="1" x14ac:dyDescent="0.2">
      <c r="B545" s="4" t="s">
        <v>946</v>
      </c>
      <c r="C545" s="362" t="s">
        <v>947</v>
      </c>
      <c r="D545" s="343" t="str">
        <f>mgmt_az1_en1_hostname</f>
        <v>Value Missing</v>
      </c>
      <c r="E545" s="66"/>
    </row>
    <row r="546" spans="2:5" ht="20.100000000000001" customHeight="1" x14ac:dyDescent="0.2">
      <c r="B546" s="4" t="s">
        <v>948</v>
      </c>
      <c r="C546" s="362">
        <f>sample_mgmt_az1_uplink02_mtu</f>
        <v>9000</v>
      </c>
      <c r="D546" s="343" t="str">
        <f>mgmt_az1_uplink02_mtu</f>
        <v>Value Missing</v>
      </c>
      <c r="E546" s="66"/>
    </row>
    <row r="547" spans="2:5" ht="20.100000000000001" customHeight="1" x14ac:dyDescent="0.2">
      <c r="B547" s="4" t="s">
        <v>949</v>
      </c>
      <c r="C547" s="362" t="str">
        <f>CONCATENATE(sample_mgmt_az1_en2_hostname,"_VCF-edge_",sample_mgmt_ec_name,"_segment_",sample_mgmt_az1_uplink01_vlan,"_",sample_mgmt_az1_en2_uplink01_interface_cidr)</f>
        <v>sfo-m01-en2_VCF-edge_sfo-m01-ec01_segment_1117_10.11.17.3/24</v>
      </c>
      <c r="D547" s="343" t="str">
        <f>CONCATENATE(mgmt_az1_en2_hostname,"_VCF-edge_",mgmt_ec_name,"_segment_",mgmt_az1_uplink01_vlan,"_",mgmt_az1_en2_uplink01_interface_cidr)</f>
        <v>Value Missing_VCF-edge_Value Missing_segment_Value Missing_Value Missing</v>
      </c>
      <c r="E547" s="66"/>
    </row>
    <row r="548" spans="2:5" ht="20.100000000000001" customHeight="1" x14ac:dyDescent="0.2">
      <c r="B548" s="4" t="s">
        <v>950</v>
      </c>
      <c r="C548" s="362" t="str">
        <f>sample_mgmt_nsxt_federation_location_name</f>
        <v>sfo-m01</v>
      </c>
      <c r="D548" s="343" t="str">
        <f>mgmt_nsxt_federation_location_name</f>
        <v>Value Missing</v>
      </c>
      <c r="E548" s="66"/>
    </row>
    <row r="549" spans="2:5" ht="20.100000000000001" customHeight="1" x14ac:dyDescent="0.2">
      <c r="B549" s="4" t="s">
        <v>951</v>
      </c>
      <c r="C549" s="362" t="str">
        <f>sample_mgmt_az1_en2_uplink01_interface_cidr</f>
        <v>10.11.17.3/24</v>
      </c>
      <c r="D549" s="343" t="str">
        <f>mgmt_az1_en2_uplink01_interface_cidr</f>
        <v>Value Missing</v>
      </c>
      <c r="E549" s="66"/>
    </row>
    <row r="550" spans="2:5" ht="20.100000000000001" customHeight="1" x14ac:dyDescent="0.2">
      <c r="B550" s="17" t="s">
        <v>952</v>
      </c>
      <c r="C550" s="362" t="str">
        <f>CONCATENATE("VCF-edge_",sample_mgmt_ec_name,"_segment_uplink1_",sample_mgmt_az1_uplink01_vlan)</f>
        <v>VCF-edge_sfo-m01-ec01_segment_uplink1_1117</v>
      </c>
      <c r="D550" s="343" t="str">
        <f>CONCATENATE("VCF-edge_",mgmt_ec_name,"_segment_uplink1_",mgmt_az1_uplink01_vlan)</f>
        <v>VCF-edge_Value Missing_segment_uplink1_Value Missing</v>
      </c>
      <c r="E550" s="66"/>
    </row>
    <row r="551" spans="2:5" ht="20.100000000000001" customHeight="1" x14ac:dyDescent="0.2">
      <c r="B551" s="4" t="s">
        <v>953</v>
      </c>
      <c r="C551" s="362" t="str">
        <f>sample_mgmt_az1_en1_hostname</f>
        <v>sfo-m01-en1</v>
      </c>
      <c r="D551" s="343" t="str">
        <f>mgmt_az1_en2_hostname</f>
        <v>Value Missing</v>
      </c>
      <c r="E551" s="66"/>
    </row>
    <row r="552" spans="2:5" ht="20.100000000000001" customHeight="1" x14ac:dyDescent="0.2">
      <c r="B552" s="4" t="s">
        <v>954</v>
      </c>
      <c r="C552" s="362">
        <f>sample_mgmt_az1_uplink01_mtu</f>
        <v>9000</v>
      </c>
      <c r="D552" s="343" t="str">
        <f>mgmt_az1_uplink01_mtu</f>
        <v>Value Missing</v>
      </c>
      <c r="E552" s="66"/>
    </row>
    <row r="553" spans="2:5" ht="20.100000000000001" customHeight="1" x14ac:dyDescent="0.2">
      <c r="B553" s="4" t="s">
        <v>955</v>
      </c>
      <c r="C553" s="362" t="str">
        <f>CONCATENATE(sample_mgmt_az1_en2_hostname,"_VCF-edge_",sample_mgmt_ec_name,"_segment_",sample_mgmt_az1_uplink02_vlan,"_",sample_mgmt_az1_en2_uplink02_interface_cidr)</f>
        <v>sfo-m01-en2_VCF-edge_sfo-m01-ec01_segment_1118_10.11.18.3/24</v>
      </c>
      <c r="D553" s="343" t="str">
        <f>CONCATENATE(mgmt_az1_en2_hostname,"_VCF-edge_",mgmt_ec_name,"_segment_",mgmt_az1_uplink02_vlan,"_",mgmt_az1_en2_uplink02_interface_cidr)</f>
        <v>Value Missing_VCF-edge_Value Missing_segment_Value Missing_Value Missing</v>
      </c>
      <c r="E553" s="66"/>
    </row>
    <row r="554" spans="2:5" ht="20.100000000000001" customHeight="1" x14ac:dyDescent="0.2">
      <c r="B554" s="4" t="s">
        <v>956</v>
      </c>
      <c r="C554" s="362" t="str">
        <f>sample_mgmt_nsxt_federation_location_name</f>
        <v>sfo-m01</v>
      </c>
      <c r="D554" s="343" t="str">
        <f>mgmt_nsxt_federation_location_name</f>
        <v>Value Missing</v>
      </c>
      <c r="E554" s="66"/>
    </row>
    <row r="555" spans="2:5" ht="20.100000000000001" customHeight="1" x14ac:dyDescent="0.2">
      <c r="B555" s="4" t="s">
        <v>957</v>
      </c>
      <c r="C555" s="362" t="str">
        <f>sample_mgmt_az1_en2_uplink02_interface_cidr</f>
        <v>10.11.18.3/24</v>
      </c>
      <c r="D555" s="343" t="str">
        <f>mgmt_az1_en2_uplink02_interface_cidr</f>
        <v>Value Missing</v>
      </c>
      <c r="E555" s="66"/>
    </row>
    <row r="556" spans="2:5" ht="20.100000000000001" customHeight="1" x14ac:dyDescent="0.2">
      <c r="B556" s="17" t="s">
        <v>958</v>
      </c>
      <c r="C556" s="362" t="str">
        <f>CONCATENATE("VCF-edge_",sample_mgmt_ec_name,"_segment_uplink2_",sample_mgmt_az1_uplink02_vlan)</f>
        <v>VCF-edge_sfo-m01-ec01_segment_uplink2_1118</v>
      </c>
      <c r="D556" s="343" t="str">
        <f>CONCATENATE("VCF-edge_",mgmt_ec_name,"_segment_uplink2_",mgmt_az1_uplink02_vlan)</f>
        <v>VCF-edge_Value Missing_segment_uplink2_Value Missing</v>
      </c>
      <c r="E556" s="66"/>
    </row>
    <row r="557" spans="2:5" ht="20.100000000000001" customHeight="1" x14ac:dyDescent="0.2">
      <c r="B557" s="4" t="s">
        <v>959</v>
      </c>
      <c r="C557" s="362" t="str">
        <f t="array" ref="C557">sample_mgmt_az1_en2_hostname</f>
        <v>sfo-m01-en2</v>
      </c>
      <c r="D557" s="343" t="str">
        <f>mgmt_az1_en2_hostname</f>
        <v>Value Missing</v>
      </c>
      <c r="E557" s="66"/>
    </row>
    <row r="558" spans="2:5" ht="20.100000000000001" customHeight="1" x14ac:dyDescent="0.2">
      <c r="B558" s="4" t="s">
        <v>960</v>
      </c>
      <c r="C558" s="362">
        <f>sample_mgmt_az1_uplink02_mtu</f>
        <v>9000</v>
      </c>
      <c r="D558" s="343" t="str">
        <f>mgmt_az1_uplink02_mtu</f>
        <v>Value Missing</v>
      </c>
      <c r="E558" s="66"/>
    </row>
    <row r="559" spans="2:5" ht="20.100000000000001" customHeight="1" x14ac:dyDescent="0.2">
      <c r="B559" s="4" t="s">
        <v>961</v>
      </c>
      <c r="C559" s="362" t="str">
        <f>sample_mgmt_az1_tor1_peer_ip</f>
        <v>10.11.17.10</v>
      </c>
      <c r="D559" s="343" t="str">
        <f>mgmt_az1_tor1_peer_ip</f>
        <v>Value Missing</v>
      </c>
      <c r="E559" s="66"/>
    </row>
    <row r="560" spans="2:5" ht="20.100000000000001" customHeight="1" x14ac:dyDescent="0.2">
      <c r="B560" s="4" t="s">
        <v>962</v>
      </c>
      <c r="C560" s="362" t="str">
        <f>sample_mgmt_nsxt_federation_location_name</f>
        <v>sfo-m01</v>
      </c>
      <c r="D560" s="343" t="str">
        <f>mgmt_nsxt_federation_location_name</f>
        <v>Value Missing</v>
      </c>
      <c r="E560" s="66"/>
    </row>
    <row r="561" spans="2:5" ht="20.100000000000001" customHeight="1" x14ac:dyDescent="0.2">
      <c r="B561" s="4" t="s">
        <v>963</v>
      </c>
      <c r="C561" s="362" t="str">
        <f>sample_mgmt_az1_tor1_peer_asn</f>
        <v>65111</v>
      </c>
      <c r="D561" s="343" t="str">
        <f>mgmt_az1_tor1_peer_asn</f>
        <v>Value Missing</v>
      </c>
      <c r="E561" s="66"/>
    </row>
    <row r="562" spans="2:5" ht="20.100000000000001" customHeight="1" x14ac:dyDescent="0.2">
      <c r="B562" s="4" t="s">
        <v>964</v>
      </c>
      <c r="C562" s="362" t="str">
        <f>sample_mgmt_az1_en1_uplink01_interface_cidr</f>
        <v>10.11.17.2/24</v>
      </c>
      <c r="D562" s="343" t="str">
        <f>mgmt_az1_en1_uplink01_interface_cidr</f>
        <v>Value Missing</v>
      </c>
      <c r="E562" s="66"/>
    </row>
    <row r="563" spans="2:5" ht="20.100000000000001" customHeight="1" x14ac:dyDescent="0.2">
      <c r="B563" s="4" t="s">
        <v>965</v>
      </c>
      <c r="C563" s="362" t="str">
        <f>sample_mgmt_az1_en2_uplink01_interface_cidr</f>
        <v>10.11.17.3/24</v>
      </c>
      <c r="D563" s="343" t="str">
        <f>mgmt_az1_en2_uplink01_interface_cidr</f>
        <v>Value Missing</v>
      </c>
      <c r="E563" s="66"/>
    </row>
    <row r="564" spans="2:5" ht="20.100000000000001" customHeight="1" x14ac:dyDescent="0.2">
      <c r="B564" s="4" t="s">
        <v>966</v>
      </c>
      <c r="C564" s="362" t="str">
        <f>sample_mgmt_az1_tor1_peer_bgp_password</f>
        <v>VMw@re1!</v>
      </c>
      <c r="D564" s="343" t="str">
        <f>mgmt_az1_tor1_peer_bgp_password</f>
        <v>Value Missing</v>
      </c>
      <c r="E564" s="66"/>
    </row>
    <row r="565" spans="2:5" ht="20.100000000000001" customHeight="1" x14ac:dyDescent="0.2">
      <c r="B565" s="4" t="s">
        <v>967</v>
      </c>
      <c r="C565" s="362" t="str">
        <f>sample_mgmt_az1_tor2_peer_ip</f>
        <v>10.11.18.10</v>
      </c>
      <c r="D565" s="343" t="str">
        <f>mgmt_az1_tor2_peer_ip</f>
        <v>Value Missing</v>
      </c>
      <c r="E565" s="66"/>
    </row>
    <row r="566" spans="2:5" ht="20.100000000000001" customHeight="1" x14ac:dyDescent="0.2">
      <c r="B566" s="4" t="s">
        <v>968</v>
      </c>
      <c r="C566" s="362" t="str">
        <f>sample_mgmt_nsxt_federation_location_name</f>
        <v>sfo-m01</v>
      </c>
      <c r="D566" s="343" t="str">
        <f>mgmt_nsxt_federation_location_name</f>
        <v>Value Missing</v>
      </c>
      <c r="E566" s="66"/>
    </row>
    <row r="567" spans="2:5" ht="20.100000000000001" customHeight="1" x14ac:dyDescent="0.2">
      <c r="B567" s="4" t="s">
        <v>969</v>
      </c>
      <c r="C567" s="362" t="str">
        <f>sample_mgmt_az1_tor1_peer_asn</f>
        <v>65111</v>
      </c>
      <c r="D567" s="343" t="str">
        <f>mgmt_az1_tor1_peer_asn</f>
        <v>Value Missing</v>
      </c>
      <c r="E567" s="66"/>
    </row>
    <row r="568" spans="2:5" ht="20.100000000000001" customHeight="1" x14ac:dyDescent="0.2">
      <c r="B568" s="4" t="s">
        <v>970</v>
      </c>
      <c r="C568" s="362" t="str">
        <f>sample_mgmt_az1_en1_uplink02_interface_cidr</f>
        <v>10.11.18.2/24</v>
      </c>
      <c r="D568" s="343" t="str">
        <f>mgmt_az1_en1_uplink02_interface_cidr</f>
        <v>Value Missing</v>
      </c>
      <c r="E568" s="66"/>
    </row>
    <row r="569" spans="2:5" ht="20.100000000000001" customHeight="1" x14ac:dyDescent="0.2">
      <c r="B569" s="4" t="s">
        <v>971</v>
      </c>
      <c r="C569" s="362" t="str">
        <f>sample_mgmt_az1_en2_uplink02_interface_cidr</f>
        <v>10.11.18.3/24</v>
      </c>
      <c r="D569" s="343" t="str">
        <f>mgmt_az1_en2_uplink02_interface_cidr</f>
        <v>Value Missing</v>
      </c>
      <c r="E569" s="66"/>
    </row>
    <row r="570" spans="2:5" ht="20.100000000000001" customHeight="1" x14ac:dyDescent="0.2">
      <c r="B570" s="4" t="s">
        <v>972</v>
      </c>
      <c r="C570" s="362" t="str">
        <f>sample_mgmt_az1_tor2_peer_bgp_password</f>
        <v>VMw@re1!</v>
      </c>
      <c r="D570" s="343" t="str">
        <f>mgmt_az1_tor2_peer_bgp_password</f>
        <v>Value Missing</v>
      </c>
      <c r="E570" s="66"/>
    </row>
    <row r="571" spans="2:5" ht="20.100000000000001" customHeight="1" x14ac:dyDescent="0.2">
      <c r="B571" s="514" t="s">
        <v>973</v>
      </c>
      <c r="C571" s="515"/>
      <c r="D571" s="515"/>
      <c r="E571" s="516"/>
    </row>
    <row r="572" spans="2:5" ht="20.100000000000001" customHeight="1" x14ac:dyDescent="0.2">
      <c r="B572" s="4" t="s">
        <v>915</v>
      </c>
      <c r="C572" s="362" t="str">
        <f t="array" ref="C572">IF(mgmt_domain_chosen="First Instance",sample_mgmt_nsxt_gm_vip_fqdn,sample_mgmt_existing_active_nsx_gm)</f>
        <v>sfo-m01-nsx-gm01.sfo.rainpole.io</v>
      </c>
      <c r="D572" s="343" t="str">
        <f>IF(mgmt_domain_chosen="First Instance",mgmt_nsxt_gm_vip_fqdn,mgmt_existing_active_nsx_gm)</f>
        <v>Value Missing</v>
      </c>
      <c r="E572" s="66"/>
    </row>
    <row r="573" spans="2:5" ht="20.100000000000001" customHeight="1" x14ac:dyDescent="0.2">
      <c r="B573" s="4" t="s">
        <v>931</v>
      </c>
      <c r="C573" s="362" t="str">
        <f>sample_mgmt_nsxt_xreg_t1_name</f>
        <v>flt-m01-ec01-t1-gw01</v>
      </c>
      <c r="D573" s="343" t="str">
        <f>mgmt_nsxt_xreg_t1_name</f>
        <v>Value Missing</v>
      </c>
      <c r="E573" s="66"/>
    </row>
    <row r="574" spans="2:5" ht="20.100000000000001" customHeight="1" x14ac:dyDescent="0.2">
      <c r="B574" s="4" t="s">
        <v>928</v>
      </c>
      <c r="C574" s="362" t="str">
        <f>sample_mgmt_nsxt_federation_location_name</f>
        <v>sfo-m01</v>
      </c>
      <c r="D574" s="343" t="str">
        <f>mgmt_nsxt_federation_location_name</f>
        <v>Value Missing</v>
      </c>
      <c r="E574" s="25"/>
    </row>
    <row r="575" spans="2:5" ht="20.100000000000001" customHeight="1" x14ac:dyDescent="0.2">
      <c r="B575" s="4" t="s">
        <v>574</v>
      </c>
      <c r="C575" s="362" t="str">
        <f>sample_mgmt_ec_name</f>
        <v>sfo-m01-ec01</v>
      </c>
      <c r="D575" s="343" t="str">
        <f>mgmt_ec_name</f>
        <v>Value Missing</v>
      </c>
      <c r="E575" s="66"/>
    </row>
  </sheetData>
  <sheetProtection algorithmName="SHA-512" hashValue="10CJPAeaWQzWXfVPzAMttTNTb1Q6UOIVkuLcjJmrnX8xDFPafOrTy1K0JNCYUuk9xWQl362c3EjIyZ8sw8W0VQ==" saltValue="pA5+Xw9oYgmKoc0f3ku9ew==" spinCount="100000" sheet="1" selectLockedCells="1"/>
  <mergeCells count="77">
    <mergeCell ref="B530:E530"/>
    <mergeCell ref="B571:E571"/>
    <mergeCell ref="B489:E489"/>
    <mergeCell ref="B526:E526"/>
    <mergeCell ref="B508:E508"/>
    <mergeCell ref="B499:E499"/>
    <mergeCell ref="B496:E496"/>
    <mergeCell ref="B520:E520"/>
    <mergeCell ref="B484:E484"/>
    <mergeCell ref="B473:E473"/>
    <mergeCell ref="B396:E396"/>
    <mergeCell ref="B477:E477"/>
    <mergeCell ref="B399:E399"/>
    <mergeCell ref="B451:E451"/>
    <mergeCell ref="B416:E416"/>
    <mergeCell ref="B433:E433"/>
    <mergeCell ref="B479:E479"/>
    <mergeCell ref="B467:E467"/>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09:E309"/>
    <mergeCell ref="B276:E276"/>
    <mergeCell ref="B303:E303"/>
    <mergeCell ref="B333:E333"/>
    <mergeCell ref="B377:E377"/>
    <mergeCell ref="B277:E277"/>
    <mergeCell ref="B302:E302"/>
    <mergeCell ref="B375:E375"/>
    <mergeCell ref="B376:E376"/>
    <mergeCell ref="B395:E395"/>
    <mergeCell ref="B379:E379"/>
    <mergeCell ref="B344:E344"/>
    <mergeCell ref="B328:E328"/>
    <mergeCell ref="B382:E382"/>
    <mergeCell ref="B342:E342"/>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s>
  <conditionalFormatting sqref="B12">
    <cfRule type="expression" dxfId="1598" priority="918">
      <formula>(mgmt_signed_certs_result="Included")</formula>
    </cfRule>
    <cfRule type="expression" dxfId="1597" priority="917">
      <formula>(mgmt_signed_certs_result="Excluded")</formula>
    </cfRule>
  </conditionalFormatting>
  <conditionalFormatting sqref="B13 D13:E13">
    <cfRule type="expression" dxfId="1596" priority="239">
      <formula>AND((mgmt_vns_chosen&lt;&gt;"Exclude"),(mgmt_vns_result="Excluded"))</formula>
    </cfRule>
  </conditionalFormatting>
  <conditionalFormatting sqref="B13">
    <cfRule type="expression" dxfId="1595" priority="923">
      <formula>(mgmt_vns_chosen&lt;&gt;"Include")</formula>
    </cfRule>
    <cfRule type="expression" dxfId="1594" priority="922">
      <formula>(mgmt_vns_result="Excluded")</formula>
    </cfRule>
  </conditionalFormatting>
  <conditionalFormatting sqref="B14 D14:E14">
    <cfRule type="expression" dxfId="1593" priority="908">
      <formula>AND((mgmt_avi_loadbalancer_chosen="Include"),(mgmt_avi_loadbalancer_result="Excluded"))</formula>
    </cfRule>
    <cfRule type="expression" dxfId="1592" priority="907">
      <formula>AND((mgmt_avi_loadbalancer_chosen="Include"),(mgmt_avi_loadbalancer_result="Included"))</formula>
    </cfRule>
    <cfRule type="expression" dxfId="1591" priority="906">
      <formula>AND((mgmt_avi_loadbalancer_chosen ="Exclude"),(mgmt_avi_loadbalancer_result="Excluded"))</formula>
    </cfRule>
  </conditionalFormatting>
  <conditionalFormatting sqref="B15 D15:E15">
    <cfRule type="expression" dxfId="1590" priority="924">
      <formula>AND((mgmt_stretched_cluster_chosen="Include"),(mgmt_stretched_cluster_result="Excluded"))</formula>
    </cfRule>
  </conditionalFormatting>
  <conditionalFormatting sqref="B15">
    <cfRule type="expression" dxfId="1589" priority="928">
      <formula>AND((mgmt_stretched_cluster_chosen="Include"),(mgmt_stretched_cluster_result="Included"))</formula>
    </cfRule>
    <cfRule type="expression" dxfId="1588" priority="926">
      <formula>(mgmt_stretched_cluster_chosen="Exclude")</formula>
    </cfRule>
  </conditionalFormatting>
  <conditionalFormatting sqref="B16 D16:E16">
    <cfRule type="expression" dxfId="1587" priority="909" stopIfTrue="1">
      <formula>AND((mgmt_nsxt_federation_chosen&lt;&gt;"Exclude"),(mgmt_nsxt_federation_result="Included"))</formula>
    </cfRule>
    <cfRule type="expression" dxfId="1586" priority="904">
      <formula>AND((mgmt_nsxt_federation_chosen&lt;&gt;"Exclude"),(mgmt_nsxt_federation_result="Excluded"))</formula>
    </cfRule>
  </conditionalFormatting>
  <conditionalFormatting sqref="B16">
    <cfRule type="expression" dxfId="1585" priority="919">
      <formula>(mgmt_nsxt_federation_chosen="Exclude")</formula>
    </cfRule>
  </conditionalFormatting>
  <conditionalFormatting sqref="C207:D207 C209:D209 C211:D211">
    <cfRule type="expression" dxfId="1584" priority="939">
      <formula>mgmt_avi_loadbalancer_result="Excluded"</formula>
    </cfRule>
  </conditionalFormatting>
  <conditionalFormatting sqref="D21:D28">
    <cfRule type="containsBlanks" dxfId="1583" priority="652">
      <formula>LEN(TRIM(D21))=0</formula>
    </cfRule>
    <cfRule type="notContainsBlanks" dxfId="1582" priority="653">
      <formula>LEN(TRIM(D21))&gt;0</formula>
    </cfRule>
    <cfRule type="expression" dxfId="1580" priority="651">
      <formula>mgmt_domain_result="Excluded"</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notContainsBlanks" dxfId="1579" priority="955">
      <formula>LEN(TRIM(D33))&gt;0</formula>
    </cfRule>
    <cfRule type="containsBlanks" dxfId="1578" priority="893">
      <formula>LEN(TRIM(D33))=0</formula>
    </cfRule>
  </conditionalFormatting>
  <conditionalFormatting sqref="D33:D35 D37:D40 D42:D45 D47:D50 D52:D56 D58:D65">
    <cfRule type="expression" dxfId="1577" priority="799" stopIfTrue="1">
      <formula>OR((mgmt_signed_certs_result="Excluded"),(mgmt_signed_certs_chosen&lt;&gt;"Microsoft CA"))</formula>
    </cfRule>
  </conditionalFormatting>
  <conditionalFormatting sqref="D45 D50 D58:D65">
    <cfRule type="expression" dxfId="1576" priority="875">
      <formula>mgmt_domain_result="Excluded"</formula>
    </cfRule>
  </conditionalFormatting>
  <conditionalFormatting sqref="D45 D58:D65 C30:D30">
    <cfRule type="expression" dxfId="1575" priority="883">
      <formula>mgmt_signed_certs_result="Excluded"</formula>
    </cfRule>
  </conditionalFormatting>
  <conditionalFormatting sqref="D56">
    <cfRule type="expression" dxfId="1574" priority="804">
      <formula>OR((mgmt_signed_certs_result="Excluded"),(mgmt_signed_certs_chosen&lt;&gt;"Microsoft CA"))</formula>
    </cfRule>
  </conditionalFormatting>
  <conditionalFormatting sqref="D67:D73 D75:D84">
    <cfRule type="expression" dxfId="1573" priority="483">
      <formula>OR((mgmt_signed_certs_result="Excluded"),(mgmt_signed_certs_chosen&lt;&gt;"OpenSSL CA"))</formula>
    </cfRule>
  </conditionalFormatting>
  <conditionalFormatting sqref="D90 D92:D93 D95:D97 D99:D109 D111:D123 D125:D135 D137:D150 D152:D156 D158:D171 D173:D186 D188:D189 D191">
    <cfRule type="expression" dxfId="1572" priority="2">
      <formula>mgmt_vns_result="Excluded"</formula>
    </cfRule>
  </conditionalFormatting>
  <conditionalFormatting sqref="D92:D93">
    <cfRule type="expression" dxfId="1571" priority="234">
      <formula>mgmt_vns_chosen="Centralized Connectivity"</formula>
    </cfRule>
  </conditionalFormatting>
  <conditionalFormatting sqref="D103 D129">
    <cfRule type="expression" dxfId="1570" priority="472">
      <formula>mgmt_ec01_host_group_affinity_rule_chosen="No"</formula>
    </cfRule>
  </conditionalFormatting>
  <conditionalFormatting sqref="D107:D108 D133:D134">
    <cfRule type="expression" dxfId="1569" priority="473">
      <formula>mgmt_az1_en1_ip_allocation_chosen="DHCP"</formula>
    </cfRule>
  </conditionalFormatting>
  <conditionalFormatting sqref="D115:D123 D141:D147">
    <cfRule type="expression" dxfId="1568" priority="409">
      <formula>mgmt_ec01_use_host_overlay_chosen="Selected"</formula>
    </cfRule>
  </conditionalFormatting>
  <conditionalFormatting sqref="D117:D119">
    <cfRule type="expression" dxfId="1567" priority="474">
      <formula>mgmt_az1_en1_edge_overlay_network_ip_allocation_chosen&lt;&gt;"IP Pool"</formula>
    </cfRule>
  </conditionalFormatting>
  <conditionalFormatting sqref="D120:D121 D123">
    <cfRule type="expression" dxfId="1566" priority="471">
      <formula>mgmt_az1_en1_edge_overlay_network_ip_allocation_chosen&lt;&gt;"Static IP List"</formula>
    </cfRule>
  </conditionalFormatting>
  <conditionalFormatting sqref="D122">
    <cfRule type="expression" dxfId="1565" priority="233">
      <formula>input_mgmt_az1_edge_overlay_gateway_ip="DHCP"</formula>
    </cfRule>
  </conditionalFormatting>
  <conditionalFormatting sqref="D125:D135 D95:D97 D99:D109 D111:D123 D137:D150 D152:D156 D158:D171 D173:D186">
    <cfRule type="expression" dxfId="1564" priority="199">
      <formula>mgmt_vns_chosen="Distributed Connectivity"</formula>
    </cfRule>
  </conditionalFormatting>
  <conditionalFormatting sqref="D127">
    <cfRule type="expression" dxfId="1563" priority="3">
      <formula>$D$127="Value Missing"</formula>
    </cfRule>
  </conditionalFormatting>
  <conditionalFormatting sqref="D129">
    <cfRule type="expression" dxfId="1562" priority="479">
      <formula>input_mgmt_ec01_host_group_affinity_rule_chosen="No"</formula>
    </cfRule>
  </conditionalFormatting>
  <conditionalFormatting sqref="D131:D133 D120:D121 D144:D145 D174 D181 D99 D105:D106 D125 D166">
    <cfRule type="expression" dxfId="1561" priority="797">
      <formula>mgmt_vns_result="Excluded"</formula>
    </cfRule>
  </conditionalFormatting>
  <conditionalFormatting sqref="D143">
    <cfRule type="expression" dxfId="1560" priority="478">
      <formula>mgmt_az1_en1_edge_overlay_network_ip_allocation_chosen&lt;&gt;"IP Pool"</formula>
    </cfRule>
  </conditionalFormatting>
  <conditionalFormatting sqref="D144:D147">
    <cfRule type="expression" dxfId="1559" priority="445">
      <formula>mgmt_az1_en1_edge_overlay_network_ip_allocation_chosen&lt;&gt;"Static IP List"</formula>
    </cfRule>
  </conditionalFormatting>
  <conditionalFormatting sqref="D149:D150">
    <cfRule type="expression" dxfId="1558" priority="411">
      <formula>mgmt_az1_ec01_password_creation_chosen="Selected"</formula>
    </cfRule>
  </conditionalFormatting>
  <conditionalFormatting sqref="D153:D156">
    <cfRule type="expression" dxfId="1557" priority="36">
      <formula>OR((mgmt_nsxt_federation_chosen="Standby Global Manager"),(mgmt_nsxt_federation_chosen="Connect Instance"))</formula>
    </cfRule>
    <cfRule type="expression" dxfId="1556" priority="7">
      <formula>mgmt_tier0_skip_chosen="Selected"</formula>
    </cfRule>
  </conditionalFormatting>
  <conditionalFormatting sqref="D156 D160:D164 D167:D171 D175:D180 D183:D186">
    <cfRule type="expression" dxfId="1555" priority="235">
      <formula>mgmt_gateway_routing_type_chosen="STATIC"</formula>
    </cfRule>
  </conditionalFormatting>
  <conditionalFormatting sqref="D158:D171 D173:D186 D188:D189">
    <cfRule type="expression" dxfId="1554" priority="187">
      <formula>AND((mgmt_tier0_skip_chosen="Selected"),(mgmt_nsxt_federation_chosen="Exclude"))</formula>
    </cfRule>
  </conditionalFormatting>
  <conditionalFormatting sqref="D173:D186">
    <cfRule type="expression" dxfId="1553" priority="245">
      <formula>OR((mgmt_domain_result="Excluded"),(mgmt_vns_result="Excluded"))</formula>
    </cfRule>
  </conditionalFormatting>
  <conditionalFormatting sqref="D191 D193 D197">
    <cfRule type="expression" dxfId="1552" priority="4">
      <formula>mgmt_ec_api_chosen="Exclude"</formula>
    </cfRule>
  </conditionalFormatting>
  <conditionalFormatting sqref="D191">
    <cfRule type="expression" dxfId="1551" priority="6">
      <formula>mgmt_ec_api_chosen="Include"</formula>
    </cfRule>
  </conditionalFormatting>
  <conditionalFormatting sqref="D193:D195">
    <cfRule type="expression" dxfId="1550" priority="27">
      <formula>mgmt_vns_result="Excluded"</formula>
    </cfRule>
    <cfRule type="expression" dxfId="1549" priority="35">
      <formula>OR((mgmt_domain_result="Excluded"),(mgmt_vns_result="Excluded"))</formula>
    </cfRule>
    <cfRule type="expression" dxfId="1548" priority="34">
      <formula>mgmt_gateway_routing_type_chosen="STATIC"</formula>
    </cfRule>
    <cfRule type="expression" dxfId="1547" priority="28">
      <formula>AND((mgmt_tier0_skip_chosen="Selected"),OR((gmt_nsxt_federation_chosen="Standby Global Manager"),(mgmt_nsxt_federation_chosen="Connect Instance")))</formula>
    </cfRule>
    <cfRule type="expression" dxfId="1546" priority="29">
      <formula>mgmt_vns_chosen="Distributed Connectivity"</formula>
    </cfRule>
  </conditionalFormatting>
  <conditionalFormatting sqref="D197:D199">
    <cfRule type="expression" dxfId="1545" priority="26">
      <formula>OR((mgmt_domain_result="Excluded"),(mgmt_vns_result="Excluded"))</formula>
    </cfRule>
    <cfRule type="expression" dxfId="1544" priority="25">
      <formula>mgmt_gateway_routing_type_chosen="STATIC"</formula>
    </cfRule>
    <cfRule type="expression" dxfId="1543" priority="20">
      <formula>mgmt_vns_chosen="Distributed Connectivity"</formula>
    </cfRule>
    <cfRule type="expression" dxfId="1542" priority="19">
      <formula>AND((mgmt_tier0_skip_chosen="Selected"),OR((gmt_nsxt_federation_chosen="Standby Global Manager"),(mgmt_nsxt_federation_chosen="Connect Instance")))</formula>
    </cfRule>
    <cfRule type="expression" dxfId="1541" priority="18">
      <formula>mgmt_vns_result="Excluded"</formula>
    </cfRule>
  </conditionalFormatting>
  <conditionalFormatting sqref="D200">
    <cfRule type="expression" dxfId="1540" priority="217">
      <formula>mgmt_domain_existing_vcenter_chosen="Selected"</formula>
    </cfRule>
    <cfRule type="notContainsBlanks" dxfId="1538" priority="219">
      <formula>LEN(TRIM(D200))&gt;0</formula>
    </cfRule>
    <cfRule type="containsBlanks" dxfId="1537" priority="220">
      <formula>LEN(TRIM(D200))=0</formula>
    </cfRule>
    <cfRule type="expression" dxfId="1536" priority="216">
      <formula>input_mgmt_principal_storage_chosen="VMFS on Fibre Channel (FC)"</formula>
    </cfRule>
  </conditionalFormatting>
  <conditionalFormatting sqref="D201:D202">
    <cfRule type="expression" dxfId="1535" priority="16">
      <formula>mgmt_gateway_routing_type_chosen="STATIC"</formula>
    </cfRule>
    <cfRule type="expression" dxfId="1534" priority="17">
      <formula>OR((mgmt_domain_result="Excluded"),(mgmt_vns_result="Excluded"))</formula>
    </cfRule>
    <cfRule type="expression" dxfId="1533" priority="15">
      <formula>mgmt_vns_chosen="Distributed Connectivity"</formula>
    </cfRule>
    <cfRule type="expression" dxfId="1532" priority="14">
      <formula>AND((mgmt_tier0_skip_chosen="Selected"),OR((gmt_nsxt_federation_chosen="Standby Global Manager"),(mgmt_nsxt_federation_chosen="Connect Instance")))</formula>
    </cfRule>
    <cfRule type="expression" dxfId="1531" priority="8">
      <formula>mgmt_vns_result="Excluded"</formula>
    </cfRule>
  </conditionalFormatting>
  <conditionalFormatting sqref="D208">
    <cfRule type="expression" dxfId="1530" priority="707">
      <formula>mgmt_avi_loadbalancer_result="Excluded"</formula>
    </cfRule>
    <cfRule type="expression" dxfId="1529" priority="710">
      <formula>mgmt_domain_result="Excluded"</formula>
    </cfRule>
  </conditionalFormatting>
  <conditionalFormatting sqref="D210">
    <cfRule type="expression" dxfId="1528" priority="482">
      <formula>mgmt_avi_loadbalancer_result="Excluded"</formula>
    </cfRule>
  </conditionalFormatting>
  <conditionalFormatting sqref="D212:D218">
    <cfRule type="expression" dxfId="1527" priority="711">
      <formula>mgmt_avi_loadbalancer_result="Excluded"</formula>
    </cfRule>
  </conditionalFormatting>
  <conditionalFormatting sqref="D225:D228">
    <cfRule type="expression" dxfId="1526" priority="321">
      <formula>mgmt_stretched_cluster_result="Excluded"</formula>
    </cfRule>
  </conditionalFormatting>
  <conditionalFormatting sqref="D230:D245">
    <cfRule type="expression" dxfId="1525" priority="320">
      <formula>mgmt_stretched_cluster_result="Excluded"</formula>
    </cfRule>
  </conditionalFormatting>
  <conditionalFormatting sqref="D249">
    <cfRule type="expression" dxfId="1524" priority="63">
      <formula>OR((mgmt_domain_result="Excluded"),(mgmt_stretched_cluster_result="Excluded"))</formula>
    </cfRule>
  </conditionalFormatting>
  <conditionalFormatting sqref="D250">
    <cfRule type="expression" dxfId="1523" priority="360">
      <formula>OR((mgmt_domain_result="Excluded"),(mgmt_stretched_cluster_result="Excluded"))</formula>
    </cfRule>
  </conditionalFormatting>
  <conditionalFormatting sqref="D252:D258 D260:D266 D268:D274">
    <cfRule type="expression" dxfId="1522" priority="60">
      <formula>mgmt_az2_reuse_vcf_networkpool_chosen="Re-use an existing VCF Network Pool"</formula>
    </cfRule>
  </conditionalFormatting>
  <conditionalFormatting sqref="D259">
    <cfRule type="expression" dxfId="1521" priority="464">
      <formula>mgmt_domain_existing_vcenter_chosen="Selected"</formula>
    </cfRule>
    <cfRule type="containsBlanks" dxfId="1520" priority="466">
      <formula>LEN(TRIM(D259))=0</formula>
    </cfRule>
    <cfRule type="notContainsBlanks" dxfId="1518" priority="467">
      <formula>LEN(TRIM(D259))&gt;0</formula>
    </cfRule>
    <cfRule type="expression" dxfId="1517" priority="463">
      <formula>input_mgmt_principal_storage_chosen="VMFS on Fibre Channel (FC)"</formula>
    </cfRule>
  </conditionalFormatting>
  <conditionalFormatting sqref="D268:D274 D252:D258 D260:D266">
    <cfRule type="expression" dxfId="1516" priority="246">
      <formula>mgmt_stretched_cluster_result="Excluded"</formula>
    </cfRule>
  </conditionalFormatting>
  <conditionalFormatting sqref="D268:D274">
    <cfRule type="expression" dxfId="1515" priority="186">
      <formula>mgmt_principal_storage_chosen&lt;&gt;"NFSv3"</formula>
    </cfRule>
  </conditionalFormatting>
  <conditionalFormatting sqref="D272">
    <cfRule type="expression" dxfId="1514" priority="401">
      <formula>AND((wld_host_overlay_addressing_result="Included"),(ISBLANK(input_wld_az1_host_overlay_gateway_ip)))</formula>
    </cfRule>
  </conditionalFormatting>
  <conditionalFormatting sqref="D279:D300">
    <cfRule type="expression" dxfId="1513" priority="373">
      <formula>mgmt_stretched_cluster_result="Excluded"</formula>
    </cfRule>
  </conditionalFormatting>
  <conditionalFormatting sqref="D303">
    <cfRule type="expression" dxfId="1512" priority="366">
      <formula>mgmt_domain_existing_vcenter_chosen="Selected"</formula>
    </cfRule>
  </conditionalFormatting>
  <conditionalFormatting sqref="D305:D308">
    <cfRule type="expression" dxfId="1511" priority="309">
      <formula>mgmt_stretched_cluster_result="Excluded"</formula>
    </cfRule>
  </conditionalFormatting>
  <conditionalFormatting sqref="D310:D327 D345:D374">
    <cfRule type="expression" dxfId="1510" priority="64" stopIfTrue="1">
      <formula>mgmt_stretched_cluster_result="Excluded"</formula>
    </cfRule>
  </conditionalFormatting>
  <conditionalFormatting sqref="D327">
    <cfRule type="expression" dxfId="1509" priority="480">
      <formula>AND((mgmt_stretched_cluster_result="Excluded"),(wld_stretched_cluster_result="Excluded"))</formula>
    </cfRule>
  </conditionalFormatting>
  <conditionalFormatting sqref="D329:D332 D334:D336 D338:D340 D378 D380:D381 D383:D393">
    <cfRule type="expression" dxfId="1508" priority="247" stopIfTrue="1">
      <formula>mgmt_stretched_cluster_result="Excluded"</formula>
    </cfRule>
  </conditionalFormatting>
  <conditionalFormatting sqref="D378 D380:D381 D383:D393">
    <cfRule type="expression" dxfId="1507" priority="394">
      <formula>OR((mgmt_stretched_cluster_result="Excluded"),(mgmt_vns_chosen&lt;&gt;"Centralized Connectivity"))</formula>
    </cfRule>
  </conditionalFormatting>
  <conditionalFormatting sqref="D398 D400:D415 D417:D432 D434:D450 D452:D466 D474:D476">
    <cfRule type="expression" dxfId="1506" priority="37">
      <formula>OR((mgmt_nsxt_federation_result="Excluded"),(mgmt_nsxt_federation_chosen="Connect Instance"))</formula>
    </cfRule>
  </conditionalFormatting>
  <conditionalFormatting sqref="D453:D454">
    <cfRule type="expression" dxfId="1505" priority="705">
      <formula>OR((mgmt_domain_result="Excluded"),(mgmt_nsxt_federation_result="Excluded"))</formula>
    </cfRule>
    <cfRule type="expression" dxfId="1504" priority="706">
      <formula>mgmt_domain_result="Excluded"</formula>
    </cfRule>
  </conditionalFormatting>
  <conditionalFormatting sqref="D468:D472">
    <cfRule type="expression" dxfId="1503" priority="702">
      <formula>OR((mgmt_nsxt_federation_result="Excluded"),(mgmt_nsxt_federation_chosen="Connect Instance"))</formula>
    </cfRule>
  </conditionalFormatting>
  <conditionalFormatting sqref="D469">
    <cfRule type="expression" dxfId="1502" priority="701">
      <formula>mgmt_domain_result="Excluded"</formula>
    </cfRule>
  </conditionalFormatting>
  <conditionalFormatting sqref="D475">
    <cfRule type="expression" dxfId="1501" priority="692">
      <formula>mgmt_nsxt_federation_result="Excluded"</formula>
    </cfRule>
  </conditionalFormatting>
  <conditionalFormatting sqref="D478">
    <cfRule type="expression" dxfId="1500" priority="59">
      <formula>OR((mgmt_nsxt_federation_result="Excluded"),(mgmt_nsxt_federation_chosen="Connect Instance"),(mgmt_signed_certs_result="Excluded"))</formula>
    </cfRule>
  </conditionalFormatting>
  <conditionalFormatting sqref="D480:D483">
    <cfRule type="expression" dxfId="1499" priority="58">
      <formula>OR((mgmt_nsxt_federation_result="Excluded"),(mgmt_nsxt_federation_chosen="Connect Instance"),(mgmt_signed_certs_result="Excluded"))</formula>
    </cfRule>
  </conditionalFormatting>
  <conditionalFormatting sqref="D481">
    <cfRule type="expression" dxfId="1498" priority="676">
      <formula>mgmt_domain_result="Excluded"</formula>
    </cfRule>
    <cfRule type="expression" dxfId="1497" priority="683">
      <formula>OR((mgmt_nsxt_federation_result="Excluded"),(mgmt_nsxt_federation_chosen="Connect Instance"))</formula>
    </cfRule>
  </conditionalFormatting>
  <conditionalFormatting sqref="D485:D488">
    <cfRule type="expression" dxfId="1496" priority="46">
      <formula>OR((mgmt_nsxt_federation_result="Excluded"),(mgmt_nsxt_federation_chosen="Connect Instance"),(mgmt_signed_certs_result="Excluded"))</formula>
    </cfRule>
  </conditionalFormatting>
  <conditionalFormatting sqref="D486">
    <cfRule type="expression" dxfId="1495" priority="54">
      <formula>mgmt_domain_result="Excluded"</formula>
    </cfRule>
    <cfRule type="expression" dxfId="1494" priority="57">
      <formula>OR((mgmt_nsxt_federation_result="Excluded"),(mgmt_nsxt_federation_chosen="Connect Instance"))</formula>
    </cfRule>
  </conditionalFormatting>
  <conditionalFormatting sqref="D490:D491 D509:D519">
    <cfRule type="expression" dxfId="1493" priority="507">
      <formula>mgmt_nsxt_federation_result="Excluded"</formula>
    </cfRule>
  </conditionalFormatting>
  <conditionalFormatting sqref="D492:D493">
    <cfRule type="expression" dxfId="1492" priority="672">
      <formula>mgmt_nsxt_federation_result="Excluded"</formula>
    </cfRule>
  </conditionalFormatting>
  <conditionalFormatting sqref="D494:D495">
    <cfRule type="expression" dxfId="1491" priority="675" stopIfTrue="1">
      <formula>mgmt_nsxt_federation_result="Excluded"</formula>
    </cfRule>
  </conditionalFormatting>
  <conditionalFormatting sqref="D497:D498">
    <cfRule type="expression" dxfId="1490" priority="45">
      <formula>OR((mgmt_nsxt_federation_result="Excluded"),(mgmt_nsxt_federation_chosen&lt;&gt;"Active Global Manager"))</formula>
    </cfRule>
  </conditionalFormatting>
  <conditionalFormatting sqref="D500 D502:D507">
    <cfRule type="expression" dxfId="1489" priority="885">
      <formula>OR((mgmt_nsxt_federation_result="Excluded"),(mgmt_nsxt_federation_chosen&lt;&gt;"Standby Global Manager"))</formula>
    </cfRule>
  </conditionalFormatting>
  <conditionalFormatting sqref="D501">
    <cfRule type="expression" dxfId="1487" priority="671">
      <formula>mgmt_domain_result="Excluded"</formula>
    </cfRule>
    <cfRule type="expression" dxfId="1486" priority="661">
      <formula>OR((mgmt_nsxt_federation_result="Excluded"),(mgmt_nsxt_federation_chosen="Active Global Manager"),(mgmt_nsxt_federation_chosen="Connect Instance"))</formula>
    </cfRule>
  </conditionalFormatting>
  <conditionalFormatting sqref="D510">
    <cfRule type="expression" dxfId="1485" priority="534">
      <formula>OR((mgmt_domain_result="Excluded"),(mgmt_nsxt_federation_result="Excluded"))</formula>
    </cfRule>
    <cfRule type="expression" dxfId="1484" priority="656">
      <formula>mgmt_domain_result="Excluded"</formula>
    </cfRule>
  </conditionalFormatting>
  <conditionalFormatting sqref="D521:D525">
    <cfRule type="expression" dxfId="1483" priority="43">
      <formula>OR((mgmt_nsxt_federation_result="Excluded"),(mgmt_nsxt_federation_chosen&lt;&gt;"Active Global Manager"))</formula>
    </cfRule>
  </conditionalFormatting>
  <conditionalFormatting sqref="D523 D531:D570 D572:D575">
    <cfRule type="expression" dxfId="1482" priority="370">
      <formula>OR((mgmt_nsxt_federation_result="Excluded"),(mgmt_nsxt_federation_chosen="Active Global Manager"))</formula>
    </cfRule>
  </conditionalFormatting>
  <conditionalFormatting sqref="D527:D529">
    <cfRule type="expression" dxfId="1481" priority="38">
      <formula>OR((mgmt_nsxt_federation_result="Excluded"),(mgmt_nsxt_federation_chosen&lt;&gt;"Active Global Manager"))</formula>
    </cfRule>
  </conditionalFormatting>
  <conditionalFormatting sqref="D12:E12 B12">
    <cfRule type="expression" dxfId="1480" priority="238">
      <formula>AND((mgmt_signed_certs_chosen&lt;&gt;"Exclude"),(mgmt_signed_certs_result="Excluded"))</formula>
    </cfRule>
  </conditionalFormatting>
  <conditionalFormatting sqref="D12:E12">
    <cfRule type="expression" dxfId="1479" priority="912">
      <formula>(mgmt_signed_certs_result="Excluded")</formula>
    </cfRule>
    <cfRule type="expression" dxfId="1478" priority="913">
      <formula>(mgmt_signed_certs_chosen&lt;&gt;"Exclude")</formula>
    </cfRule>
  </conditionalFormatting>
  <conditionalFormatting sqref="D13:E13">
    <cfRule type="expression" dxfId="1477" priority="914">
      <formula>(mgmt_vns_result="Excluded")</formula>
    </cfRule>
    <cfRule type="expression" dxfId="1476" priority="915">
      <formula>(mgmt_vns_result="Included")</formula>
    </cfRule>
  </conditionalFormatting>
  <conditionalFormatting sqref="D15:E15">
    <cfRule type="expression" dxfId="1475" priority="925">
      <formula>(mgmt_stretched_cluster_result="Excluded")</formula>
    </cfRule>
    <cfRule type="expression" dxfId="1474" priority="927">
      <formula>AND((mgmt_stretched_cluster_chosen="Include"),(mgmt_stretched_cluster_result="Included"))</formula>
    </cfRule>
  </conditionalFormatting>
  <conditionalFormatting sqref="D16:E16">
    <cfRule type="expression" dxfId="1473" priority="910">
      <formula>AND((vcf_granular_option_chosen&lt;&gt;"Deploy a VCF Instance in an existing VCF fleet"),(vcf_granular_option_chosen&lt;&gt;"Deploy a new VCF fleet"),(vcf_granular_option_chosen&lt;&gt;"Cluster"),(vcf_granular_option_chosen&lt;&gt;"One or More VVDs"))</formula>
    </cfRule>
    <cfRule type="expression" dxfId="1472" priority="911">
      <formula>(mgmt_nsxt_federation_chosen="Exclude")</formula>
    </cfRule>
    <cfRule type="expression" dxfId="1471" priority="921">
      <formula>AND((mgmt_nsxt_federation_chosen&lt;&gt;"Exclude"),(mgmt_nsxt_federation_result="Excluded"))</formula>
    </cfRule>
  </conditionalFormatting>
  <conditionalFormatting sqref="E15">
    <cfRule type="containsText" dxfId="1469" priority="916" operator="containsText" text="Note:">
      <formula>NOT(ISERROR(SEARCH("Note:",E15)))</formula>
    </cfRule>
  </conditionalFormatting>
  <conditionalFormatting sqref="E279:E294">
    <cfRule type="expression" dxfId="1468"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3"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E5"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6"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6" location="'Deploy Management Domain'!L94" display="Values are set based on vSphere Cluster configuration in the Deploy Management Domain Tab" xr:uid="{00000000-0004-0000-0400-00000A000000}"/>
    <hyperlink ref="E130" location="'Deploy Management Domain'!L115" display="Values are set based on Datastoreconfiguration in the Deploy Management Domain Tab" xr:uid="{00000000-0004-0000-0400-00000B000000}"/>
    <hyperlink ref="E132" location="'Deploy Management Domain'!L199" display="Values are set based on VM Management Network configuration in the Deploy Management Domain Tab" xr:uid="{00000000-0004-0000-0400-00000C000000}"/>
    <hyperlink ref="E134" location="'Deploy Management Domain'!L155" display="'Deploy Management Domain'!L155" xr:uid="{00000000-0004-0000-0400-00000D000000}"/>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D500:D507 D42:D45 D58:D65 D47:D50 D52:D56 D33:D35 D37:D40 D99:D109 D111:D123 D125:D135 D137:D150 D158:D171 D173:D186 D212:D218 D208 D452:D466 D468:D472 D474:D476 D480:D483 D490:D495 D509:D519 D67:D73 D75:D84 D210 D310:D327 D268:D274 D378 D380:D381 D383:D393 D279:D300 D521:D525 D531:D570 D572:D575 D249:D250 D225:D228 D230:D245 D305:D308 D329:D332 D334:D336 D338:D340 D252:D258 D260:D266 D152:D156 D92:D93 D95:D97 D188:D189 D345:D374 D478 D485:D488 D497:D498 D527:D529 D398 D400:D415 D417:D432 D434:D450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5" activePane="bottomLeft" state="frozen"/>
      <selection pane="bottomLeft"/>
    </sheetView>
  </sheetViews>
  <sheetFormatPr defaultColWidth="11" defaultRowHeight="15.75" x14ac:dyDescent="0.25"/>
  <cols>
    <col min="1" max="1" width="2.875" customWidth="1"/>
    <col min="2" max="3" width="75.875" customWidth="1"/>
    <col min="4" max="4" width="75.875" style="303" customWidth="1"/>
    <col min="5" max="5" width="128.625" style="303" customWidth="1"/>
  </cols>
  <sheetData>
    <row r="1" spans="1:7" s="8" customFormat="1" ht="15" x14ac:dyDescent="0.2">
      <c r="A1" s="118"/>
      <c r="D1" s="2"/>
      <c r="E1" s="2"/>
    </row>
    <row r="2" spans="1:7" s="8" customFormat="1" ht="54" customHeight="1" x14ac:dyDescent="0.2">
      <c r="A2" s="121"/>
      <c r="B2" s="521" t="s">
        <v>974</v>
      </c>
      <c r="C2" s="521"/>
      <c r="D2" s="521"/>
      <c r="E2" s="521"/>
    </row>
    <row r="3" spans="1:7" s="19" customFormat="1" ht="20.100000000000001" customHeight="1" x14ac:dyDescent="0.2">
      <c r="A3" s="42"/>
      <c r="B3" s="522" t="s">
        <v>502</v>
      </c>
      <c r="C3" s="522"/>
      <c r="D3" s="522"/>
      <c r="E3" s="522"/>
    </row>
    <row r="4" spans="1:7" s="8" customFormat="1" ht="15" x14ac:dyDescent="0.2">
      <c r="D4" s="2"/>
      <c r="E4" s="2"/>
    </row>
    <row r="5" spans="1:7" s="8" customFormat="1" ht="33.950000000000003" customHeight="1" x14ac:dyDescent="0.2">
      <c r="B5" s="340" t="s">
        <v>975</v>
      </c>
      <c r="C5" s="341"/>
      <c r="D5" s="341"/>
      <c r="E5" s="309"/>
    </row>
    <row r="6" spans="1:7" s="8" customFormat="1" ht="20.100000000000001" customHeight="1" x14ac:dyDescent="0.2">
      <c r="B6" s="346" t="s">
        <v>124</v>
      </c>
      <c r="C6" s="346" t="s">
        <v>38</v>
      </c>
      <c r="D6" s="346" t="s">
        <v>125</v>
      </c>
      <c r="E6" s="310" t="s">
        <v>126</v>
      </c>
    </row>
    <row r="7" spans="1:7" s="8" customFormat="1" ht="20.100000000000001" customHeight="1" x14ac:dyDescent="0.2">
      <c r="A7" s="120"/>
      <c r="B7" s="281" t="s">
        <v>4021</v>
      </c>
      <c r="C7" s="255" t="s">
        <v>976</v>
      </c>
      <c r="D7" s="282" t="str">
        <f>IF(flt_custom_network_chosen="Exclude","Excluded",
IF(AND(flt_custom_network_chosen="NSX Overlay Segment",mgmt_vns_chosen&lt;&gt;"Centralized Connectivity"),"Excluded","Included"))</f>
        <v>Included</v>
      </c>
      <c r="E7" s="282"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20"/>
      <c r="G7" s="120"/>
    </row>
    <row r="8" spans="1:7" s="8" customFormat="1" ht="20.100000000000001" customHeight="1" x14ac:dyDescent="0.2">
      <c r="A8" s="120"/>
      <c r="B8" s="281" t="s">
        <v>228</v>
      </c>
      <c r="C8" s="255" t="s">
        <v>977</v>
      </c>
      <c r="D8" s="282"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2"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20"/>
      <c r="G8" s="120"/>
    </row>
    <row r="9" spans="1:7" s="8" customFormat="1" ht="20.100000000000001" customHeight="1" x14ac:dyDescent="0.2">
      <c r="B9" s="355" t="s">
        <v>228</v>
      </c>
      <c r="C9" s="362" t="s">
        <v>978</v>
      </c>
      <c r="D9" s="112" t="str">
        <f>IF(mgmt_domain_deployment_type_chosen="VMware vSphere Foundation","Excluded",IF(flt_vidb_chosen&lt;&gt;"Exclude","Included","Excluded"))</f>
        <v>Excluded</v>
      </c>
      <c r="E9" s="112"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8" customFormat="1" ht="20.100000000000001" customHeight="1" x14ac:dyDescent="0.2">
      <c r="A10" s="120"/>
      <c r="B10" s="281" t="s">
        <v>228</v>
      </c>
      <c r="C10" s="84" t="s">
        <v>979</v>
      </c>
      <c r="D10" s="282" t="str">
        <f>IF(mgmt_domain_deployment_type_chosen="VMware vSphere Foundation","Excluded",IF(flt_logs_chosen&lt;&gt;"Exclude","Included","Excluded"))</f>
        <v>Excluded</v>
      </c>
      <c r="E10" s="282"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20"/>
      <c r="G10" s="120"/>
    </row>
    <row r="11" spans="1:7" s="8" customFormat="1" ht="20.100000000000001" customHeight="1" x14ac:dyDescent="0.2">
      <c r="A11" s="120"/>
      <c r="B11" s="281" t="s">
        <v>228</v>
      </c>
      <c r="C11" s="84" t="s">
        <v>980</v>
      </c>
      <c r="D11" s="282" t="str">
        <f>IF(mgmt_domain_deployment_type_chosen="VMware vSphere Foundation","Excluded",IF(flt_net_chosen&lt;&gt;"Exclude","Included","Excluded"))</f>
        <v>Excluded</v>
      </c>
      <c r="E11" s="282"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20"/>
      <c r="G11" s="120"/>
    </row>
    <row r="13" spans="1:7" s="8" customFormat="1" ht="33.950000000000003" customHeight="1" x14ac:dyDescent="0.2">
      <c r="B13" s="505" t="s">
        <v>981</v>
      </c>
      <c r="C13" s="506"/>
      <c r="D13" s="506"/>
      <c r="E13" s="507"/>
    </row>
    <row r="14" spans="1:7" s="8" customFormat="1" ht="20.100000000000001" customHeight="1" x14ac:dyDescent="0.2">
      <c r="A14" s="120"/>
      <c r="B14" s="346" t="s">
        <v>37</v>
      </c>
      <c r="C14" s="346" t="s">
        <v>276</v>
      </c>
      <c r="D14" s="346" t="s">
        <v>277</v>
      </c>
      <c r="E14" s="310" t="s">
        <v>5</v>
      </c>
      <c r="F14" s="120"/>
      <c r="G14" s="120"/>
    </row>
    <row r="15" spans="1:7" s="8" customFormat="1" ht="20.100000000000001" customHeight="1" x14ac:dyDescent="0.2">
      <c r="B15" s="4" t="s">
        <v>982</v>
      </c>
      <c r="C15" s="362" t="s">
        <v>267</v>
      </c>
      <c r="D15" s="347" t="s">
        <v>267</v>
      </c>
      <c r="E15" s="337" t="s">
        <v>983</v>
      </c>
    </row>
    <row r="16" spans="1:7" s="8" customFormat="1" ht="20.100000000000001" customHeight="1" x14ac:dyDescent="0.2">
      <c r="B16" s="414" t="s">
        <v>984</v>
      </c>
      <c r="C16" s="415"/>
      <c r="D16" s="415"/>
      <c r="E16" s="416"/>
    </row>
    <row r="17" spans="2:5" s="8" customFormat="1" ht="20.100000000000001" customHeight="1" x14ac:dyDescent="0.2">
      <c r="B17" s="4" t="s">
        <v>985</v>
      </c>
      <c r="C17" s="362" t="str">
        <f>CONCATENATE(this_instance,"-m01-cl01-vds01-pg-vm-mgmt")</f>
        <v>sfo-m01-cl01-vds01-pg-vm-mgmt</v>
      </c>
      <c r="D17" s="287"/>
      <c r="E17" s="337"/>
    </row>
    <row r="18" spans="2:5" s="8" customFormat="1" ht="20.100000000000001" customHeight="1" x14ac:dyDescent="0.2">
      <c r="B18" s="4" t="s">
        <v>986</v>
      </c>
      <c r="C18" s="362" t="s">
        <v>612</v>
      </c>
      <c r="D18" s="347"/>
      <c r="E18" s="337"/>
    </row>
    <row r="19" spans="2:5" s="8" customFormat="1" ht="20.100000000000001" customHeight="1" x14ac:dyDescent="0.2">
      <c r="B19" s="4" t="s">
        <v>987</v>
      </c>
      <c r="C19" s="362" t="str">
        <f>IF(AND( LEFT(vcf_version_chosen,3)&lt;&gt;"9.0",mgmt_domain_ops_automation_later_chosen="Selected",flt_custom_network_chosen="Dedicated Management Network"),
IF(
mgmt_dpg_reuse_result="Included",
CONCATENATE(prefix_flt_shared_cidr,".1"),
CONCATENATE(prefix_flt_shared_cidr,".1")
),
IF(AND( LEFT(vcf_version_chosen,3)&lt;&gt;"9.0",mgmt_domain_ops_automation_later_chosen="Selected",flt_custom_network_chosen="Shared Management Network"),
IF(
mgmt_dpg_reuse_result="Included",
CONCATENATE(prefix_mgmt_az1_cidr,"10.1"),
CONCATENATE(prefix_mgmt_az1_cidr,"11.1")
),
IF(AND( LEFT(vcf_version_chosen,3)&lt;&gt;"9.0",mgmt_domain_ops_automation_later_chosen="Selected",flt_custom_network_chosen="NSX Overlay Segment"),
CONCATENATE(prefix_xreg_cidr,".1"),
IF(AND( LEFT(vcf_version_chosen,3)&lt;&gt;"9.0",mgmt_domain_ops_automation_later_chosen="Selected",flt_custom_network_chosen="NSX VLAN Segment"),
CONCATENATE(prefix_flt_shared_cidr,".1"),
IF(mgmt_dpg_reuse_result="Included",
CONCATENATE(prefix_mgmt_az1_cidr,"10.11"),
CONCATENATE(prefix_mgmt_az1_cidr,"11.11")
)
))))</f>
        <v>10.11.10.11</v>
      </c>
      <c r="D19" s="287"/>
      <c r="E19" s="337"/>
    </row>
    <row r="20" spans="2:5" s="8" customFormat="1" ht="20.100000000000001" customHeight="1" x14ac:dyDescent="0.2">
      <c r="B20" s="414" t="s">
        <v>988</v>
      </c>
      <c r="C20" s="415"/>
      <c r="D20" s="415"/>
      <c r="E20" s="416"/>
    </row>
    <row r="21" spans="2:5" s="8" customFormat="1" ht="20.100000000000001" customHeight="1" x14ac:dyDescent="0.2">
      <c r="B21" s="4" t="s">
        <v>985</v>
      </c>
      <c r="C21"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287"/>
      <c r="E21" s="337" t="s">
        <v>989</v>
      </c>
    </row>
    <row r="22" spans="2:5" s="8" customFormat="1" ht="20.100000000000001" customHeight="1" x14ac:dyDescent="0.2">
      <c r="B22" s="4" t="s">
        <v>986</v>
      </c>
      <c r="C22" s="362" t="s">
        <v>612</v>
      </c>
      <c r="D22" s="347"/>
      <c r="E22" s="337"/>
    </row>
    <row r="23" spans="2:5" s="8" customFormat="1" ht="20.100000000000001" customHeight="1" x14ac:dyDescent="0.2">
      <c r="B23" s="4" t="s">
        <v>987</v>
      </c>
      <c r="C2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287"/>
      <c r="E23" s="337"/>
    </row>
    <row r="24" spans="2:5" s="8" customFormat="1" ht="20.100000000000001" customHeight="1" x14ac:dyDescent="0.2">
      <c r="B24" s="414" t="s">
        <v>990</v>
      </c>
      <c r="C24" s="415"/>
      <c r="D24" s="415"/>
      <c r="E24" s="416"/>
    </row>
    <row r="25" spans="2:5" s="8" customFormat="1" ht="20.100000000000001" customHeight="1" x14ac:dyDescent="0.2">
      <c r="B25" s="4" t="s">
        <v>991</v>
      </c>
      <c r="C25" s="362" t="b">
        <v>0</v>
      </c>
      <c r="D25" s="347"/>
      <c r="E25" s="337"/>
    </row>
    <row r="26" spans="2:5" s="8" customFormat="1" ht="20.100000000000001" customHeight="1" x14ac:dyDescent="0.2">
      <c r="B26" s="4" t="s">
        <v>527</v>
      </c>
      <c r="C26" s="362" t="str">
        <f>CONCATENATE(prefix_portable_component,"-fm01.",sample_parent_dns_zone)</f>
        <v>flt-fm01.rainpole.io</v>
      </c>
      <c r="D26" s="347"/>
      <c r="E26" s="337"/>
    </row>
    <row r="27" spans="2:5" s="8" customFormat="1" ht="20.100000000000001" customHeight="1" x14ac:dyDescent="0.2">
      <c r="B27" s="4" t="s">
        <v>992</v>
      </c>
      <c r="C27" s="362" t="str">
        <f>IF(flt_custom_network_chosen="Shared Management Network",IF(mgmt_dpg_reuse_result="Included",CONCATENATE(prefix_mgmt_az1_cidr,"10.28"),CONCATENATE(prefix_mgmt_az1_cidr,"11.28")),IF(flt_custom_network_chosen="NSX Overlay Segment",CONCATENATE(prefix_xreg_cidr,".28"),CONCATENATE(prefix_flt_shared_cidr,".28")))</f>
        <v>10.11.10.28</v>
      </c>
      <c r="D27" s="347"/>
      <c r="E27" s="337"/>
    </row>
    <row r="28" spans="2:5" s="8" customFormat="1" ht="20.100000000000001" customHeight="1" x14ac:dyDescent="0.2">
      <c r="B28" s="4" t="s">
        <v>993</v>
      </c>
      <c r="C28" s="362" t="s">
        <v>297</v>
      </c>
      <c r="D28" s="347"/>
      <c r="E28" s="337"/>
    </row>
    <row r="29" spans="2:5" s="8" customFormat="1" ht="20.100000000000001" customHeight="1" x14ac:dyDescent="0.2">
      <c r="B29" s="4" t="s">
        <v>994</v>
      </c>
      <c r="C29" s="362" t="s">
        <v>297</v>
      </c>
      <c r="D29" s="347"/>
      <c r="E29" s="337"/>
    </row>
    <row r="30" spans="2:5" s="8" customFormat="1" ht="20.100000000000001" customHeight="1" x14ac:dyDescent="0.2">
      <c r="B30" s="414" t="s">
        <v>995</v>
      </c>
      <c r="C30" s="415"/>
      <c r="D30" s="415"/>
      <c r="E30" s="416"/>
    </row>
    <row r="31" spans="2:5" s="8" customFormat="1" ht="20.100000000000001" customHeight="1" x14ac:dyDescent="0.2">
      <c r="B31" s="4" t="s">
        <v>991</v>
      </c>
      <c r="C31" s="362" t="b">
        <v>0</v>
      </c>
      <c r="D31" s="347"/>
      <c r="E31" s="337"/>
    </row>
    <row r="32" spans="2:5" s="8" customFormat="1" ht="20.100000000000001" customHeight="1" x14ac:dyDescent="0.2">
      <c r="B32" s="4" t="s">
        <v>996</v>
      </c>
      <c r="C32" s="362" t="str">
        <f>CONCATENATE(prefix_portable_component,"-ops01.",sample_parent_dns_zone)</f>
        <v>flt-ops01.rainpole.io</v>
      </c>
      <c r="D32" s="347"/>
      <c r="E32" s="337"/>
    </row>
    <row r="33" spans="2:5" s="8" customFormat="1" ht="20.100000000000001" customHeight="1" x14ac:dyDescent="0.2">
      <c r="B33" s="4" t="s">
        <v>326</v>
      </c>
      <c r="C33" s="80" t="str">
        <f>CONCATENATE(prefix_portable_component,"-ops01a.",sample_parent_dns_zone)</f>
        <v>flt-ops01a.rainpole.io</v>
      </c>
      <c r="D33" s="347"/>
      <c r="E33" s="337"/>
    </row>
    <row r="34" spans="2:5" s="8" customFormat="1" ht="20.100000000000001" customHeight="1" x14ac:dyDescent="0.2">
      <c r="B34" s="4" t="s">
        <v>327</v>
      </c>
      <c r="C34" s="80" t="str">
        <f>CONCATENATE(prefix_portable_component,"-ops01b.",sample_parent_dns_zone)</f>
        <v>flt-ops01b.rainpole.io</v>
      </c>
      <c r="D34" s="347"/>
      <c r="E34" s="337"/>
    </row>
    <row r="35" spans="2:5" s="8" customFormat="1" ht="20.100000000000001" customHeight="1" x14ac:dyDescent="0.2">
      <c r="B35" s="4" t="s">
        <v>328</v>
      </c>
      <c r="C35" s="80" t="str">
        <f>CONCATENATE(prefix_portable_component,"-ops01c.",sample_parent_dns_zone)</f>
        <v>flt-ops01c.rainpole.io</v>
      </c>
      <c r="D35" s="347"/>
      <c r="E35" s="337"/>
    </row>
    <row r="36" spans="2:5" s="8" customFormat="1" ht="20.100000000000001" customHeight="1" x14ac:dyDescent="0.2">
      <c r="B36" s="4" t="s">
        <v>997</v>
      </c>
      <c r="C36" s="80"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36" s="347"/>
      <c r="E36" s="337" t="s">
        <v>333</v>
      </c>
    </row>
    <row r="37" spans="2:5" s="8" customFormat="1" ht="20.100000000000001" customHeight="1" x14ac:dyDescent="0.2">
      <c r="B37" s="4" t="s">
        <v>998</v>
      </c>
      <c r="C37" s="80"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37" s="347"/>
      <c r="E37" s="337"/>
    </row>
    <row r="38" spans="2:5" s="8" customFormat="1" ht="20.100000000000001" customHeight="1" x14ac:dyDescent="0.2">
      <c r="B38" s="4" t="s">
        <v>999</v>
      </c>
      <c r="C38" s="80"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38" s="347"/>
      <c r="E38" s="337"/>
    </row>
    <row r="39" spans="2:5" s="8" customFormat="1" ht="20.100000000000001" customHeight="1" x14ac:dyDescent="0.2">
      <c r="B39" s="4" t="s">
        <v>1000</v>
      </c>
      <c r="C39" s="80"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39" s="347"/>
      <c r="E39" s="337"/>
    </row>
    <row r="40" spans="2:5" s="8" customFormat="1" ht="20.100000000000001" customHeight="1" x14ac:dyDescent="0.2">
      <c r="B40" s="4" t="s">
        <v>1001</v>
      </c>
      <c r="C40" s="362" t="s">
        <v>214</v>
      </c>
      <c r="D40" s="347" t="s">
        <v>214</v>
      </c>
      <c r="E40" s="337"/>
    </row>
    <row r="41" spans="2:5" s="8" customFormat="1" ht="20.100000000000001" customHeight="1" x14ac:dyDescent="0.2">
      <c r="B41" s="4" t="s">
        <v>330</v>
      </c>
      <c r="C41" s="362" t="s">
        <v>297</v>
      </c>
      <c r="D41" s="347"/>
      <c r="E41" s="337"/>
    </row>
    <row r="42" spans="2:5" s="8" customFormat="1" ht="20.100000000000001" customHeight="1" x14ac:dyDescent="0.2">
      <c r="B42" s="4" t="s">
        <v>674</v>
      </c>
      <c r="C42" s="362" t="s">
        <v>297</v>
      </c>
      <c r="D42" s="347"/>
      <c r="E42" s="337"/>
    </row>
    <row r="43" spans="2:5" s="8" customFormat="1" ht="20.100000000000001" customHeight="1" x14ac:dyDescent="0.2">
      <c r="B43" s="414" t="s">
        <v>1002</v>
      </c>
      <c r="C43" s="415"/>
      <c r="D43" s="415"/>
      <c r="E43" s="416"/>
    </row>
    <row r="44" spans="2:5" s="8" customFormat="1" ht="20.100000000000001" customHeight="1" x14ac:dyDescent="0.2">
      <c r="B44" s="4" t="s">
        <v>527</v>
      </c>
      <c r="C44" s="362" t="str">
        <f>CONCATENATE(this_instance,"-cp01.",sample_child_dns_zone)</f>
        <v>sfo-cp01.sfo.rainpole.io</v>
      </c>
      <c r="D44" s="347"/>
      <c r="E44" s="337"/>
    </row>
    <row r="45" spans="2:5" s="8" customFormat="1" ht="20.100000000000001" customHeight="1" x14ac:dyDescent="0.2">
      <c r="B45" s="4" t="s">
        <v>730</v>
      </c>
      <c r="C45" s="362" t="str">
        <f>IF(AND( LEFT(vcf_version_chosen,3)&lt;&gt;"9.0",mgmt_domain_ops_automation_later_chosen="Selected",flt_custom_network_chosen="Dedicated Management Network"),
IF(
mgmt_dpg_reuse_result="Included",
CONCATENATE(prefix_flt_shared_cidr,".12"),
CONCATENATE(prefix_flt_shared_cidr,".12")
),
IF(AND( LEFT(vcf_version_chosen,3)&lt;&gt;"9.0",mgmt_domain_ops_automation_later_chosen="Selected",flt_custom_network_chosen="Shared Management Network"),
IF(
mgmt_dpg_reuse_result="Included",
CONCATENATE(prefix_mgmt_az1_cidr,"10.12"),
CONCATENATE(prefix_mgmt_az1_cidr,"11.12")
),
IF(AND( LEFT(vcf_version_chosen,3)&lt;&gt;"9.0",mgmt_domain_ops_automation_later_chosen="Selected",flt_custom_network_chosen="NSX Overlay Segment"),
CONCATENATE(prefix_xreg_cidr,".12"),
IF(AND( LEFT(vcf_version_chosen,3)&lt;&gt;"9.0",mgmt_domain_ops_automation_later_chosen="Selected",flt_custom_network_chosen="NSX VLAN Segment"),
CONCATENATE(prefix_flt_shared_cidr,".12"
),
IF(mgmt_dpg_reuse_result="Included",
CONCATENATE(prefix_mgmt_az1_cidr,"10.12"),
CONCATENATE(prefix_mgmt_az1_cidr,"11.12")
)
))))</f>
        <v>10.11.10.12</v>
      </c>
      <c r="D45" s="347"/>
      <c r="E45" s="337"/>
    </row>
    <row r="46" spans="2:5" s="8" customFormat="1" ht="20.100000000000001" customHeight="1" x14ac:dyDescent="0.2">
      <c r="B46" s="4" t="s">
        <v>121</v>
      </c>
      <c r="C46" s="362" t="s">
        <v>127</v>
      </c>
      <c r="D46" s="347"/>
      <c r="E46" s="337"/>
    </row>
    <row r="47" spans="2:5" s="8" customFormat="1" ht="20.100000000000001" customHeight="1" x14ac:dyDescent="0.2">
      <c r="B47" s="4" t="s">
        <v>1001</v>
      </c>
      <c r="C47" s="362" t="s">
        <v>267</v>
      </c>
      <c r="D47" s="347" t="s">
        <v>267</v>
      </c>
      <c r="E47" s="337"/>
    </row>
    <row r="48" spans="2:5" s="8" customFormat="1" ht="20.100000000000001" customHeight="1" x14ac:dyDescent="0.2">
      <c r="B48" s="4" t="s">
        <v>330</v>
      </c>
      <c r="C48" s="362" t="s">
        <v>297</v>
      </c>
      <c r="D48" s="347"/>
      <c r="E48" s="337"/>
    </row>
    <row r="49" spans="2:5" s="8" customFormat="1" ht="20.100000000000001" customHeight="1" x14ac:dyDescent="0.2">
      <c r="B49" s="414" t="s">
        <v>1003</v>
      </c>
      <c r="C49" s="415"/>
      <c r="D49" s="415"/>
      <c r="E49" s="416"/>
    </row>
    <row r="50" spans="2:5" s="8" customFormat="1" ht="20.100000000000001" customHeight="1" x14ac:dyDescent="0.2">
      <c r="B50" s="4" t="s">
        <v>527</v>
      </c>
      <c r="C50" s="362" t="str">
        <f>CONCATENATE(prefix_portable_component,"-auto01.",sample_parent_dns_zone)</f>
        <v>flt-auto01.rainpole.io</v>
      </c>
      <c r="D50" s="347"/>
      <c r="E50" s="337"/>
    </row>
    <row r="51" spans="2:5" s="8" customFormat="1" ht="20.100000000000001" customHeight="1" x14ac:dyDescent="0.2">
      <c r="B51" s="4" t="s">
        <v>1004</v>
      </c>
      <c r="C51" s="362" t="str">
        <f>CONCATENATE(prefix_portable_component,"-auto")</f>
        <v>flt-auto</v>
      </c>
      <c r="D51" s="347"/>
      <c r="E51" s="337" t="s">
        <v>1005</v>
      </c>
    </row>
    <row r="52" spans="2:5" s="8" customFormat="1" ht="20.100000000000001" customHeight="1" x14ac:dyDescent="0.2">
      <c r="B52" s="4" t="s">
        <v>730</v>
      </c>
      <c r="C52"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52" s="347"/>
      <c r="E52" s="337"/>
    </row>
    <row r="53" spans="2:5" s="8" customFormat="1" ht="20.100000000000001" customHeight="1" x14ac:dyDescent="0.2">
      <c r="B53" s="4" t="s">
        <v>1006</v>
      </c>
      <c r="C5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53" s="347"/>
      <c r="E53" s="337" t="s">
        <v>1007</v>
      </c>
    </row>
    <row r="54" spans="2:5" s="8" customFormat="1" ht="20.100000000000001" customHeight="1" x14ac:dyDescent="0.2">
      <c r="B54" s="4" t="s">
        <v>1008</v>
      </c>
      <c r="C5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54" s="347"/>
      <c r="E54" s="337"/>
    </row>
    <row r="55" spans="2:5" s="8" customFormat="1" ht="20.100000000000001" customHeight="1" x14ac:dyDescent="0.2">
      <c r="B55" s="4" t="s">
        <v>1009</v>
      </c>
      <c r="C5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55" s="347"/>
      <c r="E55" s="337"/>
    </row>
    <row r="56" spans="2:5" s="8" customFormat="1" ht="20.100000000000001" customHeight="1" x14ac:dyDescent="0.2">
      <c r="B56" s="4" t="s">
        <v>1010</v>
      </c>
      <c r="C5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56" s="347"/>
      <c r="E56" s="337"/>
    </row>
    <row r="57" spans="2:5" s="8" customFormat="1" ht="20.100000000000001" customHeight="1" x14ac:dyDescent="0.2">
      <c r="B57" s="4" t="s">
        <v>1011</v>
      </c>
      <c r="C57" s="362" t="s">
        <v>348</v>
      </c>
      <c r="D57" s="347" t="s">
        <v>348</v>
      </c>
      <c r="E57" s="337" t="s">
        <v>1012</v>
      </c>
    </row>
    <row r="58" spans="2:5" ht="20.100000000000001" customHeight="1" x14ac:dyDescent="0.25">
      <c r="B58" s="4" t="s">
        <v>994</v>
      </c>
      <c r="C58" s="362" t="s">
        <v>297</v>
      </c>
      <c r="D58" s="347"/>
      <c r="E58" s="337"/>
    </row>
    <row r="59" spans="2:5" s="8" customFormat="1" ht="15.95" customHeight="1" x14ac:dyDescent="0.2">
      <c r="D59" s="303"/>
      <c r="E59" s="303"/>
    </row>
    <row r="60" spans="2:5" ht="33.950000000000003" customHeight="1" x14ac:dyDescent="0.25">
      <c r="B60" s="534" t="s">
        <v>1013</v>
      </c>
      <c r="C60" s="535"/>
      <c r="D60" s="535"/>
      <c r="E60" s="536"/>
    </row>
    <row r="61" spans="2:5" ht="20.100000000000001" customHeight="1" x14ac:dyDescent="0.25">
      <c r="B61" s="537" t="s">
        <v>1014</v>
      </c>
      <c r="C61" s="538"/>
      <c r="D61" s="538"/>
      <c r="E61" s="539"/>
    </row>
    <row r="62" spans="2:5" ht="20.100000000000001" customHeight="1" x14ac:dyDescent="0.25">
      <c r="B62" s="346" t="s">
        <v>37</v>
      </c>
      <c r="C62" s="346" t="s">
        <v>276</v>
      </c>
      <c r="D62" s="346" t="s">
        <v>277</v>
      </c>
      <c r="E62" s="310" t="s">
        <v>5</v>
      </c>
    </row>
    <row r="63" spans="2:5" ht="20.100000000000001" customHeight="1" x14ac:dyDescent="0.25">
      <c r="B63" s="4" t="s">
        <v>1015</v>
      </c>
      <c r="C63" s="362" t="s">
        <v>1016</v>
      </c>
      <c r="D63" s="347" t="s">
        <v>1016</v>
      </c>
      <c r="E63" s="337" t="s">
        <v>1017</v>
      </c>
    </row>
    <row r="64" spans="2:5" ht="20.100000000000001" customHeight="1" x14ac:dyDescent="0.25">
      <c r="B64" s="4" t="s">
        <v>121</v>
      </c>
      <c r="C64" s="362" t="s">
        <v>127</v>
      </c>
      <c r="D64" s="347"/>
      <c r="E64" s="337"/>
    </row>
    <row r="65" spans="2:5" ht="20.100000000000001" customHeight="1" x14ac:dyDescent="0.25">
      <c r="B65" s="4" t="s">
        <v>982</v>
      </c>
      <c r="C65" s="362" t="s">
        <v>189</v>
      </c>
      <c r="D65" s="347" t="s">
        <v>189</v>
      </c>
      <c r="E65" s="337"/>
    </row>
    <row r="66" spans="2:5" ht="20.100000000000001" customHeight="1" x14ac:dyDescent="0.25">
      <c r="B66" s="414" t="s">
        <v>1018</v>
      </c>
      <c r="C66" s="415"/>
      <c r="D66" s="415"/>
      <c r="E66" s="416"/>
    </row>
    <row r="67" spans="2:5" ht="20.100000000000001" customHeight="1" x14ac:dyDescent="0.25">
      <c r="B67" s="4" t="s">
        <v>1019</v>
      </c>
      <c r="C67" s="101" t="s">
        <v>1020</v>
      </c>
      <c r="D67" s="347" t="s">
        <v>1020</v>
      </c>
      <c r="E67" s="337"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100000000000001" customHeight="1" x14ac:dyDescent="0.25">
      <c r="B68" s="4" t="s">
        <v>1021</v>
      </c>
      <c r="C68" s="101" t="str">
        <f>CONCATENATE(prefix_portable_component,"-auto01","-cert")</f>
        <v>flt-auto01-cert</v>
      </c>
      <c r="D68" s="347"/>
      <c r="E68" s="337"/>
    </row>
    <row r="69" spans="2:5" ht="20.100000000000001" customHeight="1" x14ac:dyDescent="0.25">
      <c r="B69" s="4" t="s">
        <v>1022</v>
      </c>
      <c r="C69" s="101" t="str">
        <f>CONCATENATE(prefix_portable_component,"-auto01","-cert.pem")</f>
        <v>flt-auto01-cert.pem</v>
      </c>
      <c r="D69" s="347"/>
      <c r="E69" s="337"/>
    </row>
    <row r="70" spans="2:5" ht="20.100000000000001" customHeight="1" x14ac:dyDescent="0.25">
      <c r="B70" s="4" t="s">
        <v>1023</v>
      </c>
      <c r="C70" s="101" t="str">
        <f>CONCATENATE(prefix_portable_component,"-auto01.",sample_parent_dns_zone)</f>
        <v>flt-auto01.rainpole.io</v>
      </c>
      <c r="D70" s="347"/>
      <c r="E70" s="337"/>
    </row>
    <row r="71" spans="2:5" ht="20.100000000000001" customHeight="1" x14ac:dyDescent="0.25">
      <c r="B71" s="4" t="s">
        <v>1024</v>
      </c>
      <c r="C71" s="101" t="s">
        <v>74</v>
      </c>
      <c r="D71" s="347"/>
      <c r="E71" s="337"/>
    </row>
    <row r="72" spans="2:5" ht="20.100000000000001" customHeight="1" x14ac:dyDescent="0.25">
      <c r="B72" s="4" t="s">
        <v>1025</v>
      </c>
      <c r="C72" s="101" t="s">
        <v>548</v>
      </c>
      <c r="D72" s="347"/>
      <c r="E72" s="337"/>
    </row>
    <row r="73" spans="2:5" ht="20.100000000000001" customHeight="1" x14ac:dyDescent="0.25">
      <c r="B73" s="4" t="s">
        <v>1026</v>
      </c>
      <c r="C73" s="101" t="s">
        <v>550</v>
      </c>
      <c r="D73" s="347"/>
      <c r="E73" s="337"/>
    </row>
    <row r="74" spans="2:5" ht="20.100000000000001" customHeight="1" x14ac:dyDescent="0.25">
      <c r="B74" s="4" t="s">
        <v>1027</v>
      </c>
      <c r="C74" s="101" t="s">
        <v>554</v>
      </c>
      <c r="D74" s="347"/>
      <c r="E74" s="337"/>
    </row>
    <row r="75" spans="2:5" ht="20.100000000000001" customHeight="1" x14ac:dyDescent="0.25">
      <c r="B75" s="4" t="s">
        <v>1028</v>
      </c>
      <c r="C75" s="101" t="s">
        <v>552</v>
      </c>
      <c r="D75" s="347"/>
      <c r="E75" s="337"/>
    </row>
    <row r="76" spans="2:5" ht="20.100000000000001" customHeight="1" x14ac:dyDescent="0.25">
      <c r="B76" s="4" t="s">
        <v>1029</v>
      </c>
      <c r="C76" s="101">
        <v>4096</v>
      </c>
      <c r="D76" s="347" t="s">
        <v>1030</v>
      </c>
      <c r="E76" s="337"/>
    </row>
    <row r="77" spans="2:5" ht="20.100000000000001" customHeight="1" x14ac:dyDescent="0.25">
      <c r="B77" s="4" t="s">
        <v>1031</v>
      </c>
      <c r="C77" s="101" t="str">
        <f>CONCATENATE(prefix_portable_component,"-auto01.",sample_parent_dns_zone)</f>
        <v>flt-auto01.rainpole.io</v>
      </c>
      <c r="D77" s="347"/>
      <c r="E77" s="337" t="s">
        <v>1032</v>
      </c>
    </row>
    <row r="78" spans="2:5" ht="20.100000000000001" customHeight="1" x14ac:dyDescent="0.25">
      <c r="B78" s="17" t="s">
        <v>730</v>
      </c>
      <c r="C78"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78" s="347"/>
      <c r="E78" s="337"/>
    </row>
    <row r="79" spans="2:5" ht="20.100000000000001" customHeight="1" x14ac:dyDescent="0.25">
      <c r="B79" s="4" t="s">
        <v>1033</v>
      </c>
      <c r="C79" s="362" t="str">
        <f>sample_vcf_automation_cert_alias</f>
        <v>flt-auto01-cert</v>
      </c>
      <c r="D79" s="347"/>
      <c r="E79" s="337"/>
    </row>
    <row r="80" spans="2:5" ht="20.100000000000001" customHeight="1" x14ac:dyDescent="0.25">
      <c r="B80" s="414" t="s">
        <v>1034</v>
      </c>
      <c r="C80" s="415"/>
      <c r="D80" s="415"/>
      <c r="E80" s="416"/>
    </row>
    <row r="81" spans="2:5" ht="20.100000000000001" customHeight="1" x14ac:dyDescent="0.25">
      <c r="B81" s="4" t="s">
        <v>1035</v>
      </c>
      <c r="C81" s="362" t="str">
        <f>sample_mgmt_vc_fqdn</f>
        <v>sfo-m01-vc01.sfo.rainpole.io</v>
      </c>
      <c r="D81" s="337" t="str">
        <f>mgmt_vc_fqdn</f>
        <v>labvcvcf01v.vcf.lab.local</v>
      </c>
      <c r="E81" s="337"/>
    </row>
    <row r="82" spans="2:5" ht="20.100000000000001" customHeight="1" x14ac:dyDescent="0.25">
      <c r="B82" s="4" t="s">
        <v>1036</v>
      </c>
      <c r="C82" s="362" t="str">
        <f>CONCATENATE(sample_mgmt_datacenter,"#",sample_mgmt_cl01_cluster)</f>
        <v>sfo-m01-dc01#sfo-m01-cl01</v>
      </c>
      <c r="D82" s="347"/>
      <c r="E82" s="337"/>
    </row>
    <row r="83" spans="2:5" ht="20.100000000000001" customHeight="1" x14ac:dyDescent="0.25">
      <c r="B83" s="4" t="s">
        <v>1037</v>
      </c>
      <c r="C83" s="362" t="str">
        <f>CONCATENATE(this_instance,"-m01-cl01-fd-vcfauto01")</f>
        <v>sfo-m01-cl01-fd-vcfauto01</v>
      </c>
      <c r="D83" s="347"/>
      <c r="E83" s="337" t="s">
        <v>1038</v>
      </c>
    </row>
    <row r="84" spans="2:5" ht="20.100000000000001" customHeight="1" x14ac:dyDescent="0.25">
      <c r="B84" s="4" t="s">
        <v>1039</v>
      </c>
      <c r="C84" s="362" t="str">
        <f>CONCATENATE(this_instance,"-m01-cl01-rp-vcfauto01")</f>
        <v>sfo-m01-cl01-rp-vcfauto01</v>
      </c>
      <c r="D84" s="347"/>
      <c r="E84" s="337" t="s">
        <v>1038</v>
      </c>
    </row>
    <row r="85" spans="2:5" ht="20.100000000000001" customHeight="1" x14ac:dyDescent="0.25">
      <c r="B85" s="4" t="s">
        <v>1040</v>
      </c>
      <c r="C8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347"/>
      <c r="E85" s="337" t="s">
        <v>1038</v>
      </c>
    </row>
    <row r="86" spans="2:5" ht="20.100000000000001" customHeight="1" x14ac:dyDescent="0.25">
      <c r="B86" s="4" t="s">
        <v>1041</v>
      </c>
      <c r="C86" s="362" t="str">
        <f>sample_mgmt_cl01_vsan_datastore</f>
        <v>sfo-m01-cl01-ds-vsan01</v>
      </c>
      <c r="D86" s="337"/>
      <c r="E86" s="337"/>
    </row>
    <row r="87" spans="2:5" ht="20.100000000000001" customHeight="1" x14ac:dyDescent="0.25">
      <c r="B87" s="414" t="s">
        <v>706</v>
      </c>
      <c r="C87" s="415"/>
      <c r="D87" s="415"/>
      <c r="E87" s="416"/>
    </row>
    <row r="88" spans="2:5" ht="20.100000000000001" customHeight="1" x14ac:dyDescent="0.25">
      <c r="B88" s="4" t="s">
        <v>354</v>
      </c>
      <c r="C88" s="362" t="str">
        <f>sample_parent_dns_zone</f>
        <v>rainpole.io</v>
      </c>
      <c r="D88" s="337" t="str">
        <f>parent_dns_zone</f>
        <v>vcf.lab.local</v>
      </c>
      <c r="E88" s="337"/>
    </row>
    <row r="89" spans="2:5" ht="20.100000000000001" customHeight="1" x14ac:dyDescent="0.25">
      <c r="B89" s="4" t="s">
        <v>1042</v>
      </c>
      <c r="C89" s="362" t="str">
        <f>sample_parent_dns_zone</f>
        <v>rainpole.io</v>
      </c>
      <c r="D89" s="337" t="str">
        <f>parent_dns_zone</f>
        <v>vcf.lab.local</v>
      </c>
      <c r="E89" s="337"/>
    </row>
    <row r="90" spans="2:5" ht="20.100000000000001" customHeight="1" x14ac:dyDescent="0.25">
      <c r="B90" s="4" t="s">
        <v>1043</v>
      </c>
      <c r="C90" s="126" t="str">
        <f>CONCATENATE(sample_region_dns1_ip,",",sample_region_dns2_ip)</f>
        <v>10.11.10.4,10.11.10.5</v>
      </c>
      <c r="D90" s="337" t="str">
        <f>CONCATENATE(region_dns1_ip,",",region_dns2_ip)</f>
        <v>10.255.50.26,Value Missing</v>
      </c>
      <c r="E90" s="337"/>
    </row>
    <row r="91" spans="2:5" ht="20.100000000000001" customHeight="1" x14ac:dyDescent="0.25">
      <c r="B91" s="4" t="s">
        <v>1044</v>
      </c>
      <c r="C91" s="126" t="s">
        <v>1045</v>
      </c>
      <c r="D91" s="347" t="s">
        <v>1045</v>
      </c>
      <c r="E91" s="337"/>
    </row>
    <row r="92" spans="2:5" ht="20.100000000000001" customHeight="1" x14ac:dyDescent="0.25">
      <c r="B92" s="4" t="s">
        <v>746</v>
      </c>
      <c r="C92" s="362" t="str">
        <f>CONCATENATE(sample_region_ntp1_server,",",sample_region_ntp2_server)</f>
        <v>ntp0.sfo.rainpole.io,ntp1.sfo.rainpole.io</v>
      </c>
      <c r="D92" s="337" t="str">
        <f>CONCATENATE(region_ntp1_server,",",region_ntp2_server)</f>
        <v>10.255.50.26,Value Missing</v>
      </c>
      <c r="E92" s="337"/>
    </row>
    <row r="93" spans="2:5" ht="20.100000000000001" customHeight="1" x14ac:dyDescent="0.25">
      <c r="B93" s="4" t="s">
        <v>1046</v>
      </c>
      <c r="C9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337"/>
      <c r="E93" s="337"/>
    </row>
    <row r="94" spans="2:5" ht="20.100000000000001" customHeight="1" x14ac:dyDescent="0.25">
      <c r="B94" s="4" t="s">
        <v>1047</v>
      </c>
      <c r="C94" s="362" t="s">
        <v>612</v>
      </c>
      <c r="D94" s="337"/>
      <c r="E94" s="337"/>
    </row>
    <row r="95" spans="2:5" ht="20.100000000000001" customHeight="1" x14ac:dyDescent="0.25">
      <c r="B95" s="414" t="s">
        <v>1048</v>
      </c>
      <c r="C95" s="415"/>
      <c r="D95" s="415"/>
      <c r="E95" s="416"/>
    </row>
    <row r="96" spans="2:5" ht="20.100000000000001" customHeight="1" x14ac:dyDescent="0.25">
      <c r="B96" s="17" t="s">
        <v>1049</v>
      </c>
      <c r="C96" s="283" t="s">
        <v>1050</v>
      </c>
      <c r="D96" s="284"/>
      <c r="E96" s="337"/>
    </row>
    <row r="97" spans="2:5" ht="20.100000000000001" customHeight="1" x14ac:dyDescent="0.25">
      <c r="B97" s="22" t="s">
        <v>1051</v>
      </c>
      <c r="C97" s="285" t="s">
        <v>297</v>
      </c>
      <c r="D97" s="284"/>
      <c r="E97" s="337"/>
    </row>
    <row r="98" spans="2:5" ht="20.100000000000001" customHeight="1" x14ac:dyDescent="0.25">
      <c r="B98" s="22" t="s">
        <v>1052</v>
      </c>
      <c r="C98" s="285" t="s">
        <v>1053</v>
      </c>
      <c r="D98" s="284"/>
      <c r="E98" s="337"/>
    </row>
    <row r="99" spans="2:5" ht="20.100000000000001" customHeight="1" x14ac:dyDescent="0.25">
      <c r="B99" s="22" t="s">
        <v>1054</v>
      </c>
      <c r="C99" s="285" t="s">
        <v>878</v>
      </c>
      <c r="D99" s="284"/>
      <c r="E99" s="337"/>
    </row>
    <row r="100" spans="2:5" ht="20.100000000000001" customHeight="1" x14ac:dyDescent="0.25">
      <c r="B100" s="4" t="s">
        <v>1055</v>
      </c>
      <c r="C100" s="101" t="str">
        <f>CONCATENATE(prefix_portable_component,"-auto01","-password")</f>
        <v>flt-auto01-password</v>
      </c>
      <c r="D100" s="347"/>
      <c r="E100" s="337"/>
    </row>
    <row r="101" spans="2:5" ht="20.100000000000001" customHeight="1" x14ac:dyDescent="0.25">
      <c r="B101" s="4" t="s">
        <v>330</v>
      </c>
      <c r="C101" s="101" t="s">
        <v>297</v>
      </c>
      <c r="D101" s="347"/>
      <c r="E101" s="337"/>
    </row>
    <row r="102" spans="2:5" ht="20.100000000000001" customHeight="1" x14ac:dyDescent="0.25">
      <c r="B102" s="4" t="s">
        <v>1056</v>
      </c>
      <c r="C102" s="101" t="s">
        <v>1057</v>
      </c>
      <c r="D102" s="347"/>
      <c r="E102" s="337"/>
    </row>
    <row r="103" spans="2:5" ht="20.100000000000001" customHeight="1" x14ac:dyDescent="0.25">
      <c r="B103" s="4" t="s">
        <v>1058</v>
      </c>
      <c r="C103" s="87" t="s">
        <v>717</v>
      </c>
      <c r="D103" s="86"/>
      <c r="E103" s="337"/>
    </row>
    <row r="104" spans="2:5" ht="20.100000000000001" customHeight="1" x14ac:dyDescent="0.25">
      <c r="B104" s="4" t="s">
        <v>1059</v>
      </c>
      <c r="C104" s="101" t="str">
        <f>sample_mgmt_vc_fqdn</f>
        <v>sfo-m01-vc01.sfo.rainpole.io</v>
      </c>
      <c r="D104" s="86"/>
      <c r="E104" s="337"/>
    </row>
    <row r="105" spans="2:5" ht="20.100000000000001" customHeight="1" x14ac:dyDescent="0.25">
      <c r="B105" s="22" t="s">
        <v>527</v>
      </c>
      <c r="C105" s="87" t="str">
        <f>sample_vcf_automation_vip_fqdn</f>
        <v>flt-auto01.rainpole.io</v>
      </c>
      <c r="D105" s="337" t="str">
        <f t="array" ref="D105">vcf_automation_vip_fqdn</f>
        <v>Value Missing</v>
      </c>
      <c r="E105" s="337"/>
    </row>
    <row r="106" spans="2:5" ht="20.100000000000001" customHeight="1" x14ac:dyDescent="0.25">
      <c r="B106" s="22" t="s">
        <v>1018</v>
      </c>
      <c r="C106" s="87" t="str">
        <f>sample_vcf_automation_cert_alias</f>
        <v>flt-auto01-cert</v>
      </c>
      <c r="D106" s="337" t="str">
        <f t="array" ref="D106">vcf_automation_cert_alias</f>
        <v>Value Missing</v>
      </c>
      <c r="E106" s="337"/>
    </row>
    <row r="107" spans="2:5" ht="20.100000000000001" customHeight="1" x14ac:dyDescent="0.25">
      <c r="B107" s="22" t="s">
        <v>527</v>
      </c>
      <c r="C107" s="87" t="str">
        <f>sample_vcf_automation_vip_fqdn</f>
        <v>flt-auto01.rainpole.io</v>
      </c>
      <c r="D107" s="337" t="str">
        <f t="array" ref="D107">vcf_automation_vip_fqdn</f>
        <v>Value Missing</v>
      </c>
      <c r="E107" s="337"/>
    </row>
    <row r="108" spans="2:5" ht="20.100000000000001" customHeight="1" x14ac:dyDescent="0.25">
      <c r="B108" s="22" t="s">
        <v>1060</v>
      </c>
      <c r="C108" s="87" t="s">
        <v>1061</v>
      </c>
      <c r="D108" s="347" t="s">
        <v>1061</v>
      </c>
      <c r="E108" s="337"/>
    </row>
    <row r="109" spans="2:5" ht="20.100000000000001" customHeight="1" x14ac:dyDescent="0.25">
      <c r="B109" s="22" t="s">
        <v>1004</v>
      </c>
      <c r="C109" s="87" t="str">
        <f>CONCATENATE(prefix_portable_component,"-auto")</f>
        <v>flt-auto</v>
      </c>
      <c r="D109" s="347" t="s">
        <v>1062</v>
      </c>
      <c r="E109" s="337" t="s">
        <v>1005</v>
      </c>
    </row>
    <row r="110" spans="2:5" ht="20.100000000000001" customHeight="1" x14ac:dyDescent="0.25">
      <c r="B110" s="22" t="s">
        <v>1063</v>
      </c>
      <c r="C110" s="362" t="str">
        <f>sample_vcf_automation_vip_ip</f>
        <v>10.11.10.25</v>
      </c>
      <c r="D110" s="337" t="str">
        <f t="array" ref="D110">vcf_automation_vip_ip</f>
        <v>Value Missing</v>
      </c>
      <c r="E110" s="337"/>
    </row>
    <row r="111" spans="2:5" ht="20.100000000000001" customHeight="1" x14ac:dyDescent="0.25">
      <c r="B111" s="22" t="s">
        <v>347</v>
      </c>
      <c r="C111" s="87" t="s">
        <v>1064</v>
      </c>
      <c r="D111" s="347" t="s">
        <v>1064</v>
      </c>
      <c r="E111" s="337" t="s">
        <v>1012</v>
      </c>
    </row>
    <row r="112" spans="2:5" ht="20.100000000000001" customHeight="1" x14ac:dyDescent="0.25">
      <c r="B112" s="22" t="s">
        <v>1065</v>
      </c>
      <c r="C112" s="87" t="s">
        <v>496</v>
      </c>
      <c r="D112" s="347"/>
      <c r="E112" s="337"/>
    </row>
    <row r="113" spans="2:5" ht="20.100000000000001" customHeight="1" x14ac:dyDescent="0.25">
      <c r="B113" s="22" t="s">
        <v>1066</v>
      </c>
      <c r="C11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113" s="347"/>
      <c r="E113" s="337"/>
    </row>
    <row r="114" spans="2:5" ht="20.100000000000001" customHeight="1" x14ac:dyDescent="0.25">
      <c r="B114" s="22" t="s">
        <v>1067</v>
      </c>
      <c r="C11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114" s="347"/>
      <c r="E114" s="337"/>
    </row>
    <row r="115" spans="2:5" ht="20.100000000000001" customHeight="1" x14ac:dyDescent="0.25">
      <c r="B115" s="22" t="s">
        <v>1068</v>
      </c>
      <c r="C11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115" s="347"/>
      <c r="E115" s="337"/>
    </row>
    <row r="116" spans="2:5" ht="20.100000000000001" customHeight="1" x14ac:dyDescent="0.25">
      <c r="B116" s="22" t="s">
        <v>1069</v>
      </c>
      <c r="C11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116" s="347"/>
      <c r="E116" s="337"/>
    </row>
    <row r="117" spans="2:5" s="8" customFormat="1" ht="15.95" customHeight="1" x14ac:dyDescent="0.2">
      <c r="D117" s="2"/>
      <c r="E117" s="2"/>
    </row>
    <row r="118" spans="2:5" s="8" customFormat="1" ht="33.950000000000003" customHeight="1" x14ac:dyDescent="0.2">
      <c r="B118" s="540" t="s">
        <v>1070</v>
      </c>
      <c r="C118" s="541"/>
      <c r="D118" s="541"/>
      <c r="E118" s="542"/>
    </row>
    <row r="119" spans="2:5" s="8" customFormat="1" ht="15.95" customHeight="1" x14ac:dyDescent="0.2">
      <c r="D119" s="2"/>
      <c r="E119" s="2"/>
    </row>
    <row r="120" spans="2:5" s="8" customFormat="1" ht="33.950000000000003" customHeight="1" x14ac:dyDescent="0.2">
      <c r="B120" s="534" t="s">
        <v>1071</v>
      </c>
      <c r="C120" s="535"/>
      <c r="D120" s="535"/>
      <c r="E120" s="536"/>
    </row>
    <row r="121" spans="2:5" s="8" customFormat="1" ht="20.100000000000001" customHeight="1" x14ac:dyDescent="0.2">
      <c r="B121" s="537" t="s">
        <v>1014</v>
      </c>
      <c r="C121" s="538"/>
      <c r="D121" s="538"/>
      <c r="E121" s="539"/>
    </row>
    <row r="122" spans="2:5" s="8" customFormat="1" ht="20.100000000000001" customHeight="1" x14ac:dyDescent="0.2">
      <c r="B122" s="346" t="s">
        <v>37</v>
      </c>
      <c r="C122" s="346" t="s">
        <v>276</v>
      </c>
      <c r="D122" s="346" t="s">
        <v>277</v>
      </c>
      <c r="E122" s="310" t="s">
        <v>5</v>
      </c>
    </row>
    <row r="123" spans="2:5" s="8" customFormat="1" ht="20.100000000000001" customHeight="1" x14ac:dyDescent="0.2">
      <c r="B123" s="4" t="s">
        <v>1015</v>
      </c>
      <c r="C123" s="362" t="s">
        <v>1016</v>
      </c>
      <c r="D123" s="347" t="s">
        <v>1016</v>
      </c>
      <c r="E123" s="337"/>
    </row>
    <row r="124" spans="2:5" s="8" customFormat="1" ht="20.100000000000001" customHeight="1" x14ac:dyDescent="0.2">
      <c r="B124" s="4" t="s">
        <v>121</v>
      </c>
      <c r="C124" s="362" t="s">
        <v>127</v>
      </c>
      <c r="D124" s="347"/>
      <c r="E124" s="337"/>
    </row>
    <row r="125" spans="2:5" s="8" customFormat="1" ht="20.100000000000001" customHeight="1" x14ac:dyDescent="0.2">
      <c r="B125" s="4" t="s">
        <v>982</v>
      </c>
      <c r="C125" s="362" t="s">
        <v>189</v>
      </c>
      <c r="D125" s="347" t="s">
        <v>189</v>
      </c>
      <c r="E125" s="337"/>
    </row>
    <row r="126" spans="2:5" s="8" customFormat="1" ht="20.100000000000001" customHeight="1" x14ac:dyDescent="0.2">
      <c r="B126" s="414" t="s">
        <v>1018</v>
      </c>
      <c r="C126" s="415"/>
      <c r="D126" s="415"/>
      <c r="E126" s="416"/>
    </row>
    <row r="127" spans="2:5" s="8" customFormat="1" ht="20.100000000000001" customHeight="1" x14ac:dyDescent="0.2">
      <c r="B127" s="4" t="s">
        <v>1019</v>
      </c>
      <c r="C127" s="101" t="s">
        <v>1020</v>
      </c>
      <c r="D127" s="347" t="s">
        <v>1020</v>
      </c>
      <c r="E127" s="337"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8" customFormat="1" ht="20.100000000000001" customHeight="1" x14ac:dyDescent="0.2">
      <c r="B128" s="4" t="s">
        <v>1021</v>
      </c>
      <c r="C128" s="101" t="str">
        <f>CONCATENATE(prefix_portable_component,"-idb01","-cert")</f>
        <v>flt-idb01-cert</v>
      </c>
      <c r="D128" s="347"/>
      <c r="E128" s="337"/>
    </row>
    <row r="129" spans="2:5" s="8" customFormat="1" ht="20.100000000000001" customHeight="1" x14ac:dyDescent="0.2">
      <c r="B129" s="4" t="s">
        <v>1022</v>
      </c>
      <c r="C129" s="101" t="str">
        <f>CONCATENATE(prefix_portable_component,"-idb01","-cert.pem")</f>
        <v>flt-idb01-cert.pem</v>
      </c>
      <c r="D129" s="347"/>
      <c r="E129" s="337"/>
    </row>
    <row r="130" spans="2:5" s="8" customFormat="1" ht="20.100000000000001" customHeight="1" x14ac:dyDescent="0.2">
      <c r="B130" s="4" t="s">
        <v>1023</v>
      </c>
      <c r="C130" s="101" t="str">
        <f>CONCATENATE(prefix_portable_component,"-idb01",".",sample_parent_dns_zone)</f>
        <v>flt-idb01.rainpole.io</v>
      </c>
      <c r="D130" s="347"/>
      <c r="E130" s="337"/>
    </row>
    <row r="131" spans="2:5" s="8" customFormat="1" ht="20.100000000000001" customHeight="1" x14ac:dyDescent="0.2">
      <c r="B131" s="4" t="s">
        <v>1024</v>
      </c>
      <c r="C131" s="101" t="s">
        <v>74</v>
      </c>
      <c r="D131" s="347"/>
      <c r="E131" s="337"/>
    </row>
    <row r="132" spans="2:5" s="8" customFormat="1" ht="20.100000000000001" customHeight="1" x14ac:dyDescent="0.2">
      <c r="B132" s="4" t="s">
        <v>1025</v>
      </c>
      <c r="C132" s="101" t="s">
        <v>548</v>
      </c>
      <c r="D132" s="347"/>
      <c r="E132" s="337"/>
    </row>
    <row r="133" spans="2:5" s="8" customFormat="1" ht="20.100000000000001" customHeight="1" x14ac:dyDescent="0.2">
      <c r="B133" s="4" t="s">
        <v>1026</v>
      </c>
      <c r="C133" s="101" t="s">
        <v>550</v>
      </c>
      <c r="D133" s="347"/>
      <c r="E133" s="337"/>
    </row>
    <row r="134" spans="2:5" s="8" customFormat="1" ht="20.100000000000001" customHeight="1" x14ac:dyDescent="0.2">
      <c r="B134" s="4" t="s">
        <v>1027</v>
      </c>
      <c r="C134" s="101" t="s">
        <v>554</v>
      </c>
      <c r="D134" s="347"/>
      <c r="E134" s="337"/>
    </row>
    <row r="135" spans="2:5" s="8" customFormat="1" ht="20.100000000000001" customHeight="1" x14ac:dyDescent="0.2">
      <c r="B135" s="4" t="s">
        <v>1028</v>
      </c>
      <c r="C135" s="101" t="s">
        <v>552</v>
      </c>
      <c r="D135" s="347"/>
      <c r="E135" s="337"/>
    </row>
    <row r="136" spans="2:5" s="8" customFormat="1" ht="20.100000000000001" customHeight="1" x14ac:dyDescent="0.2">
      <c r="B136" s="4" t="s">
        <v>1029</v>
      </c>
      <c r="C136" s="101">
        <v>4096</v>
      </c>
      <c r="D136" s="347" t="s">
        <v>1030</v>
      </c>
      <c r="E136" s="337"/>
    </row>
    <row r="137" spans="2:5" s="8" customFormat="1" ht="20.100000000000001" customHeight="1" x14ac:dyDescent="0.2">
      <c r="B137" s="4" t="s">
        <v>1072</v>
      </c>
      <c r="C137" s="101" t="str">
        <f>CONCATENATE(prefix_portable_component,"-idb01",".",sample_parent_dns_zone)</f>
        <v>flt-idb01.rainpole.io</v>
      </c>
      <c r="D137" s="347"/>
      <c r="E137" s="337"/>
    </row>
    <row r="138" spans="2:5" s="8" customFormat="1" ht="20.100000000000001" customHeight="1" x14ac:dyDescent="0.2">
      <c r="B138" s="4" t="s">
        <v>1073</v>
      </c>
      <c r="C138" s="101" t="str">
        <f>IF(flt_custom_network_chosen="Shared Management Network",IF(mgmt_dpg_reuse_result="Included",CONCATENATE(prefix_mgmt_az1_cidr,"10.23"),CONCATENATE(prefix_mgmt_az1_cidr,"11.23")),
IF(flt_custom_network_chosen="NSX Overlay Segment",CONCATENATE(prefix_xreg_cidr,".60"),CONCATENATE(prefix_flt_shared_cidr,".16")))</f>
        <v>10.11.10.23</v>
      </c>
      <c r="D138" s="347"/>
      <c r="E138" s="337"/>
    </row>
    <row r="139" spans="2:5" s="8" customFormat="1" ht="20.100000000000001" customHeight="1" x14ac:dyDescent="0.2">
      <c r="B139" s="4" t="s">
        <v>1033</v>
      </c>
      <c r="C139" s="362" t="str">
        <f>sample_flt_vidb_cert_alias</f>
        <v>flt-idb01-cert</v>
      </c>
      <c r="D139" s="337" t="str">
        <f>flt_vidb_cert_alias</f>
        <v>Value Missing</v>
      </c>
      <c r="E139" s="337"/>
    </row>
    <row r="140" spans="2:5" s="8" customFormat="1" ht="20.100000000000001" customHeight="1" x14ac:dyDescent="0.2">
      <c r="B140" s="414" t="s">
        <v>1034</v>
      </c>
      <c r="C140" s="415"/>
      <c r="D140" s="415"/>
      <c r="E140" s="416"/>
    </row>
    <row r="141" spans="2:5" s="8" customFormat="1" ht="20.100000000000001" customHeight="1" x14ac:dyDescent="0.2">
      <c r="B141" s="4" t="s">
        <v>1035</v>
      </c>
      <c r="C141" s="362" t="str">
        <f>CONCATENATE(this_instance,"-m01-vc01.",sample_child_dns_zone)</f>
        <v>sfo-m01-vc01.sfo.rainpole.io</v>
      </c>
      <c r="D141" s="347"/>
      <c r="E141" s="337"/>
    </row>
    <row r="142" spans="2:5" s="8" customFormat="1" ht="20.100000000000001" customHeight="1" x14ac:dyDescent="0.2">
      <c r="B142" s="4" t="s">
        <v>1036</v>
      </c>
      <c r="C142" s="362" t="str">
        <f>CONCATENATE(sample_mgmt_datacenter,"#",sample_mgmt_cl01_cluster)</f>
        <v>sfo-m01-dc01#sfo-m01-cl01</v>
      </c>
      <c r="D142" s="347"/>
      <c r="E142" s="337"/>
    </row>
    <row r="143" spans="2:5" s="8" customFormat="1" ht="20.100000000000001" customHeight="1" x14ac:dyDescent="0.2">
      <c r="B143" s="4" t="s">
        <v>1037</v>
      </c>
      <c r="C143" s="362" t="str">
        <f>CONCATENATE(this_instance,"-m01-cl01-fd-vcfauth01")</f>
        <v>sfo-m01-cl01-fd-vcfauth01</v>
      </c>
      <c r="D143" s="347"/>
      <c r="E143" s="337" t="s">
        <v>1038</v>
      </c>
    </row>
    <row r="144" spans="2:5" s="8" customFormat="1" ht="20.100000000000001" customHeight="1" x14ac:dyDescent="0.2">
      <c r="B144" s="4" t="s">
        <v>1039</v>
      </c>
      <c r="C144" s="362" t="str">
        <f>CONCATENATE(this_instance,"-m01-cl01-rp-vcfauth01")</f>
        <v>sfo-m01-cl01-rp-vcfauth01</v>
      </c>
      <c r="D144" s="347"/>
      <c r="E144" s="337" t="s">
        <v>1038</v>
      </c>
    </row>
    <row r="145" spans="2:5" s="8" customFormat="1" ht="20.100000000000001" customHeight="1" x14ac:dyDescent="0.2">
      <c r="B145" s="4" t="s">
        <v>1040</v>
      </c>
      <c r="C14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347"/>
      <c r="E145" s="337" t="s">
        <v>1038</v>
      </c>
    </row>
    <row r="146" spans="2:5" s="8" customFormat="1" ht="20.100000000000001" customHeight="1" x14ac:dyDescent="0.2">
      <c r="B146" s="4" t="s">
        <v>1041</v>
      </c>
      <c r="C146" s="362" t="str">
        <f>IF(mgmt_principal_storage_chosen="VMFS on Fibre Channel (FC)",CONCATENATE(this_instance,"-m01-cl01-ds-vmfs01"),IF(mgmt_principal_storage_chosen="NFSv3",CONCATENATE(this_instance,"-m01-cl01-ds-nfs01"),CONCATENATE(this_instance,"-m01-cl01-ds-vsan01")))</f>
        <v>sfo-m01-cl01-ds-vsan01</v>
      </c>
      <c r="D146" s="347"/>
      <c r="E146" s="337"/>
    </row>
    <row r="147" spans="2:5" s="8" customFormat="1" ht="20.100000000000001" customHeight="1" x14ac:dyDescent="0.2">
      <c r="B147" s="414" t="s">
        <v>706</v>
      </c>
      <c r="C147" s="415"/>
      <c r="D147" s="415"/>
      <c r="E147" s="416"/>
    </row>
    <row r="148" spans="2:5" s="8" customFormat="1" ht="20.100000000000001" customHeight="1" x14ac:dyDescent="0.2">
      <c r="B148" s="4" t="s">
        <v>354</v>
      </c>
      <c r="C148" s="362" t="str">
        <f>sample_parent_dns_zone</f>
        <v>rainpole.io</v>
      </c>
      <c r="D148" s="347" t="str">
        <f>parent_dns_zone</f>
        <v>vcf.lab.local</v>
      </c>
      <c r="E148" s="337"/>
    </row>
    <row r="149" spans="2:5" s="8" customFormat="1" ht="20.100000000000001" customHeight="1" x14ac:dyDescent="0.2">
      <c r="B149" s="4" t="s">
        <v>1042</v>
      </c>
      <c r="C149" s="362" t="str">
        <f>sample_parent_dns_zone</f>
        <v>rainpole.io</v>
      </c>
      <c r="D149" s="347" t="str">
        <f>parent_dns_zone</f>
        <v>vcf.lab.local</v>
      </c>
      <c r="E149" s="337"/>
    </row>
    <row r="150" spans="2:5" s="8" customFormat="1" ht="20.100000000000001" customHeight="1" x14ac:dyDescent="0.2">
      <c r="B150" s="4" t="s">
        <v>1043</v>
      </c>
      <c r="C150" s="126" t="str">
        <f>CONCATENATE(sample_region_dns1_ip,",",sample_region_dns2_ip)</f>
        <v>10.11.10.4,10.11.10.5</v>
      </c>
      <c r="D150" s="347" t="str">
        <f>CONCATENATE(region_dns1_ip,",",region_dns2_ip)</f>
        <v>10.255.50.26,Value Missing</v>
      </c>
      <c r="E150" s="337"/>
    </row>
    <row r="151" spans="2:5" s="8" customFormat="1" ht="20.100000000000001" customHeight="1" x14ac:dyDescent="0.2">
      <c r="B151" s="4" t="s">
        <v>1044</v>
      </c>
      <c r="C151" s="126" t="s">
        <v>1045</v>
      </c>
      <c r="D151" s="347" t="s">
        <v>1074</v>
      </c>
      <c r="E151" s="337"/>
    </row>
    <row r="152" spans="2:5" s="8" customFormat="1" ht="20.100000000000001" customHeight="1" x14ac:dyDescent="0.2">
      <c r="B152" s="4" t="s">
        <v>746</v>
      </c>
      <c r="C152" s="362" t="str">
        <f>CONCATENATE(sample_region_ntp1_server,",",sample_region_ntp2_server)</f>
        <v>ntp0.sfo.rainpole.io,ntp1.sfo.rainpole.io</v>
      </c>
      <c r="D152" s="347"/>
      <c r="E152" s="337"/>
    </row>
    <row r="153" spans="2:5" s="8" customFormat="1" ht="20.100000000000001" customHeight="1" x14ac:dyDescent="0.2">
      <c r="B153" s="4" t="s">
        <v>1046</v>
      </c>
      <c r="C15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347"/>
      <c r="E153" s="337"/>
    </row>
    <row r="154" spans="2:5" s="8" customFormat="1" ht="20.100000000000001" customHeight="1" x14ac:dyDescent="0.2">
      <c r="B154" s="4" t="s">
        <v>1047</v>
      </c>
      <c r="C154" s="362" t="s">
        <v>612</v>
      </c>
      <c r="D154" s="347"/>
      <c r="E154" s="337"/>
    </row>
    <row r="155" spans="2:5" s="8" customFormat="1" ht="20.100000000000001" customHeight="1" x14ac:dyDescent="0.2">
      <c r="B155" s="414" t="s">
        <v>1048</v>
      </c>
      <c r="C155" s="415"/>
      <c r="D155" s="415"/>
      <c r="E155" s="416"/>
    </row>
    <row r="156" spans="2:5" s="8" customFormat="1" ht="20.100000000000001" customHeight="1" x14ac:dyDescent="0.2">
      <c r="B156" s="17" t="s">
        <v>1075</v>
      </c>
      <c r="C156" s="101" t="str">
        <f>CONCATENATE(prefix_portable_component,"-idb01","-admin-password")</f>
        <v>flt-idb01-admin-password</v>
      </c>
      <c r="D156" s="347"/>
      <c r="E156" s="337"/>
    </row>
    <row r="157" spans="2:5" s="8" customFormat="1" ht="20.100000000000001" customHeight="1" x14ac:dyDescent="0.2">
      <c r="B157" s="22" t="s">
        <v>1051</v>
      </c>
      <c r="C157" s="101" t="s">
        <v>297</v>
      </c>
      <c r="D157" s="347"/>
      <c r="E157" s="337"/>
    </row>
    <row r="158" spans="2:5" s="8" customFormat="1" ht="20.100000000000001" customHeight="1" x14ac:dyDescent="0.2">
      <c r="B158" s="22" t="s">
        <v>1052</v>
      </c>
      <c r="C158" s="101" t="s">
        <v>1076</v>
      </c>
      <c r="D158" s="347"/>
      <c r="E158" s="337"/>
    </row>
    <row r="159" spans="2:5" s="8" customFormat="1" ht="20.100000000000001" customHeight="1" x14ac:dyDescent="0.2">
      <c r="B159" s="4" t="s">
        <v>1055</v>
      </c>
      <c r="C159" s="101" t="str">
        <f>CONCATENATE(prefix_portable_component,"-idb01","-password")</f>
        <v>flt-idb01-password</v>
      </c>
      <c r="D159" s="347"/>
      <c r="E159" s="337"/>
    </row>
    <row r="160" spans="2:5" s="8" customFormat="1" ht="20.100000000000001" customHeight="1" x14ac:dyDescent="0.2">
      <c r="B160" s="4" t="s">
        <v>330</v>
      </c>
      <c r="C160" s="101" t="s">
        <v>297</v>
      </c>
      <c r="D160" s="347"/>
      <c r="E160" s="337"/>
    </row>
    <row r="161" spans="2:5" s="8" customFormat="1" ht="20.100000000000001" customHeight="1" x14ac:dyDescent="0.2">
      <c r="B161" s="4" t="s">
        <v>1056</v>
      </c>
      <c r="C161" s="101" t="str">
        <f>CONCATENATE(prefix_portable_component,"-idb01","-password")</f>
        <v>flt-idb01-password</v>
      </c>
      <c r="D161" s="347"/>
      <c r="E161" s="337"/>
    </row>
    <row r="162" spans="2:5" s="8" customFormat="1" ht="20.100000000000001" customHeight="1" x14ac:dyDescent="0.2">
      <c r="B162" s="4" t="s">
        <v>294</v>
      </c>
      <c r="C162" s="101" t="s">
        <v>717</v>
      </c>
      <c r="D162" s="347"/>
      <c r="E162" s="337"/>
    </row>
    <row r="163" spans="2:5" s="8" customFormat="1" ht="20.100000000000001" customHeight="1" x14ac:dyDescent="0.2">
      <c r="B163" s="4" t="s">
        <v>1059</v>
      </c>
      <c r="C163" s="101" t="str">
        <f>CONCATENATE(this_instance,"-m01-vc01.",sample_child_dns_zone)</f>
        <v>sfo-m01-vc01.sfo.rainpole.io</v>
      </c>
      <c r="D163" s="347"/>
      <c r="E163" s="337"/>
    </row>
    <row r="164" spans="2:5" s="8" customFormat="1" ht="20.100000000000001" customHeight="1" x14ac:dyDescent="0.2">
      <c r="B164" s="4" t="s">
        <v>527</v>
      </c>
      <c r="C164" s="101" t="str">
        <f>sample_flt_vidb_vip_fqdn</f>
        <v>flt-idb01.rainpole.io</v>
      </c>
      <c r="D164" s="337" t="str">
        <f>flt_vidb_vip_fqdn</f>
        <v>Value Missing</v>
      </c>
      <c r="E164" s="337"/>
    </row>
    <row r="165" spans="2:5" s="8" customFormat="1" ht="20.100000000000001" customHeight="1" x14ac:dyDescent="0.2">
      <c r="B165" s="4" t="s">
        <v>1018</v>
      </c>
      <c r="C165" s="362" t="str">
        <f>sample_flt_vidb_cert_alias</f>
        <v>flt-idb01-cert</v>
      </c>
      <c r="D165" s="337" t="str">
        <f>flt_vidb_cert_alias</f>
        <v>Value Missing</v>
      </c>
      <c r="E165" s="337"/>
    </row>
    <row r="166" spans="2:5" s="8" customFormat="1" ht="20.100000000000001" customHeight="1" x14ac:dyDescent="0.2">
      <c r="B166" s="4" t="s">
        <v>1004</v>
      </c>
      <c r="C166" s="101" t="str">
        <f>CONCATENATE(prefix_portable_component,"-idb")</f>
        <v>flt-idb</v>
      </c>
      <c r="D166" s="347"/>
      <c r="E166" s="337" t="s">
        <v>1077</v>
      </c>
    </row>
    <row r="167" spans="2:5" s="8" customFormat="1" ht="20.100000000000001" customHeight="1" x14ac:dyDescent="0.2">
      <c r="B167" s="4" t="s">
        <v>347</v>
      </c>
      <c r="C167" s="101" t="s">
        <v>1078</v>
      </c>
      <c r="D167" s="347" t="s">
        <v>1078</v>
      </c>
      <c r="E167" s="337" t="s">
        <v>1012</v>
      </c>
    </row>
    <row r="168" spans="2:5" s="8" customFormat="1" ht="20.100000000000001" customHeight="1" x14ac:dyDescent="0.2">
      <c r="B168" s="4" t="s">
        <v>1063</v>
      </c>
      <c r="C168" s="101" t="str">
        <f>sample_flt_vidb_vip_ip</f>
        <v>10.11.10.23</v>
      </c>
      <c r="D168" s="337" t="str">
        <f t="array" ref="D168">flt_vidb_vip_ip</f>
        <v>Value Missing</v>
      </c>
      <c r="E168" s="337"/>
    </row>
    <row r="169" spans="2:5" s="8" customFormat="1" ht="20.100000000000001" customHeight="1" x14ac:dyDescent="0.2">
      <c r="B169" s="4" t="s">
        <v>1065</v>
      </c>
      <c r="C169" s="101" t="s">
        <v>496</v>
      </c>
      <c r="D169" s="347"/>
      <c r="E169" s="337"/>
    </row>
    <row r="170" spans="2:5" s="8" customFormat="1" ht="20.100000000000001" customHeight="1" x14ac:dyDescent="0.2">
      <c r="B170" s="4" t="s">
        <v>1066</v>
      </c>
      <c r="C170" s="101" t="str">
        <f>IF(flt_custom_network_chosen="Shared Management Network",IF(mgmt_dpg_reuse_result="Included",CONCATENATE(prefix_mgmt_az1_cidr,"10.55"),CONCATENATE(prefix_mgmt_az1_cidr,"11.55")),IF(flt_custom_network_chosen="NSX Overlay Segment",CONCATENATE(prefix_xreg_cidr,".55"),CONCATENATE(prefix_flt_shared_cidr,".55")))</f>
        <v>10.11.10.55</v>
      </c>
      <c r="D170" s="347"/>
      <c r="E170" s="337"/>
    </row>
    <row r="171" spans="2:5" s="8" customFormat="1" ht="20.100000000000001" customHeight="1" x14ac:dyDescent="0.2">
      <c r="B171" s="4" t="s">
        <v>1067</v>
      </c>
      <c r="C171" s="101" t="str">
        <f>IF(flt_custom_network_chosen="Shared Management Network",IF(mgmt_dpg_reuse_result="Included",CONCATENATE(prefix_mgmt_az1_cidr,"10.56"),CONCATENATE(prefix_mgmt_az1_cidr,"11.56")),IF(flt_custom_network_chosen="NSX Overlay Segment",CONCATENATE(prefix_xreg_cidr,".56"),CONCATENATE(prefix_flt_shared_cidr,".56")))</f>
        <v>10.11.10.56</v>
      </c>
      <c r="D171" s="347"/>
      <c r="E171" s="337"/>
    </row>
    <row r="172" spans="2:5" s="8" customFormat="1" ht="20.100000000000001" customHeight="1" x14ac:dyDescent="0.2">
      <c r="B172" s="74" t="s">
        <v>1068</v>
      </c>
      <c r="C172" s="101" t="str">
        <f>IF(flt_custom_network_chosen="Shared Management Network",IF(mgmt_dpg_reuse_result="Included",CONCATENATE(prefix_mgmt_az1_cidr,"10.57"),CONCATENATE(prefix_mgmt_az1_cidr,"11.57")),IF(flt_custom_network_chosen="NSX Overlay Segment",CONCATENATE(prefix_xreg_cidr,".57"),CONCATENATE(prefix_flt_shared_cidr,".57")))</f>
        <v>10.11.10.57</v>
      </c>
      <c r="D172" s="347"/>
      <c r="E172" s="186"/>
    </row>
    <row r="173" spans="2:5" s="8" customFormat="1" ht="20.100000000000001" customHeight="1" x14ac:dyDescent="0.2">
      <c r="B173" s="4" t="s">
        <v>1069</v>
      </c>
      <c r="C173" s="98" t="str">
        <f>IF(flt_custom_network_chosen="Shared Management Network",IF(mgmt_dpg_reuse_result="Included",CONCATENATE(prefix_mgmt_az1_cidr,"10.58"),CONCATENATE(prefix_mgmt_az1_cidr,"11.58")),IF(flt_custom_network_chosen="NSX Overlay Segment",CONCATENATE(prefix_xreg_cidr,".58"),CONCATENATE(prefix_flt_shared_cidr,".58")))</f>
        <v>10.11.10.58</v>
      </c>
      <c r="D173" s="347"/>
      <c r="E173" s="337"/>
    </row>
    <row r="174" spans="2:5" s="8" customFormat="1" ht="20.100000000000001" customHeight="1" x14ac:dyDescent="0.2">
      <c r="B174" s="414" t="s">
        <v>1079</v>
      </c>
      <c r="C174" s="415"/>
      <c r="D174" s="415"/>
      <c r="E174" s="416"/>
    </row>
    <row r="175" spans="2:5" s="8" customFormat="1" ht="20.100000000000001" customHeight="1" x14ac:dyDescent="0.2">
      <c r="B175" s="346" t="s">
        <v>37</v>
      </c>
      <c r="C175" s="346" t="s">
        <v>276</v>
      </c>
      <c r="D175" s="346" t="s">
        <v>277</v>
      </c>
      <c r="E175" s="310" t="s">
        <v>5</v>
      </c>
    </row>
    <row r="176" spans="2:5" s="8" customFormat="1" ht="20.100000000000001" customHeight="1" x14ac:dyDescent="0.2">
      <c r="B176" s="4" t="s">
        <v>1080</v>
      </c>
      <c r="C176" s="362" t="str">
        <f>sample_vcf_instance_name</f>
        <v>San Francisco</v>
      </c>
      <c r="D176" s="337" t="str">
        <f>vcf_instance_name</f>
        <v>Lab-Main-Site</v>
      </c>
      <c r="E176" s="337"/>
    </row>
    <row r="177" spans="2:5" s="8" customFormat="1" ht="20.100000000000001" customHeight="1" x14ac:dyDescent="0.2">
      <c r="B177" s="4" t="s">
        <v>1081</v>
      </c>
      <c r="C177" s="362" t="s">
        <v>1082</v>
      </c>
      <c r="D177" s="337" t="str">
        <f>flt_vidb_chosen</f>
        <v>Exclude</v>
      </c>
      <c r="E177" s="337"/>
    </row>
    <row r="178" spans="2:5" s="8" customFormat="1" ht="20.100000000000001" customHeight="1" x14ac:dyDescent="0.2">
      <c r="B178" s="4" t="s">
        <v>1083</v>
      </c>
      <c r="C178" s="362" t="s">
        <v>1084</v>
      </c>
      <c r="D178" s="347" t="s">
        <v>1084</v>
      </c>
      <c r="E178" s="337"/>
    </row>
    <row r="179" spans="2:5" s="8" customFormat="1" ht="20.100000000000001" customHeight="1" x14ac:dyDescent="0.2">
      <c r="B179" s="4" t="s">
        <v>1085</v>
      </c>
      <c r="C179" s="362" t="s">
        <v>74</v>
      </c>
      <c r="D179" s="347"/>
      <c r="E179" s="337"/>
    </row>
    <row r="180" spans="2:5" s="8" customFormat="1" ht="20.100000000000001" customHeight="1" x14ac:dyDescent="0.2">
      <c r="B180" s="4" t="s">
        <v>1086</v>
      </c>
      <c r="C180" s="362" t="s">
        <v>323</v>
      </c>
      <c r="D180" s="347" t="s">
        <v>323</v>
      </c>
      <c r="E180" s="337" t="s">
        <v>1087</v>
      </c>
    </row>
    <row r="181" spans="2:5" s="8" customFormat="1" ht="20.100000000000001" customHeight="1" x14ac:dyDescent="0.2">
      <c r="B181" s="4" t="s">
        <v>1088</v>
      </c>
      <c r="C181" s="362" t="s">
        <v>286</v>
      </c>
      <c r="D181" s="347" t="s">
        <v>286</v>
      </c>
      <c r="E181" s="337" t="s">
        <v>1089</v>
      </c>
    </row>
    <row r="182" spans="2:5" s="8" customFormat="1" ht="20.100000000000001" customHeight="1" x14ac:dyDescent="0.2">
      <c r="B182" s="4" t="s">
        <v>1090</v>
      </c>
      <c r="C182" s="362" t="s">
        <v>286</v>
      </c>
      <c r="D182" s="347" t="s">
        <v>286</v>
      </c>
      <c r="E182" s="337" t="s">
        <v>1091</v>
      </c>
    </row>
    <row r="183" spans="2:5" s="8" customFormat="1" ht="20.100000000000001" customHeight="1" x14ac:dyDescent="0.2">
      <c r="B183" s="4" t="s">
        <v>1092</v>
      </c>
      <c r="C183" s="362" t="s">
        <v>1093</v>
      </c>
      <c r="D183" s="347"/>
      <c r="E183" s="337" t="s">
        <v>1094</v>
      </c>
    </row>
    <row r="184" spans="2:5" s="8" customFormat="1" ht="20.100000000000001" customHeight="1" x14ac:dyDescent="0.2">
      <c r="B184" s="4" t="s">
        <v>1095</v>
      </c>
      <c r="C184" s="362" t="s">
        <v>1096</v>
      </c>
      <c r="D184" s="347"/>
      <c r="E184" s="337"/>
    </row>
    <row r="185" spans="2:5" s="8" customFormat="1" ht="20.100000000000001" customHeight="1" x14ac:dyDescent="0.2">
      <c r="B185" s="4" t="s">
        <v>1097</v>
      </c>
      <c r="C185" s="362">
        <v>636</v>
      </c>
      <c r="D185" s="347"/>
      <c r="E185" s="337"/>
    </row>
    <row r="186" spans="2:5" s="8" customFormat="1" ht="20.100000000000001" customHeight="1" x14ac:dyDescent="0.2">
      <c r="B186" s="4" t="s">
        <v>1098</v>
      </c>
      <c r="C186" s="362" t="str">
        <f>CONCATENATE(this_instance,"-m01-ad01.",sample_child_dns_zone)</f>
        <v>sfo-m01-ad01.sfo.rainpole.io</v>
      </c>
      <c r="D186" s="347"/>
      <c r="E186" s="337"/>
    </row>
    <row r="187" spans="2:5" s="8" customFormat="1" ht="20.100000000000001" customHeight="1" x14ac:dyDescent="0.2">
      <c r="B187" s="4" t="s">
        <v>1099</v>
      </c>
      <c r="C187" s="362">
        <v>636</v>
      </c>
      <c r="D187" s="347"/>
      <c r="E187" s="337"/>
    </row>
    <row r="188" spans="2:5" s="8" customFormat="1" ht="20.100000000000001" customHeight="1" x14ac:dyDescent="0.2">
      <c r="B188" s="4" t="s">
        <v>1100</v>
      </c>
      <c r="C188" s="362" t="s">
        <v>1101</v>
      </c>
      <c r="D188" s="347" t="s">
        <v>1101</v>
      </c>
      <c r="E188" s="337"/>
    </row>
    <row r="189" spans="2:5" s="8" customFormat="1" ht="20.100000000000001" customHeight="1" x14ac:dyDescent="0.2">
      <c r="B189" s="4" t="s">
        <v>1102</v>
      </c>
      <c r="C189" s="362" t="s">
        <v>1103</v>
      </c>
      <c r="D189" s="347"/>
      <c r="E189" s="337"/>
    </row>
    <row r="190" spans="2:5" s="8" customFormat="1" ht="20.100000000000001" customHeight="1" x14ac:dyDescent="0.2">
      <c r="B190" s="4" t="s">
        <v>1104</v>
      </c>
      <c r="C190" s="362" t="s">
        <v>1105</v>
      </c>
      <c r="D190" s="347"/>
      <c r="E190" s="337" t="s">
        <v>1106</v>
      </c>
    </row>
    <row r="191" spans="2:5" s="8" customFormat="1" ht="20.100000000000001" customHeight="1" x14ac:dyDescent="0.2">
      <c r="B191" s="4" t="s">
        <v>1107</v>
      </c>
      <c r="C191" s="362" t="s">
        <v>379</v>
      </c>
      <c r="D191" s="347"/>
      <c r="E191" s="337"/>
    </row>
    <row r="192" spans="2:5" s="8" customFormat="1" ht="20.100000000000001" customHeight="1" x14ac:dyDescent="0.2">
      <c r="B192" s="540" t="s">
        <v>1108</v>
      </c>
      <c r="C192" s="541"/>
      <c r="D192" s="541"/>
      <c r="E192" s="542"/>
    </row>
    <row r="193" spans="2:5" s="8" customFormat="1" ht="20.100000000000001" customHeight="1" x14ac:dyDescent="0.2">
      <c r="B193" s="414" t="s">
        <v>1109</v>
      </c>
      <c r="C193" s="415"/>
      <c r="D193" s="415"/>
      <c r="E193" s="416"/>
    </row>
    <row r="194" spans="2:5" s="8" customFormat="1" ht="20.100000000000001" customHeight="1" x14ac:dyDescent="0.2">
      <c r="B194" s="4" t="s">
        <v>1110</v>
      </c>
      <c r="C194" s="362" t="s">
        <v>1101</v>
      </c>
      <c r="D194" s="347"/>
      <c r="E194" s="337"/>
    </row>
    <row r="195" spans="2:5" s="8" customFormat="1" ht="20.100000000000001" customHeight="1" x14ac:dyDescent="0.2">
      <c r="B195" s="4" t="s">
        <v>1111</v>
      </c>
      <c r="C195" s="362" t="s">
        <v>1112</v>
      </c>
      <c r="D195" s="347"/>
      <c r="E195" s="337"/>
    </row>
    <row r="196" spans="2:5" s="8" customFormat="1" ht="20.100000000000001" customHeight="1" x14ac:dyDescent="0.2">
      <c r="B196" s="4" t="s">
        <v>1113</v>
      </c>
      <c r="C196" s="362" t="s">
        <v>1114</v>
      </c>
      <c r="D196" s="347"/>
      <c r="E196" s="337"/>
    </row>
    <row r="197" spans="2:5" s="8" customFormat="1" ht="20.100000000000001" customHeight="1" x14ac:dyDescent="0.2">
      <c r="B197" s="4" t="s">
        <v>1115</v>
      </c>
      <c r="C197" s="362" t="s">
        <v>1116</v>
      </c>
      <c r="D197" s="347"/>
      <c r="E197" s="337"/>
    </row>
    <row r="198" spans="2:5" s="8" customFormat="1" ht="20.100000000000001" customHeight="1" x14ac:dyDescent="0.2">
      <c r="B198" s="4" t="s">
        <v>1117</v>
      </c>
      <c r="C198" s="362" t="s">
        <v>1117</v>
      </c>
      <c r="D198" s="347"/>
      <c r="E198" s="337"/>
    </row>
    <row r="199" spans="2:5" s="8" customFormat="1" ht="20.100000000000001" customHeight="1" x14ac:dyDescent="0.2">
      <c r="B199" s="4" t="s">
        <v>1118</v>
      </c>
      <c r="C199" s="362" t="s">
        <v>1119</v>
      </c>
      <c r="D199" s="347"/>
      <c r="E199" s="337"/>
    </row>
    <row r="200" spans="2:5" s="8" customFormat="1" ht="20.100000000000001" customHeight="1" x14ac:dyDescent="0.2">
      <c r="B200" s="4" t="s">
        <v>1120</v>
      </c>
      <c r="C200" s="362" t="s">
        <v>1120</v>
      </c>
      <c r="D200" s="347"/>
      <c r="E200" s="337"/>
    </row>
    <row r="201" spans="2:5" s="8" customFormat="1" ht="20.100000000000001" customHeight="1" x14ac:dyDescent="0.2">
      <c r="B201" s="414" t="s">
        <v>1121</v>
      </c>
      <c r="C201" s="415"/>
      <c r="D201" s="415"/>
      <c r="E201" s="416"/>
    </row>
    <row r="202" spans="2:5" s="8" customFormat="1" ht="20.100000000000001" customHeight="1" x14ac:dyDescent="0.2">
      <c r="B202" s="4" t="s">
        <v>1122</v>
      </c>
      <c r="C202" s="362" t="s">
        <v>1123</v>
      </c>
      <c r="D202" s="347"/>
      <c r="E202" s="337"/>
    </row>
    <row r="203" spans="2:5" s="8" customFormat="1" ht="20.100000000000001" customHeight="1" x14ac:dyDescent="0.2">
      <c r="B203" s="414" t="s">
        <v>1124</v>
      </c>
      <c r="C203" s="415"/>
      <c r="D203" s="415"/>
      <c r="E203" s="416"/>
    </row>
    <row r="204" spans="2:5" ht="20.100000000000001" customHeight="1" x14ac:dyDescent="0.25">
      <c r="B204" s="4" t="s">
        <v>1125</v>
      </c>
      <c r="C204" s="362" t="s">
        <v>1126</v>
      </c>
      <c r="D204" s="347"/>
      <c r="E204" s="337"/>
    </row>
    <row r="205" spans="2:5" s="8" customFormat="1" ht="15.95" customHeight="1" x14ac:dyDescent="0.2">
      <c r="D205" s="303"/>
      <c r="E205" s="303"/>
    </row>
    <row r="206" spans="2:5" s="8" customFormat="1" ht="33.950000000000003" customHeight="1" x14ac:dyDescent="0.2">
      <c r="B206" s="505" t="s">
        <v>1127</v>
      </c>
      <c r="C206" s="506"/>
      <c r="D206" s="506"/>
      <c r="E206" s="507"/>
    </row>
    <row r="207" spans="2:5" s="8" customFormat="1" ht="20.100000000000001" customHeight="1" x14ac:dyDescent="0.2">
      <c r="B207" s="346" t="s">
        <v>37</v>
      </c>
      <c r="C207" s="346" t="s">
        <v>276</v>
      </c>
      <c r="D207" s="346" t="s">
        <v>277</v>
      </c>
      <c r="E207" s="310" t="s">
        <v>5</v>
      </c>
    </row>
    <row r="208" spans="2:5" s="8" customFormat="1" ht="20.100000000000001" customHeight="1" x14ac:dyDescent="0.2">
      <c r="B208" s="414" t="s">
        <v>1014</v>
      </c>
      <c r="C208" s="415"/>
      <c r="D208" s="415"/>
      <c r="E208" s="416"/>
    </row>
    <row r="209" spans="2:5" s="8" customFormat="1" ht="20.100000000000001" customHeight="1" x14ac:dyDescent="0.2">
      <c r="B209" s="4" t="s">
        <v>1015</v>
      </c>
      <c r="C209" s="362" t="s">
        <v>1016</v>
      </c>
      <c r="D209" s="347" t="s">
        <v>1016</v>
      </c>
      <c r="E209" s="337"/>
    </row>
    <row r="210" spans="2:5" s="8" customFormat="1" ht="20.100000000000001" customHeight="1" x14ac:dyDescent="0.2">
      <c r="B210" s="4" t="s">
        <v>121</v>
      </c>
      <c r="C210" s="362" t="s">
        <v>127</v>
      </c>
      <c r="D210" s="347"/>
      <c r="E210" s="337"/>
    </row>
    <row r="211" spans="2:5" s="8" customFormat="1" ht="20.100000000000001" customHeight="1" x14ac:dyDescent="0.2">
      <c r="B211" s="4" t="s">
        <v>982</v>
      </c>
      <c r="C211" s="362" t="s">
        <v>267</v>
      </c>
      <c r="D211" s="347" t="s">
        <v>267</v>
      </c>
      <c r="E211" s="337"/>
    </row>
    <row r="212" spans="2:5" s="8" customFormat="1" ht="20.100000000000001" customHeight="1" x14ac:dyDescent="0.2">
      <c r="B212" s="414" t="s">
        <v>1018</v>
      </c>
      <c r="C212" s="415"/>
      <c r="D212" s="415"/>
      <c r="E212" s="416"/>
    </row>
    <row r="213" spans="2:5" s="8" customFormat="1" ht="20.100000000000001" customHeight="1" x14ac:dyDescent="0.2">
      <c r="B213" s="4" t="s">
        <v>1019</v>
      </c>
      <c r="C213" s="101" t="s">
        <v>1020</v>
      </c>
      <c r="D213" s="347" t="s">
        <v>1020</v>
      </c>
      <c r="E213" s="337"/>
    </row>
    <row r="214" spans="2:5" s="8" customFormat="1" ht="20.100000000000001" customHeight="1" x14ac:dyDescent="0.2">
      <c r="B214" s="4" t="s">
        <v>1021</v>
      </c>
      <c r="C214" s="101" t="str">
        <f>CONCATENATE(prefix_portable_component,"-logs01","-cert")</f>
        <v>flt-logs01-cert</v>
      </c>
      <c r="D214" s="347"/>
      <c r="E214" s="337"/>
    </row>
    <row r="215" spans="2:5" s="8" customFormat="1" ht="20.100000000000001" customHeight="1" x14ac:dyDescent="0.2">
      <c r="B215" s="4" t="s">
        <v>1128</v>
      </c>
      <c r="C215" s="101" t="s">
        <v>297</v>
      </c>
      <c r="D215" s="347"/>
      <c r="E215" s="337"/>
    </row>
    <row r="216" spans="2:5" s="8" customFormat="1" ht="20.100000000000001" customHeight="1" x14ac:dyDescent="0.2">
      <c r="B216" s="4" t="s">
        <v>1022</v>
      </c>
      <c r="C216" s="101" t="str">
        <f>CONCATENATE(prefix_portable_component,"-logs01","-cert.pem")</f>
        <v>flt-logs01-cert.pem</v>
      </c>
      <c r="D216" s="347"/>
      <c r="E216" s="337"/>
    </row>
    <row r="217" spans="2:5" s="8" customFormat="1" ht="20.100000000000001" customHeight="1" x14ac:dyDescent="0.2">
      <c r="B217" s="4" t="s">
        <v>1023</v>
      </c>
      <c r="C217" s="101" t="str">
        <f>CONCATENATE(prefix_portable_component,"-logs01",".",sample_parent_dns_zone)</f>
        <v>flt-logs01.rainpole.io</v>
      </c>
      <c r="D217" s="347"/>
      <c r="E217" s="337"/>
    </row>
    <row r="218" spans="2:5" s="8" customFormat="1" ht="20.100000000000001" customHeight="1" x14ac:dyDescent="0.2">
      <c r="B218" s="4" t="s">
        <v>1024</v>
      </c>
      <c r="C218" s="101" t="s">
        <v>74</v>
      </c>
      <c r="D218" s="347"/>
      <c r="E218" s="337"/>
    </row>
    <row r="219" spans="2:5" s="8" customFormat="1" ht="20.100000000000001" customHeight="1" x14ac:dyDescent="0.2">
      <c r="B219" s="4" t="s">
        <v>1025</v>
      </c>
      <c r="C219" s="101" t="s">
        <v>548</v>
      </c>
      <c r="D219" s="347"/>
      <c r="E219" s="337"/>
    </row>
    <row r="220" spans="2:5" s="8" customFormat="1" ht="20.100000000000001" customHeight="1" x14ac:dyDescent="0.2">
      <c r="B220" s="4" t="s">
        <v>1026</v>
      </c>
      <c r="C220" s="101" t="s">
        <v>550</v>
      </c>
      <c r="D220" s="347"/>
      <c r="E220" s="337"/>
    </row>
    <row r="221" spans="2:5" s="8" customFormat="1" ht="20.100000000000001" customHeight="1" x14ac:dyDescent="0.2">
      <c r="B221" s="4" t="s">
        <v>1027</v>
      </c>
      <c r="C221" s="101" t="s">
        <v>554</v>
      </c>
      <c r="D221" s="347"/>
      <c r="E221" s="337"/>
    </row>
    <row r="222" spans="2:5" s="8" customFormat="1" ht="20.100000000000001" customHeight="1" x14ac:dyDescent="0.2">
      <c r="B222" s="4" t="s">
        <v>1028</v>
      </c>
      <c r="C222" s="101" t="s">
        <v>552</v>
      </c>
      <c r="D222" s="347"/>
      <c r="E222" s="337"/>
    </row>
    <row r="223" spans="2:5" s="8" customFormat="1" ht="20.100000000000001" customHeight="1" x14ac:dyDescent="0.2">
      <c r="B223" s="4" t="s">
        <v>1029</v>
      </c>
      <c r="C223" s="101">
        <v>4096</v>
      </c>
      <c r="D223" s="347" t="s">
        <v>1030</v>
      </c>
      <c r="E223" s="337"/>
    </row>
    <row r="224" spans="2:5" s="8" customFormat="1" ht="20.100000000000001" customHeight="1" x14ac:dyDescent="0.2">
      <c r="B224" s="4" t="s">
        <v>1129</v>
      </c>
      <c r="C224" s="101" t="str">
        <f>CONCATENATE(prefix_portable_component,"-logs01",".",sample_parent_dns_zone)</f>
        <v>flt-logs01.rainpole.io</v>
      </c>
      <c r="D224" s="347"/>
      <c r="E224" s="337"/>
    </row>
    <row r="225" spans="2:5" s="8" customFormat="1" ht="20.100000000000001" customHeight="1" x14ac:dyDescent="0.2">
      <c r="B225" s="4" t="s">
        <v>1130</v>
      </c>
      <c r="C225" s="101" t="str">
        <f>CONCATENATE(prefix_portable_component,"-logs01a",".",sample_parent_dns_zone)</f>
        <v>flt-logs01a.rainpole.io</v>
      </c>
      <c r="D225" s="347"/>
      <c r="E225" s="337"/>
    </row>
    <row r="226" spans="2:5" s="8" customFormat="1" ht="20.100000000000001" customHeight="1" x14ac:dyDescent="0.2">
      <c r="B226" s="4" t="s">
        <v>1131</v>
      </c>
      <c r="C226" s="101" t="str">
        <f>CONCATENATE(prefix_portable_component,"-logs01b",".",sample_parent_dns_zone)</f>
        <v>flt-logs01b.rainpole.io</v>
      </c>
      <c r="D226" s="347"/>
      <c r="E226" s="337"/>
    </row>
    <row r="227" spans="2:5" s="8" customFormat="1" ht="20.100000000000001" customHeight="1" x14ac:dyDescent="0.2">
      <c r="B227" s="4" t="s">
        <v>1132</v>
      </c>
      <c r="C227" s="101" t="str">
        <f>CONCATENATE(prefix_portable_component,"-logs01c",".",sample_parent_dns_zone)</f>
        <v>flt-logs01c.rainpole.io</v>
      </c>
      <c r="D227" s="347"/>
      <c r="E227" s="337"/>
    </row>
    <row r="228" spans="2:5" s="8" customFormat="1" ht="20.100000000000001" customHeight="1" x14ac:dyDescent="0.2">
      <c r="B228" s="4" t="s">
        <v>1133</v>
      </c>
      <c r="C228" s="362" t="str">
        <f>IF(flt_custom_network_chosen="Shared Management Network",IF(mgmt_dpg_reuse_result="Included",CONCATENATE(prefix_mgmt_az1_cidr,"10.26"),CONCATENATE(prefix_mgmt_az1_cidr,"11.26")),IF(flt_custom_network_chosen="NSX Overlay Segment",CONCATENATE(prefix_xreg_cidr,".26"),CONCATENATE(prefix_flt_shared_cidr,".26")))</f>
        <v>10.11.10.26</v>
      </c>
      <c r="D228" s="347"/>
      <c r="E228" s="337"/>
    </row>
    <row r="229" spans="2:5" s="8" customFormat="1" ht="20.100000000000001" customHeight="1" x14ac:dyDescent="0.2">
      <c r="B229" s="4" t="s">
        <v>1134</v>
      </c>
      <c r="C229" s="362" t="str">
        <f>IF(flt_custom_network_chosen="Shared Management Network",IF(mgmt_dpg_reuse_result="Included",CONCATENATE(prefix_mgmt_az1_cidr,"10.59"),CONCATENATE(prefix_mgmt_az1_cidr,"11.59")),IF(flt_custom_network_chosen="NSX Overlay Segment",CONCATENATE(prefix_xreg_cidr,".59"),CONCATENATE(prefix_flt_shared_cidr,".59")))</f>
        <v>10.11.10.59</v>
      </c>
      <c r="D229" s="347"/>
      <c r="E229" s="337"/>
    </row>
    <row r="230" spans="2:5" s="8" customFormat="1" ht="20.100000000000001" customHeight="1" x14ac:dyDescent="0.2">
      <c r="B230" s="4" t="s">
        <v>1135</v>
      </c>
      <c r="C230" s="362" t="str">
        <f>IF(flt_custom_network_chosen="Shared Management Network",IF(mgmt_dpg_reuse_result="Included",CONCATENATE(prefix_mgmt_az1_cidr,"10.60"),CONCATENATE(prefix_mgmt_az1_cidr,"11.60")),IF(flt_custom_network_chosen="NSX Overlay Segment",CONCATENATE(prefix_xreg_cidr,".60"),CONCATENATE(prefix_flt_shared_cidr,".60")))</f>
        <v>10.11.10.60</v>
      </c>
      <c r="D230" s="347"/>
      <c r="E230" s="337"/>
    </row>
    <row r="231" spans="2:5" s="8" customFormat="1" ht="20.100000000000001" customHeight="1" x14ac:dyDescent="0.2">
      <c r="B231" s="4" t="s">
        <v>1136</v>
      </c>
      <c r="C231" s="362"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231" s="347"/>
      <c r="E231" s="337"/>
    </row>
    <row r="232" spans="2:5" s="8" customFormat="1" ht="20.100000000000001" customHeight="1" x14ac:dyDescent="0.2">
      <c r="B232" s="4" t="s">
        <v>1033</v>
      </c>
      <c r="C232" s="362" t="str">
        <f>sample_flt_logs_cert_alias</f>
        <v>flt-logs01-cert</v>
      </c>
      <c r="D232" s="337" t="str">
        <f t="array" ref="D232">flt_logs_cert_alias</f>
        <v>Value Missing</v>
      </c>
      <c r="E232" s="337"/>
    </row>
    <row r="233" spans="2:5" s="8" customFormat="1" ht="20.100000000000001" customHeight="1" x14ac:dyDescent="0.2">
      <c r="B233" s="414" t="s">
        <v>1034</v>
      </c>
      <c r="C233" s="415"/>
      <c r="D233" s="415"/>
      <c r="E233" s="416"/>
    </row>
    <row r="234" spans="2:5" s="8" customFormat="1" ht="20.100000000000001" customHeight="1" x14ac:dyDescent="0.2">
      <c r="B234" s="4" t="s">
        <v>1035</v>
      </c>
      <c r="C234" s="362" t="str">
        <f>CONCATENATE(this_instance,"-m01-vc01.",sample_child_dns_zone)</f>
        <v>sfo-m01-vc01.sfo.rainpole.io</v>
      </c>
      <c r="D234" s="347"/>
      <c r="E234" s="337"/>
    </row>
    <row r="235" spans="2:5" s="8" customFormat="1" ht="20.100000000000001" customHeight="1" x14ac:dyDescent="0.2">
      <c r="B235" s="4" t="s">
        <v>1036</v>
      </c>
      <c r="C235" s="362" t="str">
        <f>CONCATENATE(sample_mgmt_datacenter,"#",sample_mgmt_cl01_cluster)</f>
        <v>sfo-m01-dc01#sfo-m01-cl01</v>
      </c>
      <c r="D235" s="347"/>
      <c r="E235" s="337"/>
    </row>
    <row r="236" spans="2:5" s="8" customFormat="1" ht="20.100000000000001" customHeight="1" x14ac:dyDescent="0.2">
      <c r="B236" s="4" t="s">
        <v>1037</v>
      </c>
      <c r="C236" s="362" t="str">
        <f>CONCATENATE(this_instance,"-m01-cl01-fd-flt-logs01")</f>
        <v>sfo-m01-cl01-fd-flt-logs01</v>
      </c>
      <c r="D236" s="347"/>
      <c r="E236" s="337" t="s">
        <v>1038</v>
      </c>
    </row>
    <row r="237" spans="2:5" s="8" customFormat="1" ht="20.100000000000001" customHeight="1" x14ac:dyDescent="0.2">
      <c r="B237" s="4" t="s">
        <v>1039</v>
      </c>
      <c r="C237" s="362" t="str">
        <f>CONCATENATE(this_instance,"-m01-cl01-rp-flt-logs01")</f>
        <v>sfo-m01-cl01-rp-flt-logs01</v>
      </c>
      <c r="D237" s="347"/>
      <c r="E237" s="337" t="s">
        <v>1038</v>
      </c>
    </row>
    <row r="238" spans="2:5" s="8" customFormat="1" ht="20.100000000000001" customHeight="1" x14ac:dyDescent="0.2">
      <c r="B238" s="4" t="s">
        <v>1040</v>
      </c>
      <c r="C238"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347"/>
      <c r="E238" s="337"/>
    </row>
    <row r="239" spans="2:5" s="8" customFormat="1" ht="20.100000000000001" customHeight="1" x14ac:dyDescent="0.2">
      <c r="B239" s="4" t="s">
        <v>1041</v>
      </c>
      <c r="C239" s="362" t="str">
        <f>IF(mgmt_principal_storage_chosen="VMFS on Fibre Channel (FC)",CONCATENATE(this_instance,"-m01-cl01-ds-vmfs01"),IF(mgmt_principal_storage_chosen="NFSv3",CONCATENATE(this_instance,"-m01-cl01-ds-nfs01"),CONCATENATE(this_instance,"-m01-cl01-ds-vsan01")))</f>
        <v>sfo-m01-cl01-ds-vsan01</v>
      </c>
      <c r="D239" s="347"/>
      <c r="E239" s="337"/>
    </row>
    <row r="240" spans="2:5" s="8" customFormat="1" ht="20.100000000000001" customHeight="1" x14ac:dyDescent="0.2">
      <c r="B240" s="4" t="s">
        <v>1137</v>
      </c>
      <c r="C240" s="362" t="s">
        <v>1138</v>
      </c>
      <c r="D240" s="347" t="s">
        <v>1138</v>
      </c>
      <c r="E240" s="337"/>
    </row>
    <row r="241" spans="2:5" s="8" customFormat="1" ht="20.100000000000001" customHeight="1" x14ac:dyDescent="0.2">
      <c r="B241" s="414" t="s">
        <v>706</v>
      </c>
      <c r="C241" s="415"/>
      <c r="D241" s="415"/>
      <c r="E241" s="416"/>
    </row>
    <row r="242" spans="2:5" s="8" customFormat="1" ht="20.100000000000001" customHeight="1" x14ac:dyDescent="0.2">
      <c r="B242" s="4" t="s">
        <v>354</v>
      </c>
      <c r="C242" s="362" t="str">
        <f>sample_parent_dns_zone</f>
        <v>rainpole.io</v>
      </c>
      <c r="D242" s="347" t="str">
        <f>parent_dns_zone</f>
        <v>vcf.lab.local</v>
      </c>
      <c r="E242" s="337"/>
    </row>
    <row r="243" spans="2:5" s="8" customFormat="1" ht="20.100000000000001" customHeight="1" x14ac:dyDescent="0.2">
      <c r="B243" s="4" t="s">
        <v>1042</v>
      </c>
      <c r="C243" s="362" t="str">
        <f>sample_parent_dns_zone</f>
        <v>rainpole.io</v>
      </c>
      <c r="D243" s="347" t="str">
        <f>parent_dns_zone</f>
        <v>vcf.lab.local</v>
      </c>
      <c r="E243" s="337"/>
    </row>
    <row r="244" spans="2:5" s="8" customFormat="1" ht="20.100000000000001" customHeight="1" x14ac:dyDescent="0.2">
      <c r="B244" s="4" t="s">
        <v>1043</v>
      </c>
      <c r="C244" s="126" t="str">
        <f>CONCATENATE(sample_region_dns1_ip,",",sample_region_dns2_ip)</f>
        <v>10.11.10.4,10.11.10.5</v>
      </c>
      <c r="D244" s="347" t="str">
        <f>CONCATENATE(region_dns1_ip,",",region_dns2_ip)</f>
        <v>10.255.50.26,Value Missing</v>
      </c>
      <c r="E244" s="337"/>
    </row>
    <row r="245" spans="2:5" s="8" customFormat="1" ht="20.100000000000001" customHeight="1" x14ac:dyDescent="0.2">
      <c r="B245" s="4" t="s">
        <v>1044</v>
      </c>
      <c r="C245" s="126" t="s">
        <v>1045</v>
      </c>
      <c r="D245" s="347" t="s">
        <v>1045</v>
      </c>
      <c r="E245" s="337"/>
    </row>
    <row r="246" spans="2:5" s="8" customFormat="1" ht="20.100000000000001" customHeight="1" x14ac:dyDescent="0.2">
      <c r="B246" s="4" t="s">
        <v>746</v>
      </c>
      <c r="C246" s="362" t="str">
        <f>CONCATENATE(sample_region_ntp1_server,",",sample_region_ntp2_server)</f>
        <v>ntp0.sfo.rainpole.io,ntp1.sfo.rainpole.io</v>
      </c>
      <c r="D246" s="337" t="str">
        <f>CONCATENATE(region_ntp1_server,",",region_ntp2_server)</f>
        <v>10.255.50.26,Value Missing</v>
      </c>
      <c r="E246" s="337"/>
    </row>
    <row r="247" spans="2:5" s="8" customFormat="1" ht="20.100000000000001" customHeight="1" x14ac:dyDescent="0.2">
      <c r="B247" s="4" t="s">
        <v>1046</v>
      </c>
      <c r="C247"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347"/>
      <c r="E247" s="337"/>
    </row>
    <row r="248" spans="2:5" s="8" customFormat="1" ht="20.100000000000001" customHeight="1" x14ac:dyDescent="0.2">
      <c r="B248" s="4" t="s">
        <v>1047</v>
      </c>
      <c r="C248" s="362" t="s">
        <v>612</v>
      </c>
      <c r="D248" s="347"/>
      <c r="E248" s="337"/>
    </row>
    <row r="249" spans="2:5" s="8" customFormat="1" ht="20.100000000000001" customHeight="1" x14ac:dyDescent="0.2">
      <c r="B249" s="414" t="s">
        <v>1048</v>
      </c>
      <c r="C249" s="415"/>
      <c r="D249" s="415"/>
      <c r="E249" s="416"/>
    </row>
    <row r="250" spans="2:5" s="8" customFormat="1" ht="20.100000000000001" customHeight="1" x14ac:dyDescent="0.2">
      <c r="B250" s="4" t="s">
        <v>1139</v>
      </c>
      <c r="C250" s="101" t="str">
        <f>CONCATENATE(prefix_portable_component,"-logs01","-admin-password")</f>
        <v>flt-logs01-admin-password</v>
      </c>
      <c r="D250" s="347"/>
      <c r="E250" s="337"/>
    </row>
    <row r="251" spans="2:5" s="8" customFormat="1" ht="20.100000000000001" customHeight="1" x14ac:dyDescent="0.2">
      <c r="B251" s="4" t="s">
        <v>674</v>
      </c>
      <c r="C251" s="101" t="s">
        <v>297</v>
      </c>
      <c r="D251" s="347"/>
      <c r="E251" s="337"/>
    </row>
    <row r="252" spans="2:5" s="8" customFormat="1" ht="20.100000000000001" customHeight="1" x14ac:dyDescent="0.2">
      <c r="B252" s="4" t="s">
        <v>1140</v>
      </c>
      <c r="C252" s="101" t="s">
        <v>1141</v>
      </c>
      <c r="D252" s="347"/>
      <c r="E252" s="337"/>
    </row>
    <row r="253" spans="2:5" s="8" customFormat="1" ht="20.100000000000001" customHeight="1" x14ac:dyDescent="0.2">
      <c r="B253" s="4" t="s">
        <v>1142</v>
      </c>
      <c r="C253" s="101" t="s">
        <v>878</v>
      </c>
      <c r="D253" s="347"/>
      <c r="E253" s="337"/>
    </row>
    <row r="254" spans="2:5" s="8" customFormat="1" ht="20.100000000000001" customHeight="1" x14ac:dyDescent="0.2">
      <c r="B254" s="4" t="s">
        <v>1055</v>
      </c>
      <c r="C254" s="101" t="str">
        <f>CONCATENATE(prefix_portable_component,"-logs01","-root-password")</f>
        <v>flt-logs01-root-password</v>
      </c>
      <c r="D254" s="347"/>
      <c r="E254" s="337"/>
    </row>
    <row r="255" spans="2:5" s="8" customFormat="1" ht="20.100000000000001" customHeight="1" x14ac:dyDescent="0.2">
      <c r="B255" s="4" t="s">
        <v>330</v>
      </c>
      <c r="C255" s="101" t="s">
        <v>297</v>
      </c>
      <c r="D255" s="347"/>
      <c r="E255" s="337"/>
    </row>
    <row r="256" spans="2:5" s="8" customFormat="1" ht="20.100000000000001" customHeight="1" x14ac:dyDescent="0.2">
      <c r="B256" s="4" t="s">
        <v>1056</v>
      </c>
      <c r="C256" s="101" t="s">
        <v>1143</v>
      </c>
      <c r="D256" s="347"/>
      <c r="E256" s="337"/>
    </row>
    <row r="257" spans="2:5" s="8" customFormat="1" ht="20.100000000000001" customHeight="1" x14ac:dyDescent="0.2">
      <c r="B257" s="4" t="s">
        <v>1058</v>
      </c>
      <c r="C257" s="101" t="s">
        <v>717</v>
      </c>
      <c r="D257" s="347"/>
      <c r="E257" s="337"/>
    </row>
    <row r="258" spans="2:5" s="8" customFormat="1" ht="20.100000000000001" customHeight="1" x14ac:dyDescent="0.2">
      <c r="B258" s="4" t="s">
        <v>1059</v>
      </c>
      <c r="C258" s="98" t="str">
        <f>sample_mgmt_vc_fqdn</f>
        <v>sfo-m01-vc01.sfo.rainpole.io</v>
      </c>
      <c r="D258" s="347"/>
      <c r="E258" s="337" t="s">
        <v>1144</v>
      </c>
    </row>
    <row r="259" spans="2:5" s="8" customFormat="1" ht="20.100000000000001" customHeight="1" x14ac:dyDescent="0.2">
      <c r="B259" s="4" t="s">
        <v>1145</v>
      </c>
      <c r="C259" s="362" t="s">
        <v>214</v>
      </c>
      <c r="D259" s="347" t="s">
        <v>214</v>
      </c>
      <c r="E259" s="337"/>
    </row>
    <row r="260" spans="2:5" s="8" customFormat="1" ht="20.100000000000001" customHeight="1" x14ac:dyDescent="0.2">
      <c r="B260" s="4" t="s">
        <v>1146</v>
      </c>
      <c r="C260" s="362" t="s">
        <v>323</v>
      </c>
      <c r="D260" s="347" t="s">
        <v>323</v>
      </c>
      <c r="E260" s="337"/>
    </row>
    <row r="261" spans="2:5" s="8" customFormat="1" ht="20.100000000000001" customHeight="1" x14ac:dyDescent="0.2">
      <c r="B261" s="4" t="s">
        <v>1147</v>
      </c>
      <c r="C261" s="362" t="str">
        <f>sample_flt_logs_cert_alias</f>
        <v>flt-logs01-cert</v>
      </c>
      <c r="D261" s="337" t="str">
        <f t="array" ref="D261">flt_logs_cert_alias</f>
        <v>Value Missing</v>
      </c>
      <c r="E261" s="337" t="s">
        <v>1148</v>
      </c>
    </row>
    <row r="262" spans="2:5" s="8" customFormat="1" ht="20.100000000000001" customHeight="1" x14ac:dyDescent="0.2">
      <c r="B262" s="4" t="s">
        <v>1149</v>
      </c>
      <c r="C262" s="362" t="s">
        <v>323</v>
      </c>
      <c r="D262" s="347" t="s">
        <v>323</v>
      </c>
      <c r="E262" s="337"/>
    </row>
    <row r="263" spans="2:5" s="8" customFormat="1" ht="20.100000000000001" customHeight="1" x14ac:dyDescent="0.2">
      <c r="B263" s="4" t="s">
        <v>1150</v>
      </c>
      <c r="C263" s="362" t="s">
        <v>323</v>
      </c>
      <c r="D263" s="347" t="s">
        <v>323</v>
      </c>
      <c r="E263" s="337"/>
    </row>
    <row r="264" spans="2:5" s="8" customFormat="1" ht="20.100000000000001" customHeight="1" x14ac:dyDescent="0.2">
      <c r="B264" s="4" t="s">
        <v>1151</v>
      </c>
      <c r="C264" s="362" t="s">
        <v>323</v>
      </c>
      <c r="D264" s="347" t="s">
        <v>323</v>
      </c>
      <c r="E264" s="337"/>
    </row>
    <row r="265" spans="2:5" s="8" customFormat="1" ht="20.100000000000001" customHeight="1" x14ac:dyDescent="0.2">
      <c r="B265" s="4" t="s">
        <v>1152</v>
      </c>
      <c r="C265" s="362" t="s">
        <v>323</v>
      </c>
      <c r="D265" s="347" t="s">
        <v>323</v>
      </c>
      <c r="E265" s="337" t="s">
        <v>1153</v>
      </c>
    </row>
    <row r="266" spans="2:5" s="8" customFormat="1" ht="20.100000000000001" customHeight="1" x14ac:dyDescent="0.2">
      <c r="B266" s="4" t="s">
        <v>1154</v>
      </c>
      <c r="C266" s="362" t="s">
        <v>556</v>
      </c>
      <c r="D266" s="347"/>
      <c r="E266" s="337"/>
    </row>
    <row r="267" spans="2:5" s="8" customFormat="1" ht="20.100000000000001" customHeight="1" x14ac:dyDescent="0.2">
      <c r="B267" s="4" t="s">
        <v>1155</v>
      </c>
      <c r="C267" s="362" t="str">
        <f>sample_flt_logs_admin_password_alias</f>
        <v>flt-logs01-admin-password</v>
      </c>
      <c r="D267" s="337" t="str">
        <f>flt_logs_root_password_alias</f>
        <v>Value Missing</v>
      </c>
      <c r="E267" s="337"/>
    </row>
    <row r="268" spans="2:5" s="8" customFormat="1" ht="20.100000000000001" customHeight="1" x14ac:dyDescent="0.2">
      <c r="B268" s="4" t="s">
        <v>1044</v>
      </c>
      <c r="C268" s="362" t="s">
        <v>1045</v>
      </c>
      <c r="D268" s="347" t="s">
        <v>1045</v>
      </c>
      <c r="E268" s="337"/>
    </row>
    <row r="269" spans="2:5" s="8" customFormat="1" ht="20.100000000000001" customHeight="1" x14ac:dyDescent="0.2">
      <c r="B269" s="414" t="s">
        <v>1156</v>
      </c>
      <c r="C269" s="415"/>
      <c r="D269" s="415"/>
      <c r="E269" s="416"/>
    </row>
    <row r="270" spans="2:5" s="8" customFormat="1" ht="20.100000000000001" customHeight="1" x14ac:dyDescent="0.2">
      <c r="B270" s="4" t="s">
        <v>527</v>
      </c>
      <c r="C270" s="362" t="str">
        <f>sample_flt_logs_vip_fqdn</f>
        <v>flt-logs01.rainpole.io</v>
      </c>
      <c r="D270" s="337" t="str">
        <f t="array" ref="D270">flt_logs_vip_fqdn</f>
        <v>Value Missing</v>
      </c>
      <c r="E270" s="337"/>
    </row>
    <row r="271" spans="2:5" s="8" customFormat="1" ht="20.100000000000001" customHeight="1" x14ac:dyDescent="0.2">
      <c r="B271" s="4" t="s">
        <v>730</v>
      </c>
      <c r="C271" s="362" t="str">
        <f>sample_flt_logs_vip_ip</f>
        <v>10.11.10.26</v>
      </c>
      <c r="D271" s="337" t="str">
        <f>flt_logs_vip_ip</f>
        <v>Value Missing</v>
      </c>
      <c r="E271" s="337"/>
    </row>
    <row r="272" spans="2:5" s="8" customFormat="1" ht="20.100000000000001" customHeight="1" x14ac:dyDescent="0.2">
      <c r="B272" s="414" t="s">
        <v>1157</v>
      </c>
      <c r="C272" s="415"/>
      <c r="D272" s="415"/>
      <c r="E272" s="416"/>
    </row>
    <row r="273" spans="2:5" s="8" customFormat="1" ht="20.100000000000001" customHeight="1" x14ac:dyDescent="0.2">
      <c r="B273" s="4" t="s">
        <v>1158</v>
      </c>
      <c r="C273" s="362" t="s">
        <v>1159</v>
      </c>
      <c r="D273" s="347"/>
      <c r="E273" s="337"/>
    </row>
    <row r="274" spans="2:5" s="8" customFormat="1" ht="20.100000000000001" customHeight="1" x14ac:dyDescent="0.2">
      <c r="B274" s="4" t="s">
        <v>527</v>
      </c>
      <c r="C274" s="362" t="str">
        <f>sample_flt_logs_nodea_fqdn</f>
        <v>flt-logs01a.rainpole.io</v>
      </c>
      <c r="D274" s="337" t="str">
        <f t="array" ref="D274">flt_logs_nodea_fqdn</f>
        <v>Value Missing</v>
      </c>
      <c r="E274" s="337"/>
    </row>
    <row r="275" spans="2:5" s="8" customFormat="1" ht="20.100000000000001" customHeight="1" x14ac:dyDescent="0.2">
      <c r="B275" s="4" t="s">
        <v>730</v>
      </c>
      <c r="C275" s="362" t="str">
        <f>sample_flt_logs_nodea_ip</f>
        <v>10.11.10.59</v>
      </c>
      <c r="D275" s="337" t="str">
        <f>flt_logs_nodea_ip</f>
        <v>Value Missing</v>
      </c>
      <c r="E275" s="337"/>
    </row>
    <row r="276" spans="2:5" s="8" customFormat="1" ht="20.100000000000001" customHeight="1" x14ac:dyDescent="0.2">
      <c r="B276" s="414" t="s">
        <v>1160</v>
      </c>
      <c r="C276" s="415"/>
      <c r="D276" s="415"/>
      <c r="E276" s="416"/>
    </row>
    <row r="277" spans="2:5" s="8" customFormat="1" ht="20.100000000000001" customHeight="1" x14ac:dyDescent="0.2">
      <c r="B277" s="4" t="s">
        <v>1158</v>
      </c>
      <c r="C277" s="362" t="s">
        <v>1161</v>
      </c>
      <c r="D277" s="347"/>
      <c r="E277" s="2"/>
    </row>
    <row r="278" spans="2:5" s="8" customFormat="1" ht="20.100000000000001" customHeight="1" x14ac:dyDescent="0.2">
      <c r="B278" s="4" t="s">
        <v>527</v>
      </c>
      <c r="C278" s="362" t="str">
        <f>sample_flt_logs_nodeb_fqdn</f>
        <v>flt-logs01b.rainpole.io</v>
      </c>
      <c r="D278" s="337" t="str">
        <f t="array" ref="D278">flt_logs_nodeb_fqdn</f>
        <v>Value Missing</v>
      </c>
      <c r="E278" s="337"/>
    </row>
    <row r="279" spans="2:5" s="8" customFormat="1" ht="20.100000000000001" customHeight="1" x14ac:dyDescent="0.2">
      <c r="B279" s="4" t="s">
        <v>730</v>
      </c>
      <c r="C279" s="362" t="str">
        <f>sample_flt_logs_nodeb_ip</f>
        <v>10.11.10.60</v>
      </c>
      <c r="D279" s="337" t="str">
        <f>flt_logs_nodeb_ip</f>
        <v>Value Missing</v>
      </c>
      <c r="E279" s="337"/>
    </row>
    <row r="280" spans="2:5" s="8" customFormat="1" ht="20.100000000000001" customHeight="1" x14ac:dyDescent="0.2">
      <c r="B280" s="414" t="s">
        <v>1162</v>
      </c>
      <c r="C280" s="415"/>
      <c r="D280" s="415"/>
      <c r="E280" s="416"/>
    </row>
    <row r="281" spans="2:5" s="8" customFormat="1" ht="20.100000000000001" customHeight="1" x14ac:dyDescent="0.2">
      <c r="B281" s="4" t="s">
        <v>1158</v>
      </c>
      <c r="C281" s="362" t="s">
        <v>1163</v>
      </c>
      <c r="D281" s="347"/>
      <c r="E281" s="337"/>
    </row>
    <row r="282" spans="2:5" s="8" customFormat="1" ht="20.100000000000001" customHeight="1" x14ac:dyDescent="0.2">
      <c r="B282" s="4" t="s">
        <v>527</v>
      </c>
      <c r="C282" s="362" t="str">
        <f>sample_flt_logs_nodec_fqdn</f>
        <v>flt-logs01c.rainpole.io</v>
      </c>
      <c r="D282" s="337" t="str">
        <f t="array" ref="D282">flt_logs_nodec_fqdn</f>
        <v>Value Missing</v>
      </c>
      <c r="E282" s="337"/>
    </row>
    <row r="283" spans="2:5" s="8" customFormat="1" ht="20.100000000000001" customHeight="1" x14ac:dyDescent="0.2">
      <c r="B283" s="4" t="s">
        <v>730</v>
      </c>
      <c r="C283" s="362" t="str">
        <f>sample_flt_logs_nodec_ip</f>
        <v>10.11.10.61</v>
      </c>
      <c r="D283" s="337" t="str">
        <f>flt_logs_nodec_ip</f>
        <v>Value Missing</v>
      </c>
      <c r="E283" s="337"/>
    </row>
    <row r="284" spans="2:5" s="8" customFormat="1" ht="15.95" customHeight="1" x14ac:dyDescent="0.2">
      <c r="D284" s="2"/>
      <c r="E284" s="2"/>
    </row>
    <row r="285" spans="2:5" s="8" customFormat="1" ht="33.950000000000003" customHeight="1" x14ac:dyDescent="0.2">
      <c r="B285" s="505" t="s">
        <v>1164</v>
      </c>
      <c r="C285" s="506"/>
      <c r="D285" s="506"/>
      <c r="E285" s="507"/>
    </row>
    <row r="286" spans="2:5" s="8" customFormat="1" ht="20.100000000000001" customHeight="1" x14ac:dyDescent="0.2">
      <c r="B286" s="346" t="s">
        <v>37</v>
      </c>
      <c r="C286" s="346" t="s">
        <v>276</v>
      </c>
      <c r="D286" s="346" t="s">
        <v>277</v>
      </c>
      <c r="E286" s="310" t="s">
        <v>5</v>
      </c>
    </row>
    <row r="287" spans="2:5" s="8" customFormat="1" ht="20.100000000000001" customHeight="1" x14ac:dyDescent="0.2">
      <c r="B287" s="414" t="s">
        <v>1014</v>
      </c>
      <c r="C287" s="415"/>
      <c r="D287" s="415"/>
      <c r="E287" s="416"/>
    </row>
    <row r="288" spans="2:5" s="8" customFormat="1" ht="20.100000000000001" customHeight="1" x14ac:dyDescent="0.2">
      <c r="B288" s="4" t="s">
        <v>1015</v>
      </c>
      <c r="C288" s="362" t="s">
        <v>1016</v>
      </c>
      <c r="D288" s="347" t="s">
        <v>1016</v>
      </c>
      <c r="E288" s="337"/>
    </row>
    <row r="289" spans="2:5" s="8" customFormat="1" ht="20.100000000000001" customHeight="1" x14ac:dyDescent="0.2">
      <c r="B289" s="4" t="s">
        <v>121</v>
      </c>
      <c r="C289" s="362" t="s">
        <v>127</v>
      </c>
      <c r="D289" s="347"/>
      <c r="E289" s="337"/>
    </row>
    <row r="290" spans="2:5" s="8" customFormat="1" ht="20.100000000000001" customHeight="1" x14ac:dyDescent="0.2">
      <c r="B290" s="4" t="s">
        <v>982</v>
      </c>
      <c r="C290" s="362" t="s">
        <v>1165</v>
      </c>
      <c r="D290" s="347" t="s">
        <v>1165</v>
      </c>
      <c r="E290" s="337"/>
    </row>
    <row r="291" spans="2:5" s="8" customFormat="1" ht="20.100000000000001" customHeight="1" x14ac:dyDescent="0.2">
      <c r="B291" s="543" t="s">
        <v>1018</v>
      </c>
      <c r="C291" s="544"/>
      <c r="D291" s="544"/>
      <c r="E291" s="545"/>
    </row>
    <row r="292" spans="2:5" s="8" customFormat="1" ht="20.100000000000001" customHeight="1" x14ac:dyDescent="0.2">
      <c r="B292" s="4" t="s">
        <v>1019</v>
      </c>
      <c r="C292" s="101" t="s">
        <v>1020</v>
      </c>
      <c r="D292" s="347" t="s">
        <v>1020</v>
      </c>
      <c r="E292" s="337"/>
    </row>
    <row r="293" spans="2:5" s="8" customFormat="1" ht="20.100000000000001" customHeight="1" x14ac:dyDescent="0.2">
      <c r="B293" s="4" t="s">
        <v>1021</v>
      </c>
      <c r="C293" s="101" t="str">
        <f>CONCATENATE(prefix_portable_component,"-net01","-cert")</f>
        <v>flt-net01-cert</v>
      </c>
      <c r="D293" s="347"/>
      <c r="E293" s="337"/>
    </row>
    <row r="294" spans="2:5" s="8" customFormat="1" ht="20.100000000000001" customHeight="1" x14ac:dyDescent="0.2">
      <c r="B294" s="4" t="s">
        <v>1022</v>
      </c>
      <c r="C294" s="101" t="str">
        <f>CONCATENATE(prefix_portable_component,"-net01","-cert.pem")</f>
        <v>flt-net01-cert.pem</v>
      </c>
      <c r="D294" s="347"/>
      <c r="E294" s="337"/>
    </row>
    <row r="295" spans="2:5" s="8" customFormat="1" ht="20.100000000000001" customHeight="1" x14ac:dyDescent="0.2">
      <c r="B295" s="4" t="s">
        <v>1023</v>
      </c>
      <c r="C295" s="101" t="str">
        <f>CONCATENATE(prefix_portable_component,"-net01",".",sample_parent_dns_zone)</f>
        <v>flt-net01.rainpole.io</v>
      </c>
      <c r="D295" s="347"/>
      <c r="E295" s="337"/>
    </row>
    <row r="296" spans="2:5" s="8" customFormat="1" ht="20.100000000000001" customHeight="1" x14ac:dyDescent="0.2">
      <c r="B296" s="4" t="s">
        <v>1024</v>
      </c>
      <c r="C296" s="101" t="s">
        <v>74</v>
      </c>
      <c r="D296" s="347"/>
      <c r="E296" s="337"/>
    </row>
    <row r="297" spans="2:5" s="8" customFormat="1" ht="20.100000000000001" customHeight="1" x14ac:dyDescent="0.2">
      <c r="B297" s="4" t="s">
        <v>1025</v>
      </c>
      <c r="C297" s="101" t="s">
        <v>548</v>
      </c>
      <c r="D297" s="347"/>
      <c r="E297" s="337"/>
    </row>
    <row r="298" spans="2:5" s="8" customFormat="1" ht="20.100000000000001" customHeight="1" x14ac:dyDescent="0.2">
      <c r="B298" s="4" t="s">
        <v>1026</v>
      </c>
      <c r="C298" s="101" t="s">
        <v>550</v>
      </c>
      <c r="D298" s="347"/>
      <c r="E298" s="337"/>
    </row>
    <row r="299" spans="2:5" s="8" customFormat="1" ht="20.100000000000001" customHeight="1" x14ac:dyDescent="0.2">
      <c r="B299" s="4" t="s">
        <v>1027</v>
      </c>
      <c r="C299" s="101" t="s">
        <v>554</v>
      </c>
      <c r="D299" s="347"/>
      <c r="E299" s="337"/>
    </row>
    <row r="300" spans="2:5" s="8" customFormat="1" ht="20.100000000000001" customHeight="1" x14ac:dyDescent="0.2">
      <c r="B300" s="4" t="s">
        <v>1028</v>
      </c>
      <c r="C300" s="101" t="s">
        <v>552</v>
      </c>
      <c r="D300" s="347"/>
      <c r="E300" s="337"/>
    </row>
    <row r="301" spans="2:5" s="8" customFormat="1" ht="20.100000000000001" customHeight="1" x14ac:dyDescent="0.2">
      <c r="B301" s="4" t="s">
        <v>1029</v>
      </c>
      <c r="C301" s="101">
        <v>4096</v>
      </c>
      <c r="D301" s="347" t="s">
        <v>1030</v>
      </c>
      <c r="E301" s="337"/>
    </row>
    <row r="302" spans="2:5" s="8" customFormat="1" ht="20.100000000000001" customHeight="1" x14ac:dyDescent="0.2">
      <c r="B302" s="4" t="s">
        <v>1166</v>
      </c>
      <c r="C302" s="101" t="str">
        <f>CONCATENATE(prefix_portable_component,"-net01a",".",sample_parent_dns_zone)</f>
        <v>flt-net01a.rainpole.io</v>
      </c>
      <c r="D302" s="347"/>
      <c r="E302" s="337"/>
    </row>
    <row r="303" spans="2:5" s="8" customFormat="1" ht="20.100000000000001" customHeight="1" x14ac:dyDescent="0.2">
      <c r="B303" s="4" t="s">
        <v>1167</v>
      </c>
      <c r="C303" s="101" t="str">
        <f>CONCATENATE(prefix_portable_component,"-net01b",".",sample_parent_dns_zone)</f>
        <v>flt-net01b.rainpole.io</v>
      </c>
      <c r="D303" s="347"/>
      <c r="E303" s="337"/>
    </row>
    <row r="304" spans="2:5" s="8" customFormat="1" ht="20.100000000000001" customHeight="1" x14ac:dyDescent="0.2">
      <c r="B304" s="4" t="s">
        <v>1168</v>
      </c>
      <c r="C304" s="101" t="str">
        <f>CONCATENATE(prefix_portable_component,"-net01c",".",sample_parent_dns_zone)</f>
        <v>flt-net01c.rainpole.io</v>
      </c>
      <c r="D304" s="347"/>
      <c r="E304" s="337"/>
    </row>
    <row r="305" spans="2:5" s="8" customFormat="1" ht="20.100000000000001" customHeight="1" x14ac:dyDescent="0.2">
      <c r="B305" s="4" t="s">
        <v>1169</v>
      </c>
      <c r="C305" s="101" t="str">
        <f>CONCATENATE(this_instance,"-netc01.",sample_child_dns_zone)</f>
        <v>sfo-netc01.sfo.rainpole.io</v>
      </c>
      <c r="D305" s="347"/>
      <c r="E305" s="337"/>
    </row>
    <row r="306" spans="2:5" s="8" customFormat="1" ht="20.100000000000001" customHeight="1" x14ac:dyDescent="0.2">
      <c r="B306" s="4" t="s">
        <v>1170</v>
      </c>
      <c r="C306" s="80"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306" s="86"/>
      <c r="E306" s="186"/>
    </row>
    <row r="307" spans="2:5" s="8" customFormat="1" ht="20.100000000000001" customHeight="1" x14ac:dyDescent="0.2">
      <c r="B307" s="4" t="s">
        <v>1171</v>
      </c>
      <c r="C307" s="80"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307" s="347"/>
      <c r="E307" s="337"/>
    </row>
    <row r="308" spans="2:5" s="8" customFormat="1" ht="20.100000000000001" customHeight="1" x14ac:dyDescent="0.2">
      <c r="B308" s="4" t="s">
        <v>1172</v>
      </c>
      <c r="C308" s="80"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308" s="347"/>
      <c r="E308" s="337"/>
    </row>
    <row r="309" spans="2:5" s="8" customFormat="1" ht="20.100000000000001" customHeight="1" x14ac:dyDescent="0.2">
      <c r="B309" s="4" t="s">
        <v>1173</v>
      </c>
      <c r="C309" s="80" t="str">
        <f>IF(mgmt_dpg_reuse_result="Included",CONCATENATE(prefix_mgmt_az1_cidr,"10.14"),CONCATENATE(prefix_mgmt_az1_cidr,"11.14"))</f>
        <v>10.11.10.14</v>
      </c>
      <c r="D309" s="347"/>
      <c r="E309" s="337"/>
    </row>
    <row r="310" spans="2:5" s="8" customFormat="1" ht="20.100000000000001" customHeight="1" x14ac:dyDescent="0.2">
      <c r="B310" s="4" t="s">
        <v>1033</v>
      </c>
      <c r="C310" s="362" t="str">
        <f>sample_flt_net_cert_alias</f>
        <v>flt-net01-cert</v>
      </c>
      <c r="D310" s="337" t="str">
        <f>flt_net_cert_alias</f>
        <v>Value Missing</v>
      </c>
      <c r="E310" s="337"/>
    </row>
    <row r="311" spans="2:5" s="8" customFormat="1" ht="20.100000000000001" customHeight="1" x14ac:dyDescent="0.2">
      <c r="B311" s="414" t="s">
        <v>1034</v>
      </c>
      <c r="C311" s="415"/>
      <c r="D311" s="415"/>
      <c r="E311" s="416"/>
    </row>
    <row r="312" spans="2:5" s="8" customFormat="1" ht="20.100000000000001" customHeight="1" x14ac:dyDescent="0.2">
      <c r="B312" s="4" t="s">
        <v>1035</v>
      </c>
      <c r="C312" s="362" t="str">
        <f>CONCATENATE(this_instance,"-m01-vc01.",sample_child_dns_zone)</f>
        <v>sfo-m01-vc01.sfo.rainpole.io</v>
      </c>
      <c r="D312" s="347"/>
      <c r="E312" s="337"/>
    </row>
    <row r="313" spans="2:5" s="8" customFormat="1" ht="20.100000000000001" customHeight="1" x14ac:dyDescent="0.2">
      <c r="B313" s="4" t="s">
        <v>1036</v>
      </c>
      <c r="C313" s="362" t="str">
        <f>CONCATENATE(sample_mgmt_datacenter,"#",sample_mgmt_cl01_cluster)</f>
        <v>sfo-m01-dc01#sfo-m01-cl01</v>
      </c>
      <c r="D313" s="347"/>
      <c r="E313" s="337"/>
    </row>
    <row r="314" spans="2:5" s="8" customFormat="1" ht="20.100000000000001" customHeight="1" x14ac:dyDescent="0.2">
      <c r="B314" s="4" t="s">
        <v>1037</v>
      </c>
      <c r="C314" s="362" t="str">
        <f>CONCATENATE(this_instance,"-m01-cl01-fd-flt-net01")</f>
        <v>sfo-m01-cl01-fd-flt-net01</v>
      </c>
      <c r="D314" s="347"/>
      <c r="E314" s="337" t="s">
        <v>1174</v>
      </c>
    </row>
    <row r="315" spans="2:5" s="8" customFormat="1" ht="20.100000000000001" customHeight="1" x14ac:dyDescent="0.2">
      <c r="B315" s="4" t="s">
        <v>1039</v>
      </c>
      <c r="C315" s="362" t="str">
        <f>CONCATENATE(this_instance,"-m01-cl01-rp-flt-net01")</f>
        <v>sfo-m01-cl01-rp-flt-net01</v>
      </c>
      <c r="D315" s="347"/>
      <c r="E315" s="337" t="s">
        <v>1174</v>
      </c>
    </row>
    <row r="316" spans="2:5" s="8" customFormat="1" ht="20.100000000000001" customHeight="1" x14ac:dyDescent="0.2">
      <c r="B316" s="4" t="s">
        <v>1040</v>
      </c>
      <c r="C316"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347"/>
      <c r="E316" s="337"/>
    </row>
    <row r="317" spans="2:5" s="8" customFormat="1" ht="20.100000000000001" customHeight="1" x14ac:dyDescent="0.2">
      <c r="B317" s="4" t="s">
        <v>1041</v>
      </c>
      <c r="C317" s="362" t="str">
        <f>IF(mgmt_principal_storage_chosen="VMFS on Fibre Channel (FC)",CONCATENATE(this_instance,"-m01-cl01-ds-vmfs01"),IF(mgmt_principal_storage_chosen="NFSv3",CONCATENATE(this_instance,"-m01-cl01-ds-nfs01"),CONCATENATE(this_instance,"-m01-cl01-ds-vsan01")))</f>
        <v>sfo-m01-cl01-ds-vsan01</v>
      </c>
      <c r="D317" s="347"/>
      <c r="E317" s="337"/>
    </row>
    <row r="318" spans="2:5" s="8" customFormat="1" ht="20.100000000000001" customHeight="1" x14ac:dyDescent="0.2">
      <c r="B318" s="4" t="s">
        <v>1137</v>
      </c>
      <c r="C318" s="362" t="s">
        <v>1138</v>
      </c>
      <c r="D318" s="347" t="s">
        <v>1138</v>
      </c>
      <c r="E318" s="337"/>
    </row>
    <row r="319" spans="2:5" s="8" customFormat="1" ht="20.100000000000001" customHeight="1" x14ac:dyDescent="0.2">
      <c r="B319" s="414" t="s">
        <v>706</v>
      </c>
      <c r="C319" s="415"/>
      <c r="D319" s="415"/>
      <c r="E319" s="416"/>
    </row>
    <row r="320" spans="2:5" s="8" customFormat="1" ht="20.100000000000001" customHeight="1" x14ac:dyDescent="0.2">
      <c r="B320" s="4" t="s">
        <v>354</v>
      </c>
      <c r="C320" s="362" t="str">
        <f>sample_parent_dns_zone</f>
        <v>rainpole.io</v>
      </c>
      <c r="D320" s="347" t="str">
        <f>parent_dns_zone</f>
        <v>vcf.lab.local</v>
      </c>
      <c r="E320" s="337"/>
    </row>
    <row r="321" spans="2:5" s="8" customFormat="1" ht="20.100000000000001" customHeight="1" x14ac:dyDescent="0.2">
      <c r="B321" s="4" t="s">
        <v>1042</v>
      </c>
      <c r="C321" s="362" t="str">
        <f>sample_parent_dns_zone</f>
        <v>rainpole.io</v>
      </c>
      <c r="D321" s="347" t="str">
        <f>parent_dns_zone</f>
        <v>vcf.lab.local</v>
      </c>
      <c r="E321" s="337"/>
    </row>
    <row r="322" spans="2:5" s="8" customFormat="1" ht="20.100000000000001" customHeight="1" x14ac:dyDescent="0.2">
      <c r="B322" s="4" t="s">
        <v>1043</v>
      </c>
      <c r="C322" s="126" t="str">
        <f>CONCATENATE(sample_region_dns1_ip,",",sample_region_dns2_ip)</f>
        <v>10.11.10.4,10.11.10.5</v>
      </c>
      <c r="D322" s="347" t="str">
        <f>CONCATENATE(region_dns1_ip,",",region_dns2_ip)</f>
        <v>10.255.50.26,Value Missing</v>
      </c>
      <c r="E322" s="337"/>
    </row>
    <row r="323" spans="2:5" s="8" customFormat="1" ht="20.100000000000001" customHeight="1" x14ac:dyDescent="0.2">
      <c r="B323" s="4" t="s">
        <v>1044</v>
      </c>
      <c r="C323" s="126" t="s">
        <v>1045</v>
      </c>
      <c r="D323" s="347" t="s">
        <v>1045</v>
      </c>
      <c r="E323" s="337"/>
    </row>
    <row r="324" spans="2:5" s="8" customFormat="1" ht="20.100000000000001" customHeight="1" x14ac:dyDescent="0.2">
      <c r="B324" s="4" t="s">
        <v>746</v>
      </c>
      <c r="C324" s="362" t="str">
        <f>CONCATENATE(sample_region_ntp1_server,",",sample_region_ntp2_server)</f>
        <v>ntp0.sfo.rainpole.io,ntp1.sfo.rainpole.io</v>
      </c>
      <c r="D324" s="337" t="str">
        <f>CONCATENATE(region_ntp1_server,",",region_ntp2_server)</f>
        <v>10.255.50.26,Value Missing</v>
      </c>
      <c r="E324" s="337"/>
    </row>
    <row r="325" spans="2:5" s="8" customFormat="1" ht="20.100000000000001" customHeight="1" x14ac:dyDescent="0.2">
      <c r="B325" s="4" t="s">
        <v>1046</v>
      </c>
      <c r="C325"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347"/>
      <c r="E325" s="337"/>
    </row>
    <row r="326" spans="2:5" s="8" customFormat="1" ht="20.100000000000001" customHeight="1" x14ac:dyDescent="0.2">
      <c r="B326" s="4" t="s">
        <v>1047</v>
      </c>
      <c r="C326" s="362" t="s">
        <v>612</v>
      </c>
      <c r="D326" s="347"/>
      <c r="E326" s="337"/>
    </row>
    <row r="327" spans="2:5" s="8" customFormat="1" ht="20.100000000000001" customHeight="1" x14ac:dyDescent="0.2">
      <c r="B327" s="414" t="s">
        <v>1048</v>
      </c>
      <c r="C327" s="415"/>
      <c r="D327" s="415"/>
      <c r="E327" s="416"/>
    </row>
    <row r="328" spans="2:5" s="8" customFormat="1" ht="20.100000000000001" customHeight="1" x14ac:dyDescent="0.2">
      <c r="B328" s="4" t="s">
        <v>1139</v>
      </c>
      <c r="C328" s="101" t="str">
        <f>CONCATENATE(prefix_portable_component,"-net01a","-admin-password")</f>
        <v>flt-net01a-admin-password</v>
      </c>
      <c r="D328" s="347"/>
      <c r="E328" s="337"/>
    </row>
    <row r="329" spans="2:5" s="8" customFormat="1" ht="20.100000000000001" customHeight="1" x14ac:dyDescent="0.2">
      <c r="B329" s="4" t="s">
        <v>674</v>
      </c>
      <c r="C329" s="101" t="s">
        <v>297</v>
      </c>
      <c r="D329" s="347"/>
      <c r="E329" s="337"/>
    </row>
    <row r="330" spans="2:5" s="8" customFormat="1" ht="20.100000000000001" customHeight="1" x14ac:dyDescent="0.2">
      <c r="B330" s="4" t="s">
        <v>1140</v>
      </c>
      <c r="C330" s="101" t="s">
        <v>1175</v>
      </c>
      <c r="D330" s="347"/>
      <c r="E330" s="337"/>
    </row>
    <row r="331" spans="2:5" s="8" customFormat="1" ht="20.100000000000001" customHeight="1" x14ac:dyDescent="0.2">
      <c r="B331" s="4" t="s">
        <v>1142</v>
      </c>
      <c r="C331" s="101" t="s">
        <v>878</v>
      </c>
      <c r="D331" s="347"/>
      <c r="E331" s="337"/>
    </row>
    <row r="332" spans="2:5" s="8" customFormat="1" ht="20.100000000000001" customHeight="1" x14ac:dyDescent="0.2">
      <c r="B332" s="4" t="s">
        <v>1146</v>
      </c>
      <c r="C332" s="362" t="s">
        <v>323</v>
      </c>
      <c r="D332" s="347" t="s">
        <v>323</v>
      </c>
      <c r="E332" s="337" t="s">
        <v>1148</v>
      </c>
    </row>
    <row r="333" spans="2:5" s="8" customFormat="1" ht="20.100000000000001" customHeight="1" x14ac:dyDescent="0.2">
      <c r="B333" s="4" t="s">
        <v>1147</v>
      </c>
      <c r="C333" s="362" t="str">
        <f>sample_flt_net_cert_alias</f>
        <v>flt-net01-cert</v>
      </c>
      <c r="D333" s="337" t="str">
        <f>flt_net_cert_alias</f>
        <v>Value Missing</v>
      </c>
      <c r="E333" s="337"/>
    </row>
    <row r="334" spans="2:5" s="8" customFormat="1" ht="20.100000000000001" customHeight="1" x14ac:dyDescent="0.2">
      <c r="B334" s="4" t="s">
        <v>1149</v>
      </c>
      <c r="C334" s="362" t="s">
        <v>323</v>
      </c>
      <c r="D334" s="347" t="s">
        <v>323</v>
      </c>
      <c r="E334" s="337"/>
    </row>
    <row r="335" spans="2:5" s="8" customFormat="1" ht="20.100000000000001" customHeight="1" x14ac:dyDescent="0.2">
      <c r="B335" s="4" t="s">
        <v>1176</v>
      </c>
      <c r="C335" s="362" t="s">
        <v>323</v>
      </c>
      <c r="D335" s="347" t="s">
        <v>323</v>
      </c>
      <c r="E335" s="337"/>
    </row>
    <row r="336" spans="2:5" s="8" customFormat="1" ht="20.100000000000001" customHeight="1" x14ac:dyDescent="0.2">
      <c r="B336" s="4" t="s">
        <v>746</v>
      </c>
      <c r="C336" s="362" t="str">
        <f>CONCATENATE(sample_region_ntp1_server,",",sample_region_ntp2_server)</f>
        <v>ntp0.sfo.rainpole.io,ntp1.sfo.rainpole.io</v>
      </c>
      <c r="D336" s="337" t="str">
        <f>CONCATENATE(region_ntp1_server,",",region_ntp2_server)</f>
        <v>10.255.50.26,Value Missing</v>
      </c>
      <c r="E336" s="337"/>
    </row>
    <row r="337" spans="2:5" s="8" customFormat="1" ht="20.100000000000001" customHeight="1" x14ac:dyDescent="0.2">
      <c r="B337" s="4" t="s">
        <v>1177</v>
      </c>
      <c r="C337" s="362" t="s">
        <v>297</v>
      </c>
      <c r="D337" s="347"/>
      <c r="E337" s="337"/>
    </row>
    <row r="338" spans="2:5" s="8" customFormat="1" ht="20.100000000000001" customHeight="1" x14ac:dyDescent="0.2">
      <c r="B338" s="4" t="s">
        <v>1178</v>
      </c>
      <c r="C338" s="362" t="s">
        <v>297</v>
      </c>
      <c r="D338" s="347"/>
      <c r="E338" s="337"/>
    </row>
    <row r="339" spans="2:5" s="8" customFormat="1" ht="20.100000000000001" customHeight="1" x14ac:dyDescent="0.2">
      <c r="B339" s="4" t="s">
        <v>1179</v>
      </c>
      <c r="C339" s="362" t="s">
        <v>297</v>
      </c>
      <c r="D339" s="347"/>
      <c r="E339" s="337"/>
    </row>
    <row r="340" spans="2:5" s="8" customFormat="1" ht="20.100000000000001" customHeight="1" x14ac:dyDescent="0.2">
      <c r="B340" s="4" t="s">
        <v>1059</v>
      </c>
      <c r="C340" s="98" t="str">
        <f>CONCATENATE(this_instance,"-m01-vc01.",sample_child_dns_zone)</f>
        <v>sfo-m01-vc01.sfo.rainpole.io</v>
      </c>
      <c r="D340" s="347"/>
      <c r="E340" s="337" t="s">
        <v>1180</v>
      </c>
    </row>
    <row r="341" spans="2:5" s="8" customFormat="1" ht="20.100000000000001" customHeight="1" x14ac:dyDescent="0.2">
      <c r="B341" s="414" t="s">
        <v>1181</v>
      </c>
      <c r="C341" s="415"/>
      <c r="D341" s="415"/>
      <c r="E341" s="416"/>
    </row>
    <row r="342" spans="2:5" s="8" customFormat="1" ht="20.100000000000001" customHeight="1" x14ac:dyDescent="0.2">
      <c r="B342" s="4" t="s">
        <v>1158</v>
      </c>
      <c r="C342" s="362" t="s">
        <v>1182</v>
      </c>
      <c r="D342" s="337" t="str">
        <f>flt_net_nodea_hostname</f>
        <v>Value Missing</v>
      </c>
      <c r="E342" s="337"/>
    </row>
    <row r="343" spans="2:5" s="8" customFormat="1" ht="20.100000000000001" customHeight="1" x14ac:dyDescent="0.2">
      <c r="B343" s="4" t="s">
        <v>730</v>
      </c>
      <c r="C343" s="362" t="str">
        <f>sample_flt_net_nodea_ip</f>
        <v>10.11.10.62</v>
      </c>
      <c r="D343" s="337" t="str">
        <f t="array" ref="D343">flt_net_nodea_ip</f>
        <v>Value Missing</v>
      </c>
      <c r="E343" s="337"/>
    </row>
    <row r="344" spans="2:5" s="8" customFormat="1" ht="20.100000000000001" customHeight="1" x14ac:dyDescent="0.2">
      <c r="B344" s="4" t="s">
        <v>1183</v>
      </c>
      <c r="C344" s="362" t="s">
        <v>227</v>
      </c>
      <c r="D344" s="347" t="s">
        <v>227</v>
      </c>
      <c r="E344" s="337"/>
    </row>
    <row r="345" spans="2:5" s="8" customFormat="1" ht="20.100000000000001" customHeight="1" x14ac:dyDescent="0.2">
      <c r="B345" s="414" t="s">
        <v>1181</v>
      </c>
      <c r="C345" s="415"/>
      <c r="D345" s="415"/>
      <c r="E345" s="416"/>
    </row>
    <row r="346" spans="2:5" s="8" customFormat="1" ht="20.100000000000001" customHeight="1" x14ac:dyDescent="0.2">
      <c r="B346" s="4" t="s">
        <v>1158</v>
      </c>
      <c r="C346" s="362" t="s">
        <v>1184</v>
      </c>
      <c r="D346" s="337" t="str">
        <f>flt_net_nodeb_hostname</f>
        <v>Value Missing</v>
      </c>
      <c r="E346" s="337"/>
    </row>
    <row r="347" spans="2:5" s="8" customFormat="1" ht="20.100000000000001" customHeight="1" x14ac:dyDescent="0.2">
      <c r="B347" s="4" t="s">
        <v>730</v>
      </c>
      <c r="C347" s="362" t="str">
        <f>sample_flt_net_nodeb_ip</f>
        <v>10.11.10.63</v>
      </c>
      <c r="D347" s="337" t="str">
        <f t="array" ref="D347">flt_net_nodeb_ip</f>
        <v>Value Missing</v>
      </c>
      <c r="E347" s="337"/>
    </row>
    <row r="348" spans="2:5" s="8" customFormat="1" ht="20.100000000000001" customHeight="1" x14ac:dyDescent="0.2">
      <c r="B348" s="4" t="s">
        <v>1183</v>
      </c>
      <c r="C348" s="362" t="s">
        <v>227</v>
      </c>
      <c r="D348" s="347" t="s">
        <v>227</v>
      </c>
      <c r="E348" s="337"/>
    </row>
    <row r="349" spans="2:5" s="8" customFormat="1" ht="20.100000000000001" customHeight="1" x14ac:dyDescent="0.2">
      <c r="B349" s="414" t="s">
        <v>1181</v>
      </c>
      <c r="C349" s="415"/>
      <c r="D349" s="415"/>
      <c r="E349" s="416"/>
    </row>
    <row r="350" spans="2:5" s="8" customFormat="1" ht="20.100000000000001" customHeight="1" x14ac:dyDescent="0.2">
      <c r="B350" s="4" t="s">
        <v>1158</v>
      </c>
      <c r="C350" s="362" t="s">
        <v>1185</v>
      </c>
      <c r="D350" s="337" t="str">
        <f>flt_net_nodec_hostname</f>
        <v>Value Missing</v>
      </c>
      <c r="E350" s="337"/>
    </row>
    <row r="351" spans="2:5" s="8" customFormat="1" ht="20.100000000000001" customHeight="1" x14ac:dyDescent="0.2">
      <c r="B351" s="4" t="s">
        <v>730</v>
      </c>
      <c r="C351" s="362" t="str">
        <f>sample_flt_net_nodec_ip</f>
        <v>10.11.10.64</v>
      </c>
      <c r="D351" s="337" t="str">
        <f t="array" ref="D351">flt_net_nodec_ip</f>
        <v>Value Missing</v>
      </c>
      <c r="E351" s="337"/>
    </row>
    <row r="352" spans="2:5" s="8" customFormat="1" ht="20.100000000000001" customHeight="1" x14ac:dyDescent="0.2">
      <c r="B352" s="4" t="s">
        <v>1183</v>
      </c>
      <c r="C352" s="362" t="s">
        <v>227</v>
      </c>
      <c r="D352" s="347" t="s">
        <v>227</v>
      </c>
      <c r="E352" s="337"/>
    </row>
    <row r="353" spans="2:5" s="8" customFormat="1" ht="20.100000000000001" customHeight="1" x14ac:dyDescent="0.2">
      <c r="B353" s="414" t="s">
        <v>1186</v>
      </c>
      <c r="C353" s="415"/>
      <c r="D353" s="415"/>
      <c r="E353" s="416"/>
    </row>
    <row r="354" spans="2:5" s="8" customFormat="1" ht="20.100000000000001" customHeight="1" x14ac:dyDescent="0.2">
      <c r="B354" s="4" t="s">
        <v>1158</v>
      </c>
      <c r="C354" s="362" t="str">
        <f>CONCATENATE(this_instance,"-netc01")</f>
        <v>sfo-netc01</v>
      </c>
      <c r="D354" s="347" t="str">
        <f>flt_net_prxy_hostname</f>
        <v>Value Missing</v>
      </c>
      <c r="E354" s="337"/>
    </row>
    <row r="355" spans="2:5" s="8" customFormat="1" ht="20.100000000000001" customHeight="1" x14ac:dyDescent="0.2">
      <c r="B355" s="4" t="s">
        <v>730</v>
      </c>
      <c r="C355" s="362" t="str">
        <f>sample_flt_net_prxy_ip</f>
        <v>10.11.10.14</v>
      </c>
      <c r="D355" s="337" t="str">
        <f t="array" ref="D355">flt_net_prxy_ip</f>
        <v>Value Missing</v>
      </c>
      <c r="E355" s="337"/>
    </row>
    <row r="356" spans="2:5" s="8" customFormat="1" ht="20.100000000000001" customHeight="1" x14ac:dyDescent="0.2">
      <c r="B356" s="4" t="s">
        <v>1046</v>
      </c>
      <c r="C356" s="362" t="str">
        <f>IF(mgmt_dpg_reuse_result="Included",CONCATENATE(prefix_mgmt_az1_cidr,"10.1"),CONCATENATE(prefix_mgmt_az1_cidr,"11.1"))</f>
        <v>10.11.10.1</v>
      </c>
      <c r="D356" s="347"/>
      <c r="E356" s="337"/>
    </row>
    <row r="357" spans="2:5" s="8" customFormat="1" ht="20.100000000000001" customHeight="1" x14ac:dyDescent="0.2">
      <c r="B357" s="4" t="s">
        <v>1047</v>
      </c>
      <c r="C357" s="362" t="s">
        <v>612</v>
      </c>
      <c r="D357" s="347"/>
      <c r="E357" s="337"/>
    </row>
    <row r="358" spans="2:5" s="8" customFormat="1" ht="20.100000000000001" customHeight="1" x14ac:dyDescent="0.2">
      <c r="B358" s="4" t="s">
        <v>706</v>
      </c>
      <c r="C358" s="362" t="str">
        <f>CONCATENATE(this_instance,"-m01-cl01-vds01-pg-vm-mgmt")</f>
        <v>sfo-m01-cl01-vds01-pg-vm-mgmt</v>
      </c>
      <c r="D358" s="347"/>
      <c r="E358" s="337"/>
    </row>
    <row r="359" spans="2:5" s="8" customFormat="1" ht="20.100000000000001" customHeight="1" x14ac:dyDescent="0.2">
      <c r="B359" s="4" t="s">
        <v>1183</v>
      </c>
      <c r="C359" s="362" t="s">
        <v>214</v>
      </c>
      <c r="D359" s="347" t="s">
        <v>214</v>
      </c>
      <c r="E359" s="337"/>
    </row>
    <row r="360" spans="2:5" x14ac:dyDescent="0.25">
      <c r="B360" s="8"/>
      <c r="C360" s="8"/>
      <c r="D360" s="2"/>
      <c r="E360" s="2"/>
    </row>
  </sheetData>
  <sheetProtection algorithmName="SHA-512" hashValue="r3FLjjZZGJvl6TPKwmkRmO3xVn/aMdsIeR37EhtTzkEj1hsx1q/VfWO9LkCIASzWDXbdU1NPhYI7SS7gyq17JA==" saltValue="Mr6LLo3kc3br51HhVNqrkQ==" spinCount="100000" sheet="1" selectLockedCells="1"/>
  <mergeCells count="47">
    <mergeCell ref="B327:E327"/>
    <mergeCell ref="B341:E341"/>
    <mergeCell ref="B345:E345"/>
    <mergeCell ref="B349:E349"/>
    <mergeCell ref="B353:E353"/>
    <mergeCell ref="B285:E285"/>
    <mergeCell ref="B287:E287"/>
    <mergeCell ref="B291:E291"/>
    <mergeCell ref="B311:E311"/>
    <mergeCell ref="B319:E319"/>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60:E60"/>
    <mergeCell ref="B61:E61"/>
    <mergeCell ref="B66:E66"/>
    <mergeCell ref="B80:E80"/>
    <mergeCell ref="B87:E87"/>
  </mergeCells>
  <conditionalFormatting sqref="B7 D7:E7">
    <cfRule type="expression" dxfId="1467" priority="9">
      <formula>$E$7="NSX Centralized Connectivity is required to configure the Fleet appliance on NSX Overlay Segment"</formula>
    </cfRule>
  </conditionalFormatting>
  <conditionalFormatting sqref="B8 D8:E8">
    <cfRule type="expression" dxfId="1466" priority="16">
      <formula>$E$8="VCF Ops and Automation will be skipped during MGMT Domain deployment. Ensure they are planned as part of fleet Management Day-N"</formula>
    </cfRule>
    <cfRule type="expression" dxfId="1465" priority="88">
      <formula>$E$8="Cause: Custom networking for VCF Operations and VCF Automation not selected in Deploy Management Domain Tab"</formula>
    </cfRule>
    <cfRule type="expression" dxfId="1464" priority="90">
      <formula>flt_custom_network_vcf_ops_automation_result="Included"</formula>
    </cfRule>
    <cfRule type="expression" dxfId="1463" priority="11">
      <formula>$E$8="Cause: VCF Operations is required to Deploy VCF Automation. Deploy VCF Operations during MGMT Domain Deploy or Day-N"</formula>
    </cfRule>
    <cfRule type="expression" dxfId="1462" priority="13">
      <formula>$E$8="Cause: I want to connect a VCF Automation instance later option not selected in Deploy Management Domain Tab"</formula>
    </cfRule>
    <cfRule type="expression" dxfId="1461" priority="15">
      <formula>$E$8="Cause: VCF Operations and Automation will be deployed during Managment Domain Deployment"</formula>
    </cfRule>
  </conditionalFormatting>
  <conditionalFormatting sqref="B9 D9:E9">
    <cfRule type="expression" dxfId="1460" priority="147">
      <formula>AND((flt_vidb_chosen&lt;&gt;"Exclude"),(flt_vidb_result="Excluded"))</formula>
    </cfRule>
    <cfRule type="expression" dxfId="1459" priority="149" stopIfTrue="1">
      <formula>(flt_vidb_result="Included")</formula>
    </cfRule>
    <cfRule type="expression" dxfId="1458" priority="148">
      <formula>(flt_vidb_result="Excluded")</formula>
    </cfRule>
  </conditionalFormatting>
  <conditionalFormatting sqref="B10 D10:E10">
    <cfRule type="expression" dxfId="1457" priority="92">
      <formula>flt_logs_result="Excluded"</formula>
    </cfRule>
  </conditionalFormatting>
  <conditionalFormatting sqref="B10:B11 D10:E11 B7 D7:E7">
    <cfRule type="expression" dxfId="1456" priority="102">
      <formula>flt_custom_network_result="Included"</formula>
    </cfRule>
  </conditionalFormatting>
  <conditionalFormatting sqref="B11 D11:E11">
    <cfRule type="expression" dxfId="1455" priority="91">
      <formula>flt_net_result="Excluded"</formula>
    </cfRule>
  </conditionalFormatting>
  <conditionalFormatting sqref="C77 C156:C164">
    <cfRule type="expression" dxfId="1454" priority="80">
      <formula>OR((private_cloud_result="Excluded"),(private_cloud_chosen="Connect Instance"))</formula>
    </cfRule>
  </conditionalFormatting>
  <conditionalFormatting sqref="C100:C109">
    <cfRule type="expression" dxfId="1453" priority="18">
      <formula>OR((private_cloud_result="Excluded"),(private_cloud_chosen="Connect Instance"))</formula>
    </cfRule>
  </conditionalFormatting>
  <conditionalFormatting sqref="C111:C112">
    <cfRule type="expression" dxfId="1452" priority="35">
      <formula>OR((private_cloud_result="Excluded"),(private_cloud_chosen="Connect Instance"))</formula>
    </cfRule>
  </conditionalFormatting>
  <conditionalFormatting sqref="C137">
    <cfRule type="expression" dxfId="1451" priority="218">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450" priority="222">
      <formula>LEN(TRIM(D15))&gt;0</formula>
    </cfRule>
  </conditionalFormatting>
  <conditionalFormatting sqref="D15 D17:D19 D21:D23 D25:D29 D31:D42 D44:D48 D50:D58">
    <cfRule type="expression" dxfId="1448" priority="27">
      <formula>AND((flt_custom_network_vcf_ops_automation_chosen="Deploy VCF Operations and Automation"),(flt_custom_network_vcf_ops_automation_result="Excluded"))</formula>
    </cfRule>
    <cfRule type="expression" dxfId="1447" priority="7">
      <formula>OR((flt_custom_network_vcf_ops_automation_chosen="Deploy VCF Automation"),(flt_custom_network_vcf_ops_automation_chosen="Exclude"))</formula>
    </cfRule>
  </conditionalFormatting>
  <conditionalFormatting sqref="D32">
    <cfRule type="expression" dxfId="1446" priority="1">
      <formula>flt_custom_network_ha_mode_chosen="Standard"</formula>
    </cfRule>
  </conditionalFormatting>
  <conditionalFormatting sqref="D34:D36">
    <cfRule type="expression" dxfId="1445" priority="2">
      <formula>flt_custom_network_ha_mode_chosen="Standard"</formula>
    </cfRule>
  </conditionalFormatting>
  <conditionalFormatting sqref="D38:D39">
    <cfRule type="expression" dxfId="1444" priority="4">
      <formula>flt_custom_network_ha_mode_chosen="Standard"</formula>
    </cfRule>
  </conditionalFormatting>
  <conditionalFormatting sqref="D55:D56">
    <cfRule type="expression" dxfId="1443" priority="3">
      <formula>flt_custom_network_ha_mode_chosen="Standard"</formula>
    </cfRule>
  </conditionalFormatting>
  <conditionalFormatting sqref="D63:D65 D67:D79 D81:D86 D88:D94 D96:D116">
    <cfRule type="expression" dxfId="1442" priority="6">
      <formula>OR((flt_custom_network_vcf_ops_automation_chosen="Exclude"),(flt_custom_network_vcf_ops_automation_chosen ="Deploy VCF Operations and Automation"))</formula>
    </cfRule>
    <cfRule type="expression" dxfId="1441" priority="8">
      <formula>AND((flt_custom_network_vcf_ops_automation_chosen="Deploy VCF Automation"),(flt_custom_network_vcf_ops_automation_result="Excluded"))</formula>
    </cfRule>
  </conditionalFormatting>
  <conditionalFormatting sqref="D65 D67:D77 D79 D81:D86 D88:D94 D105:D116">
    <cfRule type="expression" dxfId="1440" priority="10">
      <formula>vcf_automation_type="Import"</formula>
    </cfRule>
  </conditionalFormatting>
  <conditionalFormatting sqref="D69">
    <cfRule type="expression" dxfId="1439" priority="17">
      <formula>vcf_automation_cert_type_chosen="Generate Certificate"</formula>
    </cfRule>
  </conditionalFormatting>
  <conditionalFormatting sqref="D70:D76">
    <cfRule type="expression" dxfId="1438" priority="12">
      <formula>vcf_automation_cert_type_chosen="Import Certificate"</formula>
    </cfRule>
  </conditionalFormatting>
  <conditionalFormatting sqref="D123:D125 D127:D139 D141:D146 D148:D154 D156:D173">
    <cfRule type="expression" dxfId="1437" priority="105">
      <formula>OR((flt_vidb_chosen="Identity Broker (Embedded)"),(flt_vidb_chosen="Exclude"))</formula>
    </cfRule>
  </conditionalFormatting>
  <conditionalFormatting sqref="D124:D125 D127:D136 D138:D139">
    <cfRule type="expression" dxfId="1436" priority="127">
      <formula>flt_vidb_type_chosen="Import"</formula>
    </cfRule>
  </conditionalFormatting>
  <conditionalFormatting sqref="D129">
    <cfRule type="expression" dxfId="1435" priority="95">
      <formula>flt_logs_cert_type_chosen="Create Certificate"</formula>
    </cfRule>
    <cfRule type="expression" dxfId="1434" priority="87">
      <formula>flt_vidb_cert_type_chosen="Create Certificate"</formula>
    </cfRule>
    <cfRule type="expression" dxfId="1433" priority="103">
      <formula>flt_logs_install_type_chosen="Import"</formula>
    </cfRule>
  </conditionalFormatting>
  <conditionalFormatting sqref="D130:D136">
    <cfRule type="expression" dxfId="1432" priority="86">
      <formula>flt_vidb_cert_type_chosen="Import Certificate"</formula>
    </cfRule>
  </conditionalFormatting>
  <conditionalFormatting sqref="D141:D146">
    <cfRule type="expression" dxfId="1431" priority="123">
      <formula>flt_vidb_type_chosen="Import"</formula>
    </cfRule>
  </conditionalFormatting>
  <conditionalFormatting sqref="D148:D154">
    <cfRule type="expression" dxfId="1430" priority="116">
      <formula>flt_vidb_type_chosen="Import"</formula>
    </cfRule>
  </conditionalFormatting>
  <conditionalFormatting sqref="D159:D162">
    <cfRule type="expression" dxfId="1429" priority="106">
      <formula>flt_vidb_type_chosen="Import"</formula>
    </cfRule>
  </conditionalFormatting>
  <conditionalFormatting sqref="D164:D173">
    <cfRule type="expression" dxfId="1428" priority="107">
      <formula>flt_vidb_type_chosen="Import"</formula>
    </cfRule>
  </conditionalFormatting>
  <conditionalFormatting sqref="D176:D177">
    <cfRule type="expression" dxfId="1427" priority="22">
      <formula>OR((flt_vidb_chosen="Identity Broker (Embedded)"),(flt_vidb_chosen="Exclude"))</formula>
    </cfRule>
    <cfRule type="expression" dxfId="1426" priority="23">
      <formula>flt_vidb_type_chosen="Import"</formula>
    </cfRule>
  </conditionalFormatting>
  <conditionalFormatting sqref="D176:D191 D194:D200 D202 D204 D213:D232 D234:D240 D242:D248 D250:D268 D270:D271 D273:D275 D277:D279 D281:D283 D312:D318 D320:D326 D328:D340 D342:D344 D346:D348 D350:D352 D354:D359 D292:D310 D209:D211 D288:D290 D123:D125 D127:D139 D141:D146 D148:D154 D156:D173 D15 D17:D19 D21:D23 D25:D29 D31:D42 D44:D48 D50:D58 D67:D79 D63:D65 D81:D86 D88:D94 D96:D116">
    <cfRule type="containsBlanks" dxfId="1425" priority="209">
      <formula>LEN(TRIM(D15))=0</formula>
    </cfRule>
  </conditionalFormatting>
  <conditionalFormatting sqref="D178:D191 D194:D200 D202 D204">
    <cfRule type="expression" dxfId="1424" priority="208">
      <formula>flt_vidb_chosen="Exclude"</formula>
    </cfRule>
  </conditionalFormatting>
  <conditionalFormatting sqref="D181">
    <cfRule type="expression" dxfId="1423" priority="26">
      <formula>flt_vidb_server_location_chosen="Selected"</formula>
    </cfRule>
  </conditionalFormatting>
  <conditionalFormatting sqref="D182:D183">
    <cfRule type="expression" dxfId="1422" priority="187">
      <formula>flt_vidb_server_location_chosen="Unselected"</formula>
    </cfRule>
  </conditionalFormatting>
  <conditionalFormatting sqref="D183">
    <cfRule type="expression" dxfId="1421" priority="176">
      <formula>flt_vidb_encrypted_connection_chosen="Unselected"</formula>
    </cfRule>
  </conditionalFormatting>
  <conditionalFormatting sqref="D184:D187">
    <cfRule type="expression" dxfId="1420" priority="188">
      <formula>flt_vidb_server_location_chosen="Selected"</formula>
    </cfRule>
  </conditionalFormatting>
  <conditionalFormatting sqref="D209:D211 D213:D232 D234:D240 D242:D248 D250:D268 D270:D271 D273:D275 D277:D279 D281:D283">
    <cfRule type="expression" dxfId="1419" priority="20">
      <formula>flt_logs_result="Excluded"</formula>
    </cfRule>
  </conditionalFormatting>
  <conditionalFormatting sqref="D210:D211 D213:D224">
    <cfRule type="expression" dxfId="1418" priority="162">
      <formula>flt_logs_install_type_chosen="Import"</formula>
    </cfRule>
  </conditionalFormatting>
  <conditionalFormatting sqref="D213 D292:D305">
    <cfRule type="expression" dxfId="1417" priority="21">
      <formula>flt_net_install_type_chosen="Import"</formula>
    </cfRule>
  </conditionalFormatting>
  <conditionalFormatting sqref="D215:D216">
    <cfRule type="expression" dxfId="1416" priority="135">
      <formula>flt_logs_cert_type_chosen="Generate Certificate"</formula>
    </cfRule>
  </conditionalFormatting>
  <conditionalFormatting sqref="D217:D223">
    <cfRule type="expression" dxfId="1415" priority="128">
      <formula>flt_logs_cert_type_chosen="Import Certificate"</formula>
    </cfRule>
  </conditionalFormatting>
  <conditionalFormatting sqref="D226:D227">
    <cfRule type="expression" dxfId="1414" priority="161">
      <formula>flt_logs_ha_mode_chosen="Standard"</formula>
    </cfRule>
  </conditionalFormatting>
  <conditionalFormatting sqref="D226:D232 D234:D240 D242:D248 D259:D265 D267:D268 D270:D271 D273:D275 D277:D279 D281:D283">
    <cfRule type="expression" dxfId="1413" priority="172">
      <formula>flt_logs_install_type_chosen="Import"</formula>
    </cfRule>
  </conditionalFormatting>
  <conditionalFormatting sqref="D230:D231">
    <cfRule type="expression" dxfId="1412" priority="160">
      <formula>flt_logs_ha_mode_chosen="Standard"</formula>
    </cfRule>
  </conditionalFormatting>
  <conditionalFormatting sqref="D250:D253 D258">
    <cfRule type="expression" dxfId="1411" priority="171">
      <formula>flt_logs_install_type_chosen="New Install"</formula>
    </cfRule>
  </conditionalFormatting>
  <conditionalFormatting sqref="D288:D290 D292:D310 D312:D318 D320:D326 D328:D340 D342:D344 D346:D348 D350:D352 D354:D359">
    <cfRule type="expression" dxfId="1410" priority="24">
      <formula>flt_net_result="Excluded"</formula>
    </cfRule>
  </conditionalFormatting>
  <conditionalFormatting sqref="D289:D290 D307:D310">
    <cfRule type="expression" dxfId="1409" priority="159">
      <formula>flt_net_install_type_chosen="Import"</formula>
    </cfRule>
  </conditionalFormatting>
  <conditionalFormatting sqref="D294:D296">
    <cfRule type="expression" dxfId="1408" priority="140">
      <formula>flt_net_cert_type_chosen="Generate Certificate"</formula>
    </cfRule>
  </conditionalFormatting>
  <conditionalFormatting sqref="D297:D301">
    <cfRule type="expression" dxfId="1407" priority="150">
      <formula>flt_net_cert_type_chosen="Upload Certificate"</formula>
    </cfRule>
  </conditionalFormatting>
  <conditionalFormatting sqref="D303:D304 D346:D348 D350:D352">
    <cfRule type="expression" dxfId="1406" priority="165">
      <formula>flt_net_ha_mode_chosen="Standard"</formula>
    </cfRule>
  </conditionalFormatting>
  <conditionalFormatting sqref="D307:D308">
    <cfRule type="expression" dxfId="1405" priority="155">
      <formula>flt_net_ha_mode_chosen="Standard"</formula>
    </cfRule>
  </conditionalFormatting>
  <conditionalFormatting sqref="D312:D318 D320:D326 D328:D336 D342:D344 D346:D348 D350:D352">
    <cfRule type="expression" dxfId="1404" priority="167">
      <formula>flt_net_install_type_chosen="Import"</formula>
    </cfRule>
  </conditionalFormatting>
  <conditionalFormatting sqref="D337:D340">
    <cfRule type="expression" dxfId="1403" priority="5">
      <formula>flt_net_install_type_chosen="New Install"</formula>
    </cfRule>
  </conditionalFormatting>
  <conditionalFormatting sqref="D354:D359">
    <cfRule type="expression" dxfId="1402" priority="166">
      <formula>flt_net_install_type_chosen="Import"</formula>
    </cfRule>
  </conditionalFormatting>
  <dataValidations count="26">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xr:uid="{F3F74E46-3475-AD4A-B8A4-F0E8E8574DF1}">
      <formula1>"Small,Medium,Large,Extra Large,Extra Extra Large"</formula1>
    </dataValidation>
    <dataValidation type="list" allowBlank="1" showInputMessage="1" showErrorMessage="1" sqref="D344 D348 D352" xr:uid="{AD9E05B9-850B-054B-B7A2-F8D435A35F5C}">
      <formula1>"Large,Extra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 sqref="D354"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34"/>
  <sheetViews>
    <sheetView showGridLines="0" zoomScaleNormal="100" workbookViewId="0">
      <pane ySplit="4" topLeftCell="A5" activePane="bottomLeft" state="frozen"/>
      <selection pane="bottomLeft"/>
    </sheetView>
  </sheetViews>
  <sheetFormatPr defaultColWidth="11" defaultRowHeight="15" x14ac:dyDescent="0.2"/>
  <cols>
    <col min="1" max="1" width="2.875" style="8" customWidth="1"/>
    <col min="2" max="2" width="75.875" style="8" customWidth="1"/>
    <col min="3" max="3" width="76.125" style="8" customWidth="1"/>
    <col min="4" max="4" width="75.875" style="8" customWidth="1"/>
    <col min="5" max="5" width="109.125" style="8" customWidth="1"/>
    <col min="6" max="6" width="10.875" style="8" customWidth="1"/>
    <col min="7" max="11" width="11" style="8" customWidth="1"/>
    <col min="12" max="16384" width="11" style="8"/>
  </cols>
  <sheetData>
    <row r="1" spans="1:10" s="2" customFormat="1" ht="15.95" customHeight="1" x14ac:dyDescent="0.2">
      <c r="A1" s="1"/>
      <c r="F1" s="8"/>
      <c r="G1" s="8"/>
      <c r="H1" s="8"/>
      <c r="I1" s="8"/>
      <c r="J1" s="8"/>
    </row>
    <row r="2" spans="1:10" s="2" customFormat="1" ht="54" customHeight="1" x14ac:dyDescent="0.2">
      <c r="B2" s="546" t="s">
        <v>1187</v>
      </c>
      <c r="C2" s="547"/>
      <c r="D2" s="547"/>
      <c r="E2" s="548"/>
      <c r="F2" s="8"/>
      <c r="G2" s="8"/>
      <c r="H2" s="8"/>
      <c r="I2" s="8"/>
      <c r="J2" s="8"/>
    </row>
    <row r="3" spans="1:10" s="2" customFormat="1" ht="20.100000000000001" customHeight="1" x14ac:dyDescent="0.2">
      <c r="B3" s="549" t="s">
        <v>1188</v>
      </c>
      <c r="C3" s="550"/>
      <c r="D3" s="550"/>
      <c r="E3" s="551"/>
      <c r="F3" s="8"/>
      <c r="G3" s="8"/>
      <c r="H3" s="8"/>
      <c r="I3" s="8"/>
      <c r="J3" s="8"/>
    </row>
    <row r="4" spans="1:10" s="2" customFormat="1" x14ac:dyDescent="0.25">
      <c r="D4" s="10"/>
      <c r="E4" s="3"/>
      <c r="F4" s="3"/>
    </row>
    <row r="5" spans="1:10" ht="15.95" customHeight="1" x14ac:dyDescent="0.2"/>
    <row r="6" spans="1:10" ht="33.950000000000003" customHeight="1" x14ac:dyDescent="0.2">
      <c r="B6" s="552" t="s">
        <v>1189</v>
      </c>
      <c r="C6" s="553"/>
      <c r="D6" s="553"/>
      <c r="E6" s="553"/>
    </row>
    <row r="8" spans="1:10" ht="33.950000000000003" customHeight="1" x14ac:dyDescent="0.2">
      <c r="B8" s="369" t="s">
        <v>1190</v>
      </c>
      <c r="C8" s="370"/>
      <c r="D8" s="370"/>
      <c r="E8" s="371"/>
    </row>
    <row r="9" spans="1:10" ht="20.100000000000001" customHeight="1" x14ac:dyDescent="0.2">
      <c r="B9" s="346" t="s">
        <v>124</v>
      </c>
      <c r="C9" s="346" t="s">
        <v>38</v>
      </c>
      <c r="D9" s="346" t="s">
        <v>125</v>
      </c>
      <c r="E9" s="346" t="s">
        <v>126</v>
      </c>
    </row>
    <row r="10" spans="1:10" ht="20.100000000000001" customHeight="1" x14ac:dyDescent="0.2">
      <c r="B10" s="355" t="s">
        <v>228</v>
      </c>
      <c r="C10" s="362" t="str">
        <f>IF(vcf_granular_option_chosen="Additional WLD Cluster","Deploy Additional Workload Cluster","Deploy Virtual Infrastructure (VI) Workload Domain")</f>
        <v>Deploy Virtual Infrastructure (VI) Workload Domain</v>
      </c>
      <c r="D10" s="112"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12"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100000000000001" customHeight="1" x14ac:dyDescent="0.2">
      <c r="B11" s="254" t="s">
        <v>228</v>
      </c>
      <c r="C11" s="362" t="s">
        <v>1191</v>
      </c>
      <c r="D11" s="112"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100000000000001" customHeight="1" x14ac:dyDescent="0.2">
      <c r="B12" s="254" t="s">
        <v>228</v>
      </c>
      <c r="C12" s="362" t="s">
        <v>1192</v>
      </c>
      <c r="D12"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100000000000001" customHeight="1" x14ac:dyDescent="0.2">
      <c r="B13" s="347" t="s">
        <v>228</v>
      </c>
      <c r="C13" s="362" t="s">
        <v>1193</v>
      </c>
      <c r="D13" s="337" t="str">
        <f>IF(mgmt_domain_deployment_type_chosen="VMware vSphere Foundation",IF(wld_dpg_separation_chosen="Exclude","Excluded"),"Included")</f>
        <v>Included</v>
      </c>
      <c r="E13"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100000000000001" customHeight="1" x14ac:dyDescent="0.2">
      <c r="B14" s="145" t="s">
        <v>368</v>
      </c>
      <c r="C14" s="362" t="s">
        <v>1194</v>
      </c>
      <c r="D14" s="337" t="str">
        <f>IF(mgmt_domain_deployment_type_chosen="VMware vSphere Foundation","Excluded",IF(wld_domain_chosen="Import VI Workload Domain","Excluded",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IF(wld_principal_storage_chosen="NFSv3","Principal Storage will be NFS based",
IF(wld_principal_storage_chosen="VMFS on Fibre Channel (FC)","Principal Storage will be VMFS on FC based",""))))))))))</f>
        <v>Cause: Standard VI Workload Domain Required</v>
      </c>
    </row>
    <row r="15" spans="1:10" ht="20.100000000000001" customHeight="1" x14ac:dyDescent="0.2">
      <c r="B15" s="79" t="s">
        <v>704</v>
      </c>
      <c r="C15" s="362" t="s">
        <v>1195</v>
      </c>
      <c r="D15" s="77" t="str">
        <f>IF((wld_domain_result="Excluded"),"Excluded",
IF(wld_domain_chosen="Import Workload Domain","Excluded","Included"))</f>
        <v>Excluded</v>
      </c>
      <c r="E15" s="112"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100000000000001" customHeight="1" x14ac:dyDescent="0.2">
      <c r="B16" s="355" t="s">
        <v>228</v>
      </c>
      <c r="C16" s="362" t="str">
        <f>IF(wld_principal_storage_chosen="vSAN Storage Cluster","Prepare vSAN Storage Cluster with a vSAN Client Network","Prepare Workload Domain with a Secondary Storage Network")</f>
        <v>Prepare Workload Domain with a Secondary Storage Network</v>
      </c>
      <c r="D16" s="112"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100000000000001" customHeight="1" x14ac:dyDescent="0.2">
      <c r="B17" s="146" t="s">
        <v>228</v>
      </c>
      <c r="C17" s="362" t="s">
        <v>1196</v>
      </c>
      <c r="D17" s="112" t="str">
        <f>IF(wld_domain_result="Excluded","Excluded",
IF(mgmt_domain_deployment_type_chosen="VMware vSphere Foundation","Excluded",IF(wld_esxi_external_certs_chosen="Include","Included","Excluded")))</f>
        <v>Excluded</v>
      </c>
      <c r="E17"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100000000000001" customHeight="1" x14ac:dyDescent="0.2">
      <c r="B18" s="355" t="s">
        <v>228</v>
      </c>
      <c r="C18" s="362" t="s">
        <v>1197</v>
      </c>
      <c r="D18" s="112" t="str">
        <f>IF(mgmt_domain_deployment_type_chosen="VMware vSphere Foundation","Excluded",
IF(wld_domain_result="Excluded","Excluded",
IF(wld_stretched_cluster_chosen="Include","Excluded",
IF(wld_iaas_chosen="Include","Included","Excluded"))))</f>
        <v>Excluded</v>
      </c>
      <c r="E18"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27"/>
    </row>
    <row r="19" spans="2:7" ht="15.95" customHeight="1" x14ac:dyDescent="0.2">
      <c r="G19" s="27"/>
    </row>
    <row r="20" spans="2:7" ht="33.950000000000003" customHeight="1" x14ac:dyDescent="0.2">
      <c r="B20" s="408" t="s">
        <v>1198</v>
      </c>
      <c r="C20" s="409"/>
      <c r="D20" s="409"/>
      <c r="E20" s="410"/>
      <c r="G20" s="27"/>
    </row>
    <row r="21" spans="2:7" ht="20.100000000000001" customHeight="1" x14ac:dyDescent="0.2">
      <c r="B21" s="405" t="s">
        <v>310</v>
      </c>
      <c r="C21" s="406"/>
      <c r="D21" s="406"/>
      <c r="E21" s="407"/>
      <c r="G21" s="27"/>
    </row>
    <row r="22" spans="2:7" ht="20.100000000000001" customHeight="1" x14ac:dyDescent="0.2">
      <c r="B22" s="346" t="s">
        <v>37</v>
      </c>
      <c r="C22" s="346" t="s">
        <v>276</v>
      </c>
      <c r="D22" s="346" t="s">
        <v>277</v>
      </c>
      <c r="E22" s="346" t="s">
        <v>5</v>
      </c>
      <c r="G22" s="27"/>
    </row>
    <row r="23" spans="2:7" ht="20.100000000000001" customHeight="1" x14ac:dyDescent="0.2">
      <c r="B23" s="4" t="s">
        <v>1199</v>
      </c>
      <c r="C23" s="89" t="str">
        <f>CONCATENATE(this_instance,"-w0",wld_domain_number_chosen)</f>
        <v>sfo-w01</v>
      </c>
      <c r="D23" s="347"/>
      <c r="E23" s="25" t="str">
        <f>IF(wld_domain_chosen="Import Workload Domain","Use this section for Import Workload Domain","")</f>
        <v/>
      </c>
      <c r="G23" s="27"/>
    </row>
    <row r="24" spans="2:7" ht="15.95" customHeight="1" x14ac:dyDescent="0.2">
      <c r="G24" s="27"/>
    </row>
    <row r="25" spans="2:7" ht="33.950000000000003" customHeight="1" x14ac:dyDescent="0.2">
      <c r="B25" s="505" t="s">
        <v>1200</v>
      </c>
      <c r="C25" s="506"/>
      <c r="D25" s="506"/>
      <c r="E25" s="507"/>
      <c r="G25" s="27"/>
    </row>
    <row r="26" spans="2:7" ht="20.100000000000001" customHeight="1" x14ac:dyDescent="0.2">
      <c r="B26" s="405" t="s">
        <v>310</v>
      </c>
      <c r="C26" s="406"/>
      <c r="D26" s="406"/>
      <c r="E26" s="407"/>
      <c r="G26" s="27"/>
    </row>
    <row r="27" spans="2:7" ht="20.100000000000001" customHeight="1" x14ac:dyDescent="0.2">
      <c r="B27" s="346" t="s">
        <v>37</v>
      </c>
      <c r="C27" s="346" t="s">
        <v>276</v>
      </c>
      <c r="D27" s="346" t="s">
        <v>277</v>
      </c>
      <c r="E27" s="346" t="s">
        <v>5</v>
      </c>
      <c r="G27" s="27"/>
    </row>
    <row r="28" spans="2:7" ht="20.100000000000001" customHeight="1" x14ac:dyDescent="0.2">
      <c r="B28" s="4" t="s">
        <v>1201</v>
      </c>
      <c r="C28" s="89" t="s">
        <v>1202</v>
      </c>
      <c r="D28" s="347" t="s">
        <v>1202</v>
      </c>
      <c r="E28" s="32"/>
      <c r="G28" s="27"/>
    </row>
    <row r="29" spans="2:7" ht="20.100000000000001" customHeight="1" x14ac:dyDescent="0.2">
      <c r="B29" s="4" t="s">
        <v>1203</v>
      </c>
      <c r="C29" s="89" t="str">
        <f>CONCATENATE(this_instance,"-w0",wld_domain_number_chosen,"-vc01",".",sample_child_dns_zone)</f>
        <v>sfo-w01-vc01.sfo.rainpole.io</v>
      </c>
      <c r="D29" s="347"/>
      <c r="E29" s="32"/>
      <c r="G29" s="27"/>
    </row>
    <row r="30" spans="2:7" ht="20.100000000000001" customHeight="1" x14ac:dyDescent="0.2">
      <c r="B30" s="4" t="s">
        <v>1204</v>
      </c>
      <c r="C30" s="89" t="s">
        <v>297</v>
      </c>
      <c r="D30" s="347"/>
      <c r="E30" s="147"/>
      <c r="G30" s="27"/>
    </row>
    <row r="31" spans="2:7" ht="20.100000000000001" customHeight="1" x14ac:dyDescent="0.2">
      <c r="B31" s="4" t="s">
        <v>1205</v>
      </c>
      <c r="C31" s="89" t="str">
        <f>CONCATENATE("administrator@",this_instance,"-w0",wld_domain_number_chosen,".local")</f>
        <v>administrator@sfo-w01.local</v>
      </c>
      <c r="D31" s="347"/>
      <c r="E31" s="147"/>
      <c r="G31" s="27"/>
    </row>
    <row r="32" spans="2:7" ht="20.100000000000001" customHeight="1" x14ac:dyDescent="0.2">
      <c r="B32" s="4" t="s">
        <v>1206</v>
      </c>
      <c r="C32" s="89" t="s">
        <v>297</v>
      </c>
      <c r="D32" s="347"/>
      <c r="E32" s="147"/>
      <c r="G32" s="27"/>
    </row>
    <row r="33" spans="2:7" ht="20.100000000000001" customHeight="1" x14ac:dyDescent="0.2">
      <c r="B33" s="4" t="s">
        <v>1207</v>
      </c>
      <c r="C33" s="89" t="s">
        <v>323</v>
      </c>
      <c r="D33" s="347" t="s">
        <v>323</v>
      </c>
      <c r="E33" s="147"/>
      <c r="G33" s="27"/>
    </row>
    <row r="34" spans="2:7" ht="15.95" customHeight="1" x14ac:dyDescent="0.2"/>
    <row r="35" spans="2:7" ht="33.950000000000003" customHeight="1" x14ac:dyDescent="0.2">
      <c r="B35" s="505" t="s">
        <v>300</v>
      </c>
      <c r="C35" s="506"/>
      <c r="D35" s="506"/>
      <c r="E35" s="507"/>
    </row>
    <row r="36" spans="2:7" ht="20.100000000000001" customHeight="1" x14ac:dyDescent="0.2">
      <c r="B36" s="405" t="s">
        <v>1208</v>
      </c>
      <c r="C36" s="406"/>
      <c r="D36" s="406"/>
      <c r="E36" s="407"/>
    </row>
    <row r="37" spans="2:7" ht="20.100000000000001" customHeight="1" x14ac:dyDescent="0.2">
      <c r="B37" s="346" t="s">
        <v>37</v>
      </c>
      <c r="C37" s="346" t="s">
        <v>276</v>
      </c>
      <c r="D37" s="346" t="s">
        <v>277</v>
      </c>
      <c r="E37" s="346" t="s">
        <v>5</v>
      </c>
      <c r="G37" s="27"/>
    </row>
    <row r="38" spans="2:7" ht="20.100000000000001" customHeight="1" x14ac:dyDescent="0.2">
      <c r="B38" s="17" t="s">
        <v>1209</v>
      </c>
      <c r="C38" s="362" t="s">
        <v>1210</v>
      </c>
      <c r="D38" s="347" t="s">
        <v>1210</v>
      </c>
      <c r="E38" s="32"/>
    </row>
    <row r="39" spans="2:7" ht="20.100000000000001" customHeight="1" x14ac:dyDescent="0.2">
      <c r="B39" s="17" t="s">
        <v>1211</v>
      </c>
      <c r="C39" s="362" t="s">
        <v>1212</v>
      </c>
      <c r="D39" s="347" t="s">
        <v>1212</v>
      </c>
      <c r="E39" s="32"/>
    </row>
    <row r="40" spans="2:7" ht="20.100000000000001" customHeight="1" x14ac:dyDescent="0.2">
      <c r="B40" s="17" t="s">
        <v>350</v>
      </c>
      <c r="C40" s="362" t="s">
        <v>214</v>
      </c>
      <c r="D40" s="347" t="s">
        <v>214</v>
      </c>
      <c r="E40" s="32"/>
    </row>
    <row r="41" spans="2:7" ht="20.100000000000001" customHeight="1" x14ac:dyDescent="0.2">
      <c r="B41" s="17" t="s">
        <v>360</v>
      </c>
      <c r="C41" s="126" t="str">
        <f>CONCATENATE(this_instance,"-w0",wld_domain_number_chosen,"-nsx01a",".",sample_child_dns_zone)</f>
        <v>sfo-w01-nsx01a.sfo.rainpole.io</v>
      </c>
      <c r="D41" s="347"/>
      <c r="E41" s="337" t="s">
        <v>1213</v>
      </c>
    </row>
    <row r="42" spans="2:7" ht="20.100000000000001" customHeight="1" x14ac:dyDescent="0.2">
      <c r="B42" s="17" t="s">
        <v>1214</v>
      </c>
      <c r="C42" s="126" t="str">
        <f>CONCATENATE(this_instance,"-w0",wld_domain_number_chosen,"-nsx01b",".",sample_child_dns_zone)</f>
        <v>sfo-w01-nsx01b.sfo.rainpole.io</v>
      </c>
      <c r="D42" s="347"/>
      <c r="E42" s="337" t="s">
        <v>1215</v>
      </c>
    </row>
    <row r="43" spans="2:7" ht="20.100000000000001" customHeight="1" x14ac:dyDescent="0.2">
      <c r="B43" s="17" t="s">
        <v>1216</v>
      </c>
      <c r="C43" s="126" t="str">
        <f>CONCATENATE(this_instance,"-w0",wld_domain_number_chosen,"-nsx01c",".",sample_child_dns_zone)</f>
        <v>sfo-w01-nsx01c.sfo.rainpole.io</v>
      </c>
      <c r="D43" s="347"/>
      <c r="E43" s="337" t="s">
        <v>1217</v>
      </c>
    </row>
    <row r="44" spans="2:7" ht="20.100000000000001" customHeight="1" x14ac:dyDescent="0.2">
      <c r="B44" s="17" t="s">
        <v>1218</v>
      </c>
      <c r="C44" s="126" t="str">
        <f>CONCATENATE(this_instance,"-w0",wld_domain_number_chosen,"-nsx01",".",sample_child_dns_zone)</f>
        <v>sfo-w01-nsx01.sfo.rainpole.io</v>
      </c>
      <c r="D44" s="347"/>
      <c r="E44" s="337" t="s">
        <v>1219</v>
      </c>
      <c r="G44" s="27"/>
    </row>
    <row r="45" spans="2:7" ht="20.100000000000001" customHeight="1" x14ac:dyDescent="0.2">
      <c r="B45" s="4" t="s">
        <v>364</v>
      </c>
      <c r="C45" s="89" t="s">
        <v>323</v>
      </c>
      <c r="D45" s="347" t="s">
        <v>323</v>
      </c>
      <c r="E45" s="337" t="s">
        <v>1220</v>
      </c>
    </row>
    <row r="46" spans="2:7" ht="20.100000000000001" customHeight="1" x14ac:dyDescent="0.2">
      <c r="B46" s="17" t="s">
        <v>1221</v>
      </c>
      <c r="C46" s="362" t="s">
        <v>323</v>
      </c>
      <c r="D46" s="347" t="s">
        <v>323</v>
      </c>
      <c r="E46" s="337" t="s">
        <v>1222</v>
      </c>
    </row>
    <row r="47" spans="2:7" ht="20.100000000000001" customHeight="1" x14ac:dyDescent="0.2">
      <c r="B47" s="17" t="s">
        <v>1223</v>
      </c>
      <c r="C47" s="362" t="s">
        <v>286</v>
      </c>
      <c r="D47" s="347" t="s">
        <v>286</v>
      </c>
      <c r="E47" s="337"/>
    </row>
    <row r="48" spans="2:7" ht="20.100000000000001" customHeight="1" x14ac:dyDescent="0.2">
      <c r="B48" s="4" t="s">
        <v>1224</v>
      </c>
      <c r="C48" s="89" t="s">
        <v>297</v>
      </c>
      <c r="D48" s="347"/>
      <c r="E48" s="337" t="s">
        <v>675</v>
      </c>
    </row>
    <row r="49" spans="2:7" ht="20.100000000000001" customHeight="1" x14ac:dyDescent="0.2">
      <c r="B49" s="4" t="s">
        <v>1225</v>
      </c>
      <c r="C49" s="89" t="s">
        <v>297</v>
      </c>
      <c r="D49" s="347"/>
      <c r="E49" s="337" t="s">
        <v>675</v>
      </c>
    </row>
    <row r="50" spans="2:7" ht="20.100000000000001" customHeight="1" x14ac:dyDescent="0.2">
      <c r="B50" s="4" t="s">
        <v>1226</v>
      </c>
      <c r="C50" s="89" t="s">
        <v>297</v>
      </c>
      <c r="D50" s="347"/>
      <c r="E50" s="337" t="s">
        <v>675</v>
      </c>
      <c r="G50" s="27"/>
    </row>
    <row r="51" spans="2:7" ht="15.95" customHeight="1" x14ac:dyDescent="0.2">
      <c r="G51" s="27"/>
    </row>
    <row r="52" spans="2:7" ht="33.950000000000003" customHeight="1" x14ac:dyDescent="0.2">
      <c r="B52" s="554" t="s">
        <v>1227</v>
      </c>
      <c r="C52" s="555"/>
      <c r="D52" s="555"/>
      <c r="E52" s="556"/>
      <c r="G52" s="27"/>
    </row>
    <row r="53" spans="2:7" ht="20.100000000000001" customHeight="1" x14ac:dyDescent="0.2"/>
    <row r="54" spans="2:7" ht="36" customHeight="1" x14ac:dyDescent="0.2">
      <c r="B54" s="505" t="s">
        <v>1228</v>
      </c>
      <c r="C54" s="506"/>
      <c r="D54" s="506"/>
      <c r="E54" s="507"/>
    </row>
    <row r="55" spans="2:7" ht="20.100000000000001" customHeight="1" x14ac:dyDescent="0.2">
      <c r="B55" s="405"/>
      <c r="C55" s="406"/>
      <c r="D55" s="406"/>
      <c r="E55" s="407"/>
    </row>
    <row r="56" spans="2:7" ht="20.100000000000001" customHeight="1" x14ac:dyDescent="0.2">
      <c r="B56" s="346" t="s">
        <v>37</v>
      </c>
      <c r="C56" s="346" t="s">
        <v>276</v>
      </c>
      <c r="D56" s="346" t="s">
        <v>277</v>
      </c>
      <c r="E56" s="346" t="s">
        <v>5</v>
      </c>
    </row>
    <row r="57" spans="2:7" ht="20.100000000000001" customHeight="1" x14ac:dyDescent="0.2">
      <c r="B57" s="405" t="s">
        <v>397</v>
      </c>
      <c r="C57" s="406"/>
      <c r="D57" s="406"/>
      <c r="E57" s="407"/>
    </row>
    <row r="58" spans="2:7" ht="20.100000000000001" customHeight="1" x14ac:dyDescent="0.2">
      <c r="B58" s="4" t="s">
        <v>398</v>
      </c>
      <c r="C58" s="80" t="str">
        <f>CONCATENATE(prefix_wld_az1_vlan,"11")</f>
        <v>1311</v>
      </c>
      <c r="D58" s="347"/>
      <c r="E58" s="93"/>
    </row>
    <row r="59" spans="2:7" ht="20.100000000000001" customHeight="1" x14ac:dyDescent="0.2">
      <c r="B59" s="4" t="s">
        <v>399</v>
      </c>
      <c r="C59" s="80" t="str">
        <f>CONCATENATE(prefix_wld_az1_cidr,"11.1")</f>
        <v>10.13.11.1</v>
      </c>
      <c r="D59" s="347"/>
      <c r="E59" s="32"/>
    </row>
    <row r="60" spans="2:7" ht="20.100000000000001" customHeight="1" x14ac:dyDescent="0.2">
      <c r="B60" s="4" t="s">
        <v>400</v>
      </c>
      <c r="C60" s="80" t="str">
        <f>CONCATENATE(prefix_wld_az1_cidr,"11.0/24")</f>
        <v>10.13.11.0/24</v>
      </c>
      <c r="D60" s="347"/>
      <c r="E60" s="32"/>
    </row>
    <row r="61" spans="2:7" ht="20.100000000000001" customHeight="1" x14ac:dyDescent="0.2">
      <c r="B61" s="4" t="s">
        <v>401</v>
      </c>
      <c r="C61" s="80">
        <v>1500</v>
      </c>
      <c r="D61" s="347"/>
      <c r="E61" s="32"/>
    </row>
    <row r="62" spans="2:7" ht="20.100000000000001" customHeight="1" x14ac:dyDescent="0.2">
      <c r="B62" s="508" t="s">
        <v>476</v>
      </c>
      <c r="C62" s="509"/>
      <c r="D62" s="509"/>
      <c r="E62" s="510"/>
    </row>
    <row r="63" spans="2:7" ht="20.100000000000001" customHeight="1" x14ac:dyDescent="0.2">
      <c r="B63" s="17" t="s">
        <v>686</v>
      </c>
      <c r="C63" s="89" t="str">
        <f>CONCATENATE(prefix_wld_az1_cidr,"11.101")</f>
        <v>10.13.11.101</v>
      </c>
      <c r="D63" s="347"/>
      <c r="E63" s="132" t="s">
        <v>477</v>
      </c>
    </row>
    <row r="64" spans="2:7" ht="20.100000000000001" customHeight="1" x14ac:dyDescent="0.2">
      <c r="B64" s="17" t="s">
        <v>687</v>
      </c>
      <c r="C64" s="89" t="str">
        <f>CONCATENATE(prefix_wld_az1_cidr,"11.102")</f>
        <v>10.13.11.102</v>
      </c>
      <c r="D64" s="347"/>
      <c r="E64" s="132" t="s">
        <v>478</v>
      </c>
    </row>
    <row r="65" spans="2:7" ht="20.100000000000001" customHeight="1" x14ac:dyDescent="0.2">
      <c r="B65" s="17" t="s">
        <v>688</v>
      </c>
      <c r="C65" s="89" t="str">
        <f>CONCATENATE(prefix_wld_az1_cidr,"11.103")</f>
        <v>10.13.11.103</v>
      </c>
      <c r="D65" s="347"/>
      <c r="E65" s="132" t="s">
        <v>1229</v>
      </c>
    </row>
    <row r="66" spans="2:7" ht="20.100000000000001" customHeight="1" x14ac:dyDescent="0.2">
      <c r="B66" s="17" t="s">
        <v>689</v>
      </c>
      <c r="C66" s="89" t="str">
        <f>CONCATENATE(prefix_wld_az1_cidr,"11.104")</f>
        <v>10.13.11.104</v>
      </c>
      <c r="D66" s="347"/>
      <c r="E66" s="132" t="s">
        <v>480</v>
      </c>
    </row>
    <row r="67" spans="2:7" ht="20.100000000000001" customHeight="1" x14ac:dyDescent="0.2">
      <c r="B67" s="17" t="s">
        <v>690</v>
      </c>
      <c r="C67" s="89" t="str">
        <f>CONCATENATE(prefix_wld_az1_cidr,"11.105")</f>
        <v>10.13.11.105</v>
      </c>
      <c r="D67" s="347"/>
      <c r="E67" s="132" t="s">
        <v>481</v>
      </c>
    </row>
    <row r="68" spans="2:7" ht="20.100000000000001" customHeight="1" x14ac:dyDescent="0.2">
      <c r="B68" s="17" t="s">
        <v>691</v>
      </c>
      <c r="C68" s="89" t="str">
        <f>CONCATENATE(prefix_wld_az1_cidr,"11.106")</f>
        <v>10.13.11.106</v>
      </c>
      <c r="D68" s="347"/>
      <c r="E68" s="132" t="s">
        <v>482</v>
      </c>
    </row>
    <row r="69" spans="2:7" ht="20.100000000000001" customHeight="1" x14ac:dyDescent="0.2">
      <c r="B69" s="17" t="s">
        <v>692</v>
      </c>
      <c r="C69" s="89" t="str">
        <f>CONCATENATE(prefix_wld_az1_cidr,"11.107")</f>
        <v>10.13.11.107</v>
      </c>
      <c r="D69" s="347"/>
      <c r="E69" s="132" t="s">
        <v>483</v>
      </c>
    </row>
    <row r="70" spans="2:7" ht="20.100000000000001" customHeight="1" x14ac:dyDescent="0.2">
      <c r="B70" s="17" t="s">
        <v>693</v>
      </c>
      <c r="C70" s="89" t="str">
        <f>CONCATENATE(prefix_wld_az1_cidr,"11.108")</f>
        <v>10.13.11.108</v>
      </c>
      <c r="D70" s="347"/>
      <c r="E70" s="132" t="s">
        <v>484</v>
      </c>
    </row>
    <row r="71" spans="2:7" ht="20.100000000000001" customHeight="1" x14ac:dyDescent="0.2">
      <c r="B71" s="17" t="s">
        <v>694</v>
      </c>
      <c r="C71" s="89" t="str">
        <f>CONCATENATE(prefix_wld_az1_cidr,"11.109")</f>
        <v>10.13.11.109</v>
      </c>
      <c r="D71" s="347"/>
      <c r="E71" s="132" t="s">
        <v>485</v>
      </c>
    </row>
    <row r="72" spans="2:7" ht="20.100000000000001" customHeight="1" x14ac:dyDescent="0.2">
      <c r="B72" s="17" t="s">
        <v>695</v>
      </c>
      <c r="C72" s="89" t="str">
        <f>CONCATENATE(prefix_wld_az1_cidr,"11.110")</f>
        <v>10.13.11.110</v>
      </c>
      <c r="D72" s="347"/>
      <c r="E72" s="132" t="s">
        <v>486</v>
      </c>
    </row>
    <row r="73" spans="2:7" ht="20.100000000000001" customHeight="1" x14ac:dyDescent="0.2">
      <c r="B73" s="17" t="s">
        <v>696</v>
      </c>
      <c r="C73" s="89" t="str">
        <f>CONCATENATE(prefix_wld_az1_cidr,"11.111")</f>
        <v>10.13.11.111</v>
      </c>
      <c r="D73" s="347"/>
      <c r="E73" s="132" t="s">
        <v>487</v>
      </c>
    </row>
    <row r="74" spans="2:7" ht="20.100000000000001" customHeight="1" x14ac:dyDescent="0.2">
      <c r="B74" s="17" t="s">
        <v>697</v>
      </c>
      <c r="C74" s="89" t="str">
        <f>CONCATENATE(prefix_wld_az1_cidr,"11.112")</f>
        <v>10.13.11.112</v>
      </c>
      <c r="D74" s="347"/>
      <c r="E74" s="132" t="s">
        <v>488</v>
      </c>
    </row>
    <row r="75" spans="2:7" ht="20.100000000000001" customHeight="1" x14ac:dyDescent="0.2">
      <c r="B75" s="17" t="s">
        <v>698</v>
      </c>
      <c r="C75" s="89" t="str">
        <f>CONCATENATE(prefix_wld_az1_cidr,"11.113")</f>
        <v>10.13.11.113</v>
      </c>
      <c r="D75" s="347"/>
      <c r="E75" s="132" t="s">
        <v>489</v>
      </c>
    </row>
    <row r="76" spans="2:7" ht="20.100000000000001" customHeight="1" x14ac:dyDescent="0.2">
      <c r="B76" s="17" t="s">
        <v>699</v>
      </c>
      <c r="C76" s="89" t="str">
        <f>CONCATENATE(prefix_wld_az1_cidr,"11.114")</f>
        <v>10.13.11.114</v>
      </c>
      <c r="D76" s="347"/>
      <c r="E76" s="132" t="s">
        <v>490</v>
      </c>
    </row>
    <row r="77" spans="2:7" ht="20.100000000000001" customHeight="1" x14ac:dyDescent="0.2">
      <c r="B77" s="17" t="s">
        <v>700</v>
      </c>
      <c r="C77" s="89" t="str">
        <f>CONCATENATE(prefix_wld_az1_cidr,"11.115")</f>
        <v>10.13.11.115</v>
      </c>
      <c r="D77" s="347"/>
      <c r="E77" s="132" t="s">
        <v>491</v>
      </c>
    </row>
    <row r="78" spans="2:7" ht="20.100000000000001" customHeight="1" x14ac:dyDescent="0.2">
      <c r="B78" s="17" t="s">
        <v>701</v>
      </c>
      <c r="C78" s="89" t="str">
        <f>CONCATENATE(prefix_wld_az1_cidr,"11.116")</f>
        <v>10.13.11.116</v>
      </c>
      <c r="D78" s="347"/>
      <c r="E78" s="132" t="s">
        <v>492</v>
      </c>
      <c r="G78" s="27"/>
    </row>
    <row r="79" spans="2:7" ht="15.95" customHeight="1" x14ac:dyDescent="0.2"/>
    <row r="80" spans="2:7" ht="33.950000000000003" customHeight="1" x14ac:dyDescent="0.2">
      <c r="B80" s="505" t="s">
        <v>1230</v>
      </c>
      <c r="C80" s="506"/>
      <c r="D80" s="506"/>
      <c r="E80" s="507"/>
    </row>
    <row r="81" spans="2:5" ht="20.100000000000001" customHeight="1" x14ac:dyDescent="0.2">
      <c r="B81" s="405"/>
      <c r="C81" s="406"/>
      <c r="D81" s="406"/>
      <c r="E81" s="407"/>
    </row>
    <row r="82" spans="2:5" ht="20.100000000000001" customHeight="1" x14ac:dyDescent="0.2">
      <c r="B82" s="346" t="s">
        <v>37</v>
      </c>
      <c r="C82" s="346" t="s">
        <v>276</v>
      </c>
      <c r="D82" s="346" t="s">
        <v>277</v>
      </c>
      <c r="E82" s="346" t="s">
        <v>5</v>
      </c>
    </row>
    <row r="83" spans="2:5" ht="20.100000000000001" customHeight="1" x14ac:dyDescent="0.2">
      <c r="B83" s="17" t="s">
        <v>705</v>
      </c>
      <c r="C83" s="80" t="str">
        <f>CONCATENATE(this_instance,"01-w0",wld_domain_number_chosen,"-r01-network-pool-01")</f>
        <v>sfo01-w01-r01-network-pool-01</v>
      </c>
      <c r="D83" s="347"/>
      <c r="E83" s="32"/>
    </row>
    <row r="84" spans="2:5" ht="20.100000000000001" customHeight="1" x14ac:dyDescent="0.2">
      <c r="B84" s="405" t="s">
        <v>404</v>
      </c>
      <c r="C84" s="406"/>
      <c r="D84" s="406"/>
      <c r="E84" s="407"/>
    </row>
    <row r="85" spans="2:5" ht="20.100000000000001" customHeight="1" x14ac:dyDescent="0.2">
      <c r="B85" s="4" t="s">
        <v>398</v>
      </c>
      <c r="C85" s="80" t="str">
        <f>CONCATENATE(prefix_wld_az1_vlan,"12")</f>
        <v>1312</v>
      </c>
      <c r="D85" s="347"/>
      <c r="E85" s="93"/>
    </row>
    <row r="86" spans="2:5" ht="20.100000000000001" customHeight="1" x14ac:dyDescent="0.2">
      <c r="B86" s="4" t="s">
        <v>401</v>
      </c>
      <c r="C86" s="80">
        <v>9000</v>
      </c>
      <c r="D86" s="347"/>
      <c r="E86" s="32"/>
    </row>
    <row r="87" spans="2:5" ht="20.100000000000001" customHeight="1" x14ac:dyDescent="0.2">
      <c r="B87" s="4" t="s">
        <v>400</v>
      </c>
      <c r="C87" s="80" t="str">
        <f>CONCATENATE(prefix_wld_az1_cidr,"12.0")</f>
        <v>10.13.12.0</v>
      </c>
      <c r="D87" s="347"/>
      <c r="E87" s="32"/>
    </row>
    <row r="88" spans="2:5" ht="20.100000000000001" customHeight="1" x14ac:dyDescent="0.2">
      <c r="B88" s="4" t="s">
        <v>732</v>
      </c>
      <c r="C88" s="80" t="s">
        <v>612</v>
      </c>
      <c r="D88" s="347"/>
      <c r="E88" s="32"/>
    </row>
    <row r="89" spans="2:5" ht="20.100000000000001" customHeight="1" x14ac:dyDescent="0.2">
      <c r="B89" s="4" t="s">
        <v>399</v>
      </c>
      <c r="C89" s="80" t="str">
        <f>CONCATENATE(prefix_wld_az1_cidr,"12.1")</f>
        <v>10.13.12.1</v>
      </c>
      <c r="D89" s="347"/>
      <c r="E89" s="32"/>
    </row>
    <row r="90" spans="2:5" ht="20.100000000000001" customHeight="1" x14ac:dyDescent="0.2">
      <c r="B90" s="17" t="s">
        <v>460</v>
      </c>
      <c r="C90" s="80" t="str">
        <f>CONCATENATE(prefix_wld_az1_cidr,"12.101")</f>
        <v>10.13.12.101</v>
      </c>
      <c r="D90" s="347"/>
      <c r="E90" s="32"/>
    </row>
    <row r="91" spans="2:5" ht="20.100000000000001" customHeight="1" x14ac:dyDescent="0.2">
      <c r="B91" s="17" t="s">
        <v>461</v>
      </c>
      <c r="C91" s="80" t="str">
        <f>CONCATENATE(prefix_wld_az1_cidr,"12.116")</f>
        <v>10.13.12.116</v>
      </c>
      <c r="D91" s="347"/>
      <c r="E91" s="32"/>
    </row>
    <row r="92" spans="2:5" ht="20.100000000000001" customHeight="1" x14ac:dyDescent="0.2">
      <c r="B92" s="405" t="str">
        <f>IF(wld_principal_storage_chosen="NFSv3","NFS Network","vSAN Network")</f>
        <v>vSAN Network</v>
      </c>
      <c r="C92" s="406"/>
      <c r="D92" s="406"/>
      <c r="E92" s="407"/>
    </row>
    <row r="93" spans="2:5" ht="20.100000000000001" customHeight="1" x14ac:dyDescent="0.2">
      <c r="B93" s="4" t="s">
        <v>398</v>
      </c>
      <c r="C93" s="80" t="str">
        <f>CONCATENATE(prefix_wld_az1_vlan,"13")</f>
        <v>1313</v>
      </c>
      <c r="D93" s="148"/>
      <c r="E93" s="32"/>
    </row>
    <row r="94" spans="2:5" ht="20.100000000000001" customHeight="1" x14ac:dyDescent="0.2">
      <c r="B94" s="4" t="s">
        <v>401</v>
      </c>
      <c r="C94" s="80">
        <v>9000</v>
      </c>
      <c r="D94" s="347"/>
      <c r="E94" s="32"/>
    </row>
    <row r="95" spans="2:5" ht="20.100000000000001" customHeight="1" x14ac:dyDescent="0.2">
      <c r="B95" s="4" t="s">
        <v>400</v>
      </c>
      <c r="C95" s="80" t="str">
        <f>CONCATENATE(prefix_wld_az1_cidr,"13.0")</f>
        <v>10.13.13.0</v>
      </c>
      <c r="D95" s="347"/>
      <c r="E95" s="56"/>
    </row>
    <row r="96" spans="2:5" ht="20.100000000000001" customHeight="1" x14ac:dyDescent="0.2">
      <c r="B96" s="4" t="s">
        <v>732</v>
      </c>
      <c r="C96" s="80" t="s">
        <v>612</v>
      </c>
      <c r="D96" s="347"/>
      <c r="E96" s="32"/>
    </row>
    <row r="97" spans="2:5" ht="20.100000000000001" customHeight="1" x14ac:dyDescent="0.2">
      <c r="B97" s="4" t="s">
        <v>399</v>
      </c>
      <c r="C97" s="80" t="str">
        <f>CONCATENATE(prefix_wld_az1_cidr,"13.1")</f>
        <v>10.13.13.1</v>
      </c>
      <c r="D97" s="347"/>
      <c r="E97" s="32" t="str">
        <f>IF(AND(mgmt_stretched_cluster_result="Included",mgmt_dpg_reuse_result="Excluded"),"Stretched L2","")</f>
        <v/>
      </c>
    </row>
    <row r="98" spans="2:5" ht="20.100000000000001" customHeight="1" x14ac:dyDescent="0.2">
      <c r="B98" s="17" t="s">
        <v>460</v>
      </c>
      <c r="C98" s="80" t="str">
        <f>CONCATENATE(prefix_wld_az1_cidr,"13.101")</f>
        <v>10.13.13.101</v>
      </c>
      <c r="D98" s="347"/>
      <c r="E98" s="56"/>
    </row>
    <row r="99" spans="2:5" ht="20.100000000000001" customHeight="1" x14ac:dyDescent="0.2">
      <c r="B99" s="17" t="s">
        <v>461</v>
      </c>
      <c r="C99" s="80" t="str">
        <f>CONCATENATE(prefix_wld_az1_cidr,"13.116")</f>
        <v>10.13.13.116</v>
      </c>
      <c r="D99" s="347"/>
      <c r="E99" s="56"/>
    </row>
    <row r="100" spans="2:5" ht="20.100000000000001" customHeight="1" x14ac:dyDescent="0.2">
      <c r="B100" s="405" t="str">
        <f>IF(wld_secondary_storage_chosen="Secondary NFS Storage Network","NFS Storage Network","vSAN Storage Client")</f>
        <v>vSAN Storage Client</v>
      </c>
      <c r="C100" s="406"/>
      <c r="D100" s="406"/>
      <c r="E100" s="407"/>
    </row>
    <row r="101" spans="2:5" ht="20.100000000000001" customHeight="1" x14ac:dyDescent="0.2">
      <c r="B101" s="4" t="s">
        <v>398</v>
      </c>
      <c r="C101" s="80" t="str">
        <f>CONCATENATE(prefix_wld_az1_vlan,"15")</f>
        <v>1315</v>
      </c>
      <c r="D101" s="347"/>
      <c r="E101" s="32"/>
    </row>
    <row r="102" spans="2:5" ht="20.100000000000001" customHeight="1" x14ac:dyDescent="0.2">
      <c r="B102" s="4" t="s">
        <v>401</v>
      </c>
      <c r="C102" s="80">
        <v>9000</v>
      </c>
      <c r="D102" s="347"/>
      <c r="E102" s="56"/>
    </row>
    <row r="103" spans="2:5" ht="20.100000000000001" customHeight="1" x14ac:dyDescent="0.2">
      <c r="B103" s="4" t="s">
        <v>400</v>
      </c>
      <c r="C103" s="80" t="str">
        <f>CONCATENATE(prefix_wld_az1_cidr,"15.0")</f>
        <v>10.13.15.0</v>
      </c>
      <c r="D103" s="347"/>
      <c r="E103" s="32"/>
    </row>
    <row r="104" spans="2:5" ht="20.100000000000001" customHeight="1" x14ac:dyDescent="0.2">
      <c r="B104" s="4" t="s">
        <v>732</v>
      </c>
      <c r="C104" s="80" t="s">
        <v>612</v>
      </c>
      <c r="D104" s="347"/>
      <c r="E104" s="32"/>
    </row>
    <row r="105" spans="2:5" ht="20.100000000000001" customHeight="1" x14ac:dyDescent="0.2">
      <c r="B105" s="4" t="s">
        <v>399</v>
      </c>
      <c r="C105" s="80" t="str">
        <f>CONCATENATE(prefix_wld_az1_cidr,"15.1")</f>
        <v>10.13.15.1</v>
      </c>
      <c r="D105" s="347"/>
      <c r="E105" s="32" t="str">
        <f>IF(AND(mgmt_stretched_cluster_result="Included",mgmt_dpg_reuse_result="Excluded"),"Stretched L2","")</f>
        <v/>
      </c>
    </row>
    <row r="106" spans="2:5" ht="20.100000000000001" customHeight="1" x14ac:dyDescent="0.2">
      <c r="B106" s="17" t="s">
        <v>460</v>
      </c>
      <c r="C106" s="80" t="str">
        <f>CONCATENATE(prefix_wld_az1_cidr,"15.101")</f>
        <v>10.13.15.101</v>
      </c>
      <c r="D106" s="347"/>
      <c r="E106" s="56"/>
    </row>
    <row r="107" spans="2:5" ht="20.100000000000001" customHeight="1" x14ac:dyDescent="0.2">
      <c r="B107" s="17" t="s">
        <v>461</v>
      </c>
      <c r="C107" s="80" t="str">
        <f>CONCATENATE(prefix_wld_az1_cidr,"15.116")</f>
        <v>10.13.15.116</v>
      </c>
      <c r="D107" s="347"/>
      <c r="E107" s="56"/>
    </row>
    <row r="108" spans="2:5" ht="20.100000000000001" customHeight="1" x14ac:dyDescent="0.2">
      <c r="B108" s="405" t="s">
        <v>1231</v>
      </c>
      <c r="C108" s="406"/>
      <c r="D108" s="406"/>
      <c r="E108" s="407"/>
    </row>
    <row r="109" spans="2:5" ht="20.100000000000001" customHeight="1" x14ac:dyDescent="0.2">
      <c r="B109" s="4" t="s">
        <v>398</v>
      </c>
      <c r="C109" s="80" t="str">
        <f>CONCATENATE(prefix_wld_az1_vlan,"16")</f>
        <v>1316</v>
      </c>
      <c r="D109" s="347"/>
      <c r="E109" s="32"/>
    </row>
    <row r="110" spans="2:5" ht="20.100000000000001" customHeight="1" x14ac:dyDescent="0.2">
      <c r="B110" s="4" t="s">
        <v>401</v>
      </c>
      <c r="C110" s="80">
        <v>9000</v>
      </c>
      <c r="D110" s="347"/>
      <c r="E110" s="56"/>
    </row>
    <row r="111" spans="2:5" ht="20.100000000000001" customHeight="1" x14ac:dyDescent="0.2">
      <c r="B111" s="4" t="s">
        <v>400</v>
      </c>
      <c r="C111" s="80" t="str">
        <f>CONCATENATE(prefix_wld_az1_cidr,"16.0")</f>
        <v>10.13.16.0</v>
      </c>
      <c r="D111" s="347"/>
      <c r="E111" s="32"/>
    </row>
    <row r="112" spans="2:5" ht="20.100000000000001" customHeight="1" x14ac:dyDescent="0.2">
      <c r="B112" s="4" t="s">
        <v>732</v>
      </c>
      <c r="C112" s="80" t="s">
        <v>612</v>
      </c>
      <c r="D112" s="347"/>
      <c r="E112" s="32"/>
    </row>
    <row r="113" spans="2:5" ht="20.100000000000001" customHeight="1" x14ac:dyDescent="0.2">
      <c r="B113" s="4" t="s">
        <v>399</v>
      </c>
      <c r="C113" s="80" t="str">
        <f>CONCATENATE(prefix_wld_az1_cidr,"16.1")</f>
        <v>10.13.16.1</v>
      </c>
      <c r="D113" s="347"/>
      <c r="E113" s="32" t="str">
        <f>IF(AND(mgmt_stretched_cluster_result="Included",mgmt_dpg_reuse_result="Excluded"),"Stretched L2","")</f>
        <v/>
      </c>
    </row>
    <row r="114" spans="2:5" ht="20.100000000000001" customHeight="1" x14ac:dyDescent="0.2">
      <c r="B114" s="17" t="s">
        <v>460</v>
      </c>
      <c r="C114" s="80" t="str">
        <f>CONCATENATE(prefix_wld_az1_cidr,"16.101")</f>
        <v>10.13.16.101</v>
      </c>
      <c r="D114" s="347"/>
      <c r="E114" s="56"/>
    </row>
    <row r="115" spans="2:5" ht="20.100000000000001" customHeight="1" x14ac:dyDescent="0.2">
      <c r="B115" s="17" t="s">
        <v>461</v>
      </c>
      <c r="C115" s="80" t="str">
        <f>CONCATENATE(prefix_wld_az1_cidr,"16.116")</f>
        <v>10.13.16.116</v>
      </c>
      <c r="D115" s="347"/>
      <c r="E115" s="56"/>
    </row>
    <row r="116" spans="2:5" ht="15.95" customHeight="1" x14ac:dyDescent="0.2"/>
    <row r="117" spans="2:5" ht="33.950000000000003" customHeight="1" x14ac:dyDescent="0.2">
      <c r="B117" s="505" t="s">
        <v>1232</v>
      </c>
      <c r="C117" s="506"/>
      <c r="D117" s="506"/>
      <c r="E117" s="507"/>
    </row>
    <row r="118" spans="2:5" ht="20.100000000000001" customHeight="1" x14ac:dyDescent="0.2">
      <c r="B118" s="405"/>
      <c r="C118" s="406"/>
      <c r="D118" s="406"/>
      <c r="E118" s="407"/>
    </row>
    <row r="119" spans="2:5" ht="20.100000000000001" customHeight="1" x14ac:dyDescent="0.2">
      <c r="B119" s="346" t="s">
        <v>37</v>
      </c>
      <c r="C119" s="346" t="s">
        <v>276</v>
      </c>
      <c r="D119" s="346" t="s">
        <v>277</v>
      </c>
      <c r="E119" s="346" t="s">
        <v>5</v>
      </c>
    </row>
    <row r="120" spans="2:5" ht="20.100000000000001" customHeight="1" x14ac:dyDescent="0.2">
      <c r="B120" s="17" t="s">
        <v>686</v>
      </c>
      <c r="C120" s="89" t="str">
        <f>CONCATENATE(this_instance,"01-w0",wld_domain_number_chosen,"-r01-esx01",".",sample_child_dns_zone)</f>
        <v>sfo01-w01-r01-esx01.sfo.rainpole.io</v>
      </c>
      <c r="D120" s="347"/>
      <c r="E120" s="32"/>
    </row>
    <row r="121" spans="2:5" ht="20.100000000000001" customHeight="1" x14ac:dyDescent="0.2">
      <c r="B121" s="17" t="s">
        <v>687</v>
      </c>
      <c r="C121" s="149" t="str">
        <f>CONCATENATE(this_instance,"01-w0",wld_domain_number_chosen,"-r01-esx02",".",sample_child_dns_zone)</f>
        <v>sfo01-w01-r01-esx02.sfo.rainpole.io</v>
      </c>
      <c r="D121" s="347"/>
      <c r="E121" s="32"/>
    </row>
    <row r="122" spans="2:5" ht="20.100000000000001" customHeight="1" x14ac:dyDescent="0.2">
      <c r="B122" s="17" t="s">
        <v>688</v>
      </c>
      <c r="C122" s="149" t="str">
        <f>CONCATENATE(this_instance,"01-w0",wld_domain_number_chosen,"-r01-esx03",".",sample_child_dns_zone)</f>
        <v>sfo01-w01-r01-esx03.sfo.rainpole.io</v>
      </c>
      <c r="D122" s="347"/>
      <c r="E122" s="32"/>
    </row>
    <row r="123" spans="2:5" ht="20.100000000000001" customHeight="1" x14ac:dyDescent="0.2">
      <c r="B123" s="17" t="s">
        <v>689</v>
      </c>
      <c r="C123" s="149" t="str">
        <f>CONCATENATE(this_instance,"01-w0",wld_domain_number_chosen,"-r01-esx04",".",sample_child_dns_zone)</f>
        <v>sfo01-w01-r01-esx04.sfo.rainpole.io</v>
      </c>
      <c r="D123" s="347"/>
      <c r="E123" s="32"/>
    </row>
    <row r="124" spans="2:5" ht="20.100000000000001" customHeight="1" x14ac:dyDescent="0.2">
      <c r="B124" s="17" t="s">
        <v>690</v>
      </c>
      <c r="C124" s="149" t="str">
        <f>CONCATENATE(this_instance,"01-w0",wld_domain_number_chosen,"-r01-esx05",".",sample_child_dns_zone)</f>
        <v>sfo01-w01-r01-esx05.sfo.rainpole.io</v>
      </c>
      <c r="D124" s="347"/>
      <c r="E124" s="32"/>
    </row>
    <row r="125" spans="2:5" ht="20.100000000000001" customHeight="1" x14ac:dyDescent="0.2">
      <c r="B125" s="17" t="s">
        <v>691</v>
      </c>
      <c r="C125" s="149" t="str">
        <f>CONCATENATE(this_instance,"01-w0",wld_domain_number_chosen,"-r01-esx06",".",sample_child_dns_zone)</f>
        <v>sfo01-w01-r01-esx06.sfo.rainpole.io</v>
      </c>
      <c r="D125" s="347"/>
      <c r="E125" s="32"/>
    </row>
    <row r="126" spans="2:5" ht="20.100000000000001" customHeight="1" x14ac:dyDescent="0.2">
      <c r="B126" s="17" t="s">
        <v>692</v>
      </c>
      <c r="C126" s="149" t="str">
        <f>CONCATENATE(this_instance,"01-w0",wld_domain_number_chosen,"-r01-esx07",".",sample_child_dns_zone)</f>
        <v>sfo01-w01-r01-esx07.sfo.rainpole.io</v>
      </c>
      <c r="D126" s="347"/>
      <c r="E126" s="32"/>
    </row>
    <row r="127" spans="2:5" ht="20.100000000000001" customHeight="1" x14ac:dyDescent="0.2">
      <c r="B127" s="17" t="s">
        <v>693</v>
      </c>
      <c r="C127" s="149" t="str">
        <f>CONCATENATE(this_instance,"01-w0",wld_domain_number_chosen,"-r01-esx08",".",sample_child_dns_zone)</f>
        <v>sfo01-w01-r01-esx08.sfo.rainpole.io</v>
      </c>
      <c r="D127" s="347"/>
      <c r="E127" s="32"/>
    </row>
    <row r="128" spans="2:5" ht="20.100000000000001" customHeight="1" x14ac:dyDescent="0.2">
      <c r="B128" s="17" t="s">
        <v>694</v>
      </c>
      <c r="C128" s="149" t="str">
        <f>CONCATENATE(this_instance,"01-w0",wld_domain_number_chosen,"-r01-esx09",".",sample_child_dns_zone)</f>
        <v>sfo01-w01-r01-esx09.sfo.rainpole.io</v>
      </c>
      <c r="D128" s="347"/>
      <c r="E128" s="32"/>
    </row>
    <row r="129" spans="2:9" ht="20.100000000000001" customHeight="1" x14ac:dyDescent="0.2">
      <c r="B129" s="17" t="s">
        <v>695</v>
      </c>
      <c r="C129" s="149" t="str">
        <f>CONCATENATE(this_instance,"01-w0",wld_domain_number_chosen,"-r01-esx10",".",sample_child_dns_zone)</f>
        <v>sfo01-w01-r01-esx10.sfo.rainpole.io</v>
      </c>
      <c r="D129" s="347"/>
      <c r="E129" s="32"/>
    </row>
    <row r="130" spans="2:9" ht="20.100000000000001" customHeight="1" x14ac:dyDescent="0.2">
      <c r="B130" s="17" t="s">
        <v>696</v>
      </c>
      <c r="C130" s="149" t="str">
        <f>CONCATENATE(this_instance,"01-w0",wld_domain_number_chosen,"-r01-esx11",".",sample_child_dns_zone)</f>
        <v>sfo01-w01-r01-esx11.sfo.rainpole.io</v>
      </c>
      <c r="D130" s="347"/>
      <c r="E130" s="32"/>
    </row>
    <row r="131" spans="2:9" ht="20.100000000000001" customHeight="1" x14ac:dyDescent="0.2">
      <c r="B131" s="17" t="s">
        <v>697</v>
      </c>
      <c r="C131" s="149" t="str">
        <f>CONCATENATE(this_instance,"01-w0",wld_domain_number_chosen,"-r01-esx12",".",sample_child_dns_zone)</f>
        <v>sfo01-w01-r01-esx12.sfo.rainpole.io</v>
      </c>
      <c r="D131" s="347"/>
      <c r="E131" s="32"/>
    </row>
    <row r="132" spans="2:9" ht="20.100000000000001" customHeight="1" x14ac:dyDescent="0.2">
      <c r="B132" s="17" t="s">
        <v>698</v>
      </c>
      <c r="C132" s="149" t="str">
        <f>CONCATENATE(this_instance,"01-w0",wld_domain_number_chosen,"-r01-esx13",".",sample_child_dns_zone)</f>
        <v>sfo01-w01-r01-esx13.sfo.rainpole.io</v>
      </c>
      <c r="D132" s="347"/>
      <c r="E132" s="32"/>
    </row>
    <row r="133" spans="2:9" ht="20.100000000000001" customHeight="1" x14ac:dyDescent="0.2">
      <c r="B133" s="17" t="s">
        <v>699</v>
      </c>
      <c r="C133" s="149" t="str">
        <f>CONCATENATE(this_instance,"01-w0",wld_domain_number_chosen,"-r01-esx14",".",sample_child_dns_zone)</f>
        <v>sfo01-w01-r01-esx14.sfo.rainpole.io</v>
      </c>
      <c r="D133" s="347"/>
      <c r="E133" s="32"/>
    </row>
    <row r="134" spans="2:9" ht="20.100000000000001" customHeight="1" x14ac:dyDescent="0.2">
      <c r="B134" s="17" t="s">
        <v>700</v>
      </c>
      <c r="C134" s="149" t="str">
        <f>CONCATENATE(this_instance,"01-w0",wld_domain_number_chosen,"-r01-esx15",".",sample_child_dns_zone)</f>
        <v>sfo01-w01-r01-esx15.sfo.rainpole.io</v>
      </c>
      <c r="D134" s="347"/>
      <c r="E134" s="32"/>
    </row>
    <row r="135" spans="2:9" ht="20.100000000000001" customHeight="1" x14ac:dyDescent="0.2">
      <c r="B135" s="17" t="s">
        <v>701</v>
      </c>
      <c r="C135" s="149" t="str">
        <f>CONCATENATE(this_instance,"01-w0",wld_domain_number_chosen,"-r01-esx16",".",sample_child_dns_zone)</f>
        <v>sfo01-w01-r01-esx16.sfo.rainpole.io</v>
      </c>
      <c r="D135" s="347"/>
      <c r="E135" s="32"/>
    </row>
    <row r="136" spans="2:9" ht="20.100000000000001" customHeight="1" x14ac:dyDescent="0.2">
      <c r="B136" s="17" t="s">
        <v>712</v>
      </c>
      <c r="C136" s="78" t="s">
        <v>713</v>
      </c>
      <c r="D136" s="337"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32"/>
    </row>
    <row r="137" spans="2:9" ht="20.100000000000001" customHeight="1" x14ac:dyDescent="0.2">
      <c r="B137" s="17" t="s">
        <v>714</v>
      </c>
      <c r="C137" s="78" t="s">
        <v>715</v>
      </c>
      <c r="D137" s="337" t="str">
        <f>IF(wld_principal_storage_chosen="vSAN Storage Cluster","vSAN Storage",IF(wld_principal_storage_chosen="vSAN Compute Cluster","Compute Cluster",IF(OR(wld_principal_storage_chosen="vSAN-ESA",wld_principal_storage_chosen="vSAN-OSA"),"vSAN HCI","")))</f>
        <v>vSAN HCI</v>
      </c>
      <c r="E137" s="32"/>
    </row>
    <row r="138" spans="2:9" ht="20.100000000000001" customHeight="1" x14ac:dyDescent="0.2">
      <c r="B138" s="17" t="s">
        <v>716</v>
      </c>
      <c r="C138" s="78" t="s">
        <v>323</v>
      </c>
      <c r="D138" s="337" t="str">
        <f>IF(OR(wld_principal_storage_chosen="vSAN-ESA",wld_principal_storage_chosen="vSAN Storage Cluster",wld_principal_storage_chosen="vSAN Compute Cluster"),"Selected","Unselected")</f>
        <v>Selected</v>
      </c>
      <c r="E138" s="32"/>
    </row>
    <row r="139" spans="2:9" ht="20.100000000000001" customHeight="1" x14ac:dyDescent="0.2">
      <c r="B139" s="17" t="s">
        <v>705</v>
      </c>
      <c r="C139" s="78" t="str">
        <f>sample_wld_az1_pool_name</f>
        <v>sfo01-w01-r01-network-pool-01</v>
      </c>
      <c r="D139" s="337" t="str">
        <f>wld_az1_pool_name</f>
        <v>Value Missing</v>
      </c>
      <c r="E139" s="32"/>
    </row>
    <row r="140" spans="2:9" ht="20.100000000000001" customHeight="1" x14ac:dyDescent="0.2">
      <c r="B140" s="17" t="s">
        <v>535</v>
      </c>
      <c r="C140" s="78" t="s">
        <v>717</v>
      </c>
      <c r="D140" s="347"/>
      <c r="E140" s="32"/>
    </row>
    <row r="141" spans="2:9" s="7" customFormat="1" ht="20.100000000000001" customHeight="1" x14ac:dyDescent="0.2">
      <c r="B141" s="17" t="s">
        <v>296</v>
      </c>
      <c r="C141" s="78" t="s">
        <v>379</v>
      </c>
      <c r="D141" s="347"/>
      <c r="E141" s="32"/>
      <c r="I141" s="40"/>
    </row>
    <row r="142" spans="2:9" ht="15.95" customHeight="1" x14ac:dyDescent="0.2">
      <c r="B142" s="7"/>
      <c r="C142" s="7"/>
      <c r="D142" s="7"/>
      <c r="E142" s="7"/>
    </row>
    <row r="143" spans="2:9" ht="33.950000000000003" customHeight="1" x14ac:dyDescent="0.2">
      <c r="B143" s="505" t="s">
        <v>1233</v>
      </c>
      <c r="C143" s="506"/>
      <c r="D143" s="506"/>
      <c r="E143" s="507"/>
    </row>
    <row r="144" spans="2:9" ht="15.95" customHeight="1" x14ac:dyDescent="0.2">
      <c r="B144" s="7"/>
      <c r="C144" s="7"/>
      <c r="D144" s="7"/>
      <c r="E144" s="7"/>
    </row>
    <row r="145" spans="2:5" ht="33.950000000000003" customHeight="1" x14ac:dyDescent="0.2">
      <c r="B145" s="408" t="s">
        <v>309</v>
      </c>
      <c r="C145" s="409"/>
      <c r="D145" s="409"/>
      <c r="E145" s="410"/>
    </row>
    <row r="146" spans="2:5" ht="20.100000000000001" customHeight="1" x14ac:dyDescent="0.2">
      <c r="B146" s="405" t="s">
        <v>310</v>
      </c>
      <c r="C146" s="406"/>
      <c r="D146" s="406"/>
      <c r="E146" s="407"/>
    </row>
    <row r="147" spans="2:5" ht="20.100000000000001" customHeight="1" x14ac:dyDescent="0.2">
      <c r="B147" s="346" t="s">
        <v>37</v>
      </c>
      <c r="C147" s="346" t="s">
        <v>276</v>
      </c>
      <c r="D147" s="346" t="s">
        <v>277</v>
      </c>
      <c r="E147" s="346" t="s">
        <v>5</v>
      </c>
    </row>
    <row r="148" spans="2:5" ht="20.100000000000001" customHeight="1" x14ac:dyDescent="0.2">
      <c r="B148" s="17" t="s">
        <v>1199</v>
      </c>
      <c r="C148" s="362" t="str">
        <f>CONCATENATE(this_instance,"-w0",wld_domain_number_chosen)</f>
        <v>sfo-w01</v>
      </c>
      <c r="D148" s="347"/>
      <c r="E148" s="32"/>
    </row>
    <row r="149" spans="2:5" ht="20.100000000000001" customHeight="1" x14ac:dyDescent="0.2">
      <c r="B149" s="150" t="s">
        <v>1234</v>
      </c>
      <c r="C149" s="362" t="s">
        <v>663</v>
      </c>
      <c r="D149" s="337" t="str">
        <f>wld_iaas_chosen</f>
        <v>Exclude</v>
      </c>
      <c r="E149" s="150" t="s">
        <v>1235</v>
      </c>
    </row>
    <row r="150" spans="2:5" ht="20.100000000000001" customHeight="1" x14ac:dyDescent="0.2">
      <c r="B150" s="17" t="s">
        <v>1236</v>
      </c>
      <c r="C150" s="362" t="str">
        <f>CONCATENATE(this_instance,"-w0",wld_domain_number_chosen,".local")</f>
        <v>sfo-w01.local</v>
      </c>
      <c r="D150" s="347"/>
      <c r="E150" s="32"/>
    </row>
    <row r="151" spans="2:5" ht="20.100000000000001" customHeight="1" x14ac:dyDescent="0.2">
      <c r="B151" s="17" t="s">
        <v>1237</v>
      </c>
      <c r="C151" s="362" t="s">
        <v>286</v>
      </c>
      <c r="D151" s="347" t="s">
        <v>286</v>
      </c>
      <c r="E151" s="32"/>
    </row>
    <row r="152" spans="2:5" ht="20.100000000000001" customHeight="1" x14ac:dyDescent="0.2">
      <c r="B152" s="17" t="s">
        <v>1238</v>
      </c>
      <c r="C152" s="362" t="s">
        <v>297</v>
      </c>
      <c r="D152" s="347"/>
      <c r="E152" s="32"/>
    </row>
    <row r="153" spans="2:5" ht="15.95" customHeight="1" x14ac:dyDescent="0.2">
      <c r="B153" s="7"/>
      <c r="C153" s="7"/>
      <c r="D153" s="7"/>
      <c r="E153" s="7"/>
    </row>
    <row r="154" spans="2:5" ht="33.950000000000003" customHeight="1" x14ac:dyDescent="0.2">
      <c r="B154" s="408" t="s">
        <v>299</v>
      </c>
      <c r="C154" s="409"/>
      <c r="D154" s="409"/>
      <c r="E154" s="410"/>
    </row>
    <row r="155" spans="2:5" ht="20.100000000000001" customHeight="1" x14ac:dyDescent="0.2">
      <c r="B155" s="405" t="s">
        <v>299</v>
      </c>
      <c r="C155" s="406"/>
      <c r="D155" s="406"/>
      <c r="E155" s="407"/>
    </row>
    <row r="156" spans="2:5" ht="20.100000000000001" customHeight="1" x14ac:dyDescent="0.2">
      <c r="B156" s="346" t="s">
        <v>37</v>
      </c>
      <c r="C156" s="346" t="s">
        <v>276</v>
      </c>
      <c r="D156" s="346" t="s">
        <v>277</v>
      </c>
      <c r="E156" s="346" t="s">
        <v>5</v>
      </c>
    </row>
    <row r="157" spans="2:5" ht="18.95" customHeight="1" x14ac:dyDescent="0.2">
      <c r="B157" s="17" t="s">
        <v>1239</v>
      </c>
      <c r="C157" s="126" t="str">
        <f>CONCATENATE(this_instance,"-w0",wld_domain_number_chosen,"-vc01",".",sample_child_dns_zone)</f>
        <v>sfo-w01-vc01.sfo.rainpole.io</v>
      </c>
      <c r="D157" s="347"/>
      <c r="E157" s="32"/>
    </row>
    <row r="158" spans="2:5" ht="18.95" customHeight="1" x14ac:dyDescent="0.2">
      <c r="B158" s="17" t="s">
        <v>1240</v>
      </c>
      <c r="C158" s="126" t="s">
        <v>297</v>
      </c>
      <c r="D158" s="347"/>
      <c r="E158" s="32"/>
    </row>
    <row r="159" spans="2:5" ht="15.95" customHeight="1" x14ac:dyDescent="0.2">
      <c r="B159" s="7"/>
      <c r="C159" s="7"/>
      <c r="D159" s="7"/>
      <c r="E159" s="7"/>
    </row>
    <row r="160" spans="2:5" ht="33.950000000000003" customHeight="1" x14ac:dyDescent="0.2">
      <c r="B160" s="408" t="s">
        <v>1165</v>
      </c>
      <c r="C160" s="409"/>
      <c r="D160" s="409"/>
      <c r="E160" s="410"/>
    </row>
    <row r="161" spans="2:5" ht="20.100000000000001" customHeight="1" x14ac:dyDescent="0.2">
      <c r="B161" s="405" t="s">
        <v>1241</v>
      </c>
      <c r="C161" s="406"/>
      <c r="D161" s="406"/>
      <c r="E161" s="407"/>
    </row>
    <row r="162" spans="2:5" ht="20.100000000000001" customHeight="1" x14ac:dyDescent="0.2">
      <c r="B162" s="346" t="s">
        <v>37</v>
      </c>
      <c r="C162" s="346" t="s">
        <v>276</v>
      </c>
      <c r="D162" s="346" t="s">
        <v>277</v>
      </c>
      <c r="E162" s="346" t="s">
        <v>5</v>
      </c>
    </row>
    <row r="163" spans="2:5" ht="20.100000000000001" customHeight="1" x14ac:dyDescent="0.2">
      <c r="B163" s="17" t="s">
        <v>353</v>
      </c>
      <c r="C163" s="362" t="str">
        <f>CONCATENATE(this_instance,"-w0",wld_domain_number_chosen,"-cl01")</f>
        <v>sfo-w01-cl01</v>
      </c>
      <c r="D163" s="347"/>
      <c r="E163" s="32"/>
    </row>
    <row r="164" spans="2:5" ht="18.95" customHeight="1" x14ac:dyDescent="0.2">
      <c r="B164" s="17" t="s">
        <v>1242</v>
      </c>
      <c r="C164" s="362" t="s">
        <v>1243</v>
      </c>
      <c r="D164" s="347"/>
      <c r="E164" s="337" t="str">
        <f>IF(wld_iaas_chosen="Exclude","This value is masked out as you have chosen not to deploy vSphere Supervisor with NSX VPC Networking")</f>
        <v>This value is masked out as you have chosen not to deploy vSphere Supervisor with NSX VPC Networking</v>
      </c>
    </row>
    <row r="165" spans="2:5" ht="15.95" customHeight="1" x14ac:dyDescent="0.2">
      <c r="B165" s="7"/>
      <c r="C165" s="7"/>
      <c r="D165" s="7"/>
      <c r="E165" s="7"/>
    </row>
    <row r="166" spans="2:5" ht="33.950000000000003" customHeight="1" x14ac:dyDescent="0.2">
      <c r="B166" s="408" t="s">
        <v>1244</v>
      </c>
      <c r="C166" s="409"/>
      <c r="D166" s="409"/>
      <c r="E166" s="410"/>
    </row>
    <row r="167" spans="2:5" ht="20.100000000000001" customHeight="1" x14ac:dyDescent="0.2">
      <c r="B167" s="405" t="s">
        <v>1245</v>
      </c>
      <c r="C167" s="406"/>
      <c r="D167" s="406"/>
      <c r="E167" s="407"/>
    </row>
    <row r="168" spans="2:5" ht="18.95" customHeight="1" x14ac:dyDescent="0.2">
      <c r="B168" s="17" t="s">
        <v>1244</v>
      </c>
      <c r="C168" s="362" t="str">
        <f>CONCATENATE(this_instance,"-w0",wld_domain_number_chosen,"-cl01")</f>
        <v>sfo-w01-cl01</v>
      </c>
      <c r="D168" s="347"/>
      <c r="E168" s="32"/>
    </row>
    <row r="169" spans="2:5" ht="15.95" customHeight="1" x14ac:dyDescent="0.2">
      <c r="B169" s="7"/>
      <c r="C169" s="7"/>
      <c r="D169" s="7"/>
      <c r="E169" s="7"/>
    </row>
    <row r="170" spans="2:5" ht="33.950000000000003" customHeight="1" x14ac:dyDescent="0.2">
      <c r="B170" s="408" t="s">
        <v>300</v>
      </c>
      <c r="C170" s="409"/>
      <c r="D170" s="409"/>
      <c r="E170" s="410"/>
    </row>
    <row r="171" spans="2:5" ht="20.100000000000001" customHeight="1" x14ac:dyDescent="0.2">
      <c r="B171" s="405" t="s">
        <v>1208</v>
      </c>
      <c r="C171" s="406"/>
      <c r="D171" s="406"/>
      <c r="E171" s="407"/>
    </row>
    <row r="172" spans="2:5" ht="20.100000000000001" customHeight="1" x14ac:dyDescent="0.2">
      <c r="B172" s="346" t="s">
        <v>37</v>
      </c>
      <c r="C172" s="346" t="s">
        <v>276</v>
      </c>
      <c r="D172" s="346" t="s">
        <v>277</v>
      </c>
      <c r="E172" s="346" t="s">
        <v>5</v>
      </c>
    </row>
    <row r="173" spans="2:5" ht="20.100000000000001" customHeight="1" x14ac:dyDescent="0.2">
      <c r="B173" s="17" t="s">
        <v>1211</v>
      </c>
      <c r="C173" s="362" t="s">
        <v>1246</v>
      </c>
      <c r="D173" s="347" t="s">
        <v>1246</v>
      </c>
      <c r="E173" s="32"/>
    </row>
    <row r="174" spans="2:5" ht="20.100000000000001" customHeight="1" x14ac:dyDescent="0.2">
      <c r="B174" s="17" t="s">
        <v>350</v>
      </c>
      <c r="C174" s="362" t="s">
        <v>214</v>
      </c>
      <c r="D174" s="347" t="s">
        <v>214</v>
      </c>
      <c r="E174" s="32"/>
    </row>
    <row r="175" spans="2:5" ht="20.100000000000001" customHeight="1" x14ac:dyDescent="0.2">
      <c r="B175" s="17" t="s">
        <v>360</v>
      </c>
      <c r="C175" s="126" t="str">
        <f>CONCATENATE(this_instance,"-w0",wld_domain_number_chosen,"-nsx01a",".",sample_child_dns_zone)</f>
        <v>sfo-w01-nsx01a.sfo.rainpole.io</v>
      </c>
      <c r="D175" s="151"/>
      <c r="E175" s="33" t="s">
        <v>1213</v>
      </c>
    </row>
    <row r="176" spans="2:5" ht="20.100000000000001" customHeight="1" x14ac:dyDescent="0.2">
      <c r="B176" s="17" t="s">
        <v>1247</v>
      </c>
      <c r="C176" s="126" t="str">
        <f>IF(mgmt_dpg_reuse_result="Included",CONCATENATE(prefix_mgmt_az1_cidr,"10.",(132 + (30*(wld_domain_number_chosen - 1)))),CONCATENATE(prefix_mgmt_az1_cidr,"11.",(132 + (30*(wld_domain_number_chosen - 1)))))</f>
        <v>10.11.10.132</v>
      </c>
      <c r="D176" s="347"/>
      <c r="E176" s="33" t="s">
        <v>1248</v>
      </c>
    </row>
    <row r="177" spans="2:5" ht="20.100000000000001" customHeight="1" x14ac:dyDescent="0.2">
      <c r="B177" s="17" t="s">
        <v>1214</v>
      </c>
      <c r="C177" s="126" t="str">
        <f>CONCATENATE(this_instance,"-w0",wld_domain_number_chosen,"-nsx01b",".",sample_child_dns_zone)</f>
        <v>sfo-w01-nsx01b.sfo.rainpole.io</v>
      </c>
      <c r="D177" s="347"/>
      <c r="E177" s="33" t="s">
        <v>1215</v>
      </c>
    </row>
    <row r="178" spans="2:5" ht="20.100000000000001" customHeight="1" x14ac:dyDescent="0.2">
      <c r="B178" s="17" t="s">
        <v>1249</v>
      </c>
      <c r="C178" s="126" t="str">
        <f>IF(mgmt_dpg_reuse_result="Included",CONCATENATE(prefix_mgmt_az1_cidr,"10.",(133 + (30*(wld_domain_number_chosen - 1)))),CONCATENATE(prefix_mgmt_az1_cidr,"11.",(133 + (30*(wld_domain_number_chosen - 1)))))</f>
        <v>10.11.10.133</v>
      </c>
      <c r="D178" s="347"/>
      <c r="E178" s="33" t="s">
        <v>1248</v>
      </c>
    </row>
    <row r="179" spans="2:5" ht="20.100000000000001" customHeight="1" x14ac:dyDescent="0.2">
      <c r="B179" s="17" t="s">
        <v>1216</v>
      </c>
      <c r="C179" s="126" t="str">
        <f>CONCATENATE(this_instance,"-w0",wld_domain_number_chosen,"-nsx01c",".",sample_child_dns_zone)</f>
        <v>sfo-w01-nsx01c.sfo.rainpole.io</v>
      </c>
      <c r="D179" s="347"/>
      <c r="E179" s="33" t="s">
        <v>1217</v>
      </c>
    </row>
    <row r="180" spans="2:5" ht="20.100000000000001" customHeight="1" x14ac:dyDescent="0.2">
      <c r="B180" s="17" t="s">
        <v>1250</v>
      </c>
      <c r="C180" s="126" t="str">
        <f>IF(mgmt_dpg_reuse_result="Included",CONCATENATE(prefix_mgmt_az1_cidr,"10.",(134 + (30*(wld_domain_number_chosen - 1)))),CONCATENATE(prefix_mgmt_az1_cidr,"11.",(134 + (30*(wld_domain_number_chosen - 1)))))</f>
        <v>10.11.10.134</v>
      </c>
      <c r="D180" s="347"/>
      <c r="E180" s="33" t="s">
        <v>1248</v>
      </c>
    </row>
    <row r="181" spans="2:5" ht="20.100000000000001" customHeight="1" x14ac:dyDescent="0.2">
      <c r="B181" s="17" t="s">
        <v>1218</v>
      </c>
      <c r="C181" s="126" t="str">
        <f>CONCATENATE(this_instance,"-w0",wld_domain_number_chosen,"-nsx01",".",sample_child_dns_zone)</f>
        <v>sfo-w01-nsx01.sfo.rainpole.io</v>
      </c>
      <c r="D181" s="151"/>
      <c r="E181" s="33" t="s">
        <v>1219</v>
      </c>
    </row>
    <row r="182" spans="2:5" ht="20.100000000000001" customHeight="1" x14ac:dyDescent="0.2">
      <c r="B182" s="17" t="s">
        <v>1251</v>
      </c>
      <c r="C182" s="126" t="str">
        <f>IF(mgmt_dpg_reuse_result="Included",CONCATENATE(prefix_mgmt_az1_cidr,"10.",(131+(30*(wld_domain_number_chosen-1)))),CONCATENATE(prefix_mgmt_az1_cidr,"11.",(131+(30*(wld_domain_number_chosen-1)))))</f>
        <v>10.11.10.131</v>
      </c>
      <c r="D182" s="347"/>
      <c r="E182" s="33" t="s">
        <v>1248</v>
      </c>
    </row>
    <row r="183" spans="2:5" ht="20.100000000000001" customHeight="1" x14ac:dyDescent="0.2">
      <c r="B183" s="17" t="s">
        <v>674</v>
      </c>
      <c r="C183" s="362" t="s">
        <v>297</v>
      </c>
      <c r="D183" s="347"/>
      <c r="E183" s="32"/>
    </row>
    <row r="184" spans="2:5" ht="20.100000000000001" customHeight="1" x14ac:dyDescent="0.2">
      <c r="B184" s="17" t="s">
        <v>363</v>
      </c>
      <c r="C184" s="362" t="s">
        <v>297</v>
      </c>
      <c r="D184" s="347"/>
      <c r="E184" s="32"/>
    </row>
    <row r="185" spans="2:5" ht="20.100000000000001" customHeight="1" x14ac:dyDescent="0.2">
      <c r="B185" s="17" t="s">
        <v>1252</v>
      </c>
      <c r="C185" s="362" t="s">
        <v>570</v>
      </c>
      <c r="D185" s="347" t="s">
        <v>570</v>
      </c>
      <c r="E185" s="337" t="str">
        <f>IF(wld_iaas_result="Included","vSphere Supervisor requires a Centralized Connectivity","")</f>
        <v/>
      </c>
    </row>
    <row r="186" spans="2:5" ht="20.100000000000001" customHeight="1" x14ac:dyDescent="0.2">
      <c r="B186" s="17" t="s">
        <v>398</v>
      </c>
      <c r="C186" s="362">
        <v>1198</v>
      </c>
      <c r="D186" s="347"/>
      <c r="E186" s="32"/>
    </row>
    <row r="187" spans="2:5" ht="20.100000000000001" customHeight="1" x14ac:dyDescent="0.2">
      <c r="B187" s="17" t="s">
        <v>1253</v>
      </c>
      <c r="C187" s="362" t="s">
        <v>573</v>
      </c>
      <c r="D187" s="347"/>
      <c r="E187" s="32"/>
    </row>
    <row r="188" spans="2:5" ht="20.100000000000001" customHeight="1" x14ac:dyDescent="0.2">
      <c r="B188" s="17" t="s">
        <v>1254</v>
      </c>
      <c r="C188" s="362" t="s">
        <v>1255</v>
      </c>
      <c r="D188" s="347"/>
      <c r="E188" s="32"/>
    </row>
    <row r="189" spans="2:5" ht="18.95" customHeight="1" x14ac:dyDescent="0.2">
      <c r="B189" s="17" t="s">
        <v>1256</v>
      </c>
      <c r="C189" s="362" t="str">
        <f>sample_wld_cl01_supervisor_private_transit_gateway_cidr</f>
        <v>172.25.0.0/16</v>
      </c>
      <c r="D189" s="347"/>
      <c r="E189" s="32"/>
    </row>
    <row r="190" spans="2:5" ht="15.95" customHeight="1" x14ac:dyDescent="0.2">
      <c r="B190" s="7"/>
      <c r="C190" s="7"/>
      <c r="D190" s="7"/>
      <c r="E190" s="7"/>
    </row>
    <row r="191" spans="2:5" ht="33.950000000000003" customHeight="1" x14ac:dyDescent="0.2">
      <c r="B191" s="408" t="s">
        <v>365</v>
      </c>
      <c r="C191" s="409"/>
      <c r="D191" s="409"/>
      <c r="E191" s="410"/>
    </row>
    <row r="192" spans="2:5" ht="20.100000000000001" customHeight="1" x14ac:dyDescent="0.2">
      <c r="B192" s="405" t="s">
        <v>1245</v>
      </c>
      <c r="C192" s="406"/>
      <c r="D192" s="406"/>
      <c r="E192" s="407"/>
    </row>
    <row r="193" spans="2:5" ht="20.100000000000001" customHeight="1" x14ac:dyDescent="0.2">
      <c r="B193" s="346" t="s">
        <v>37</v>
      </c>
      <c r="C193" s="346" t="s">
        <v>276</v>
      </c>
      <c r="D193" s="346" t="s">
        <v>277</v>
      </c>
      <c r="E193" s="346" t="s">
        <v>5</v>
      </c>
    </row>
    <row r="194" spans="2:5" ht="18.95" customHeight="1" x14ac:dyDescent="0.2">
      <c r="B194" s="17" t="s">
        <v>1257</v>
      </c>
      <c r="C194" s="362" t="s">
        <v>713</v>
      </c>
      <c r="D194" s="337" t="str">
        <f>D136</f>
        <v>vSAN</v>
      </c>
      <c r="E194" s="32"/>
    </row>
    <row r="195" spans="2:5" ht="18.95" customHeight="1" x14ac:dyDescent="0.2">
      <c r="B195" s="17" t="s">
        <v>1258</v>
      </c>
      <c r="C195" s="362" t="s">
        <v>323</v>
      </c>
      <c r="D195" s="337" t="str">
        <f>IF(OR(wld_principal_storage_chosen="vSAN-ESA",wld_principal_storage_chosen="vSAN Storage Cluster",wld_principal_storage_chosen="vSAN Compute Cluster"),"Selected","Unselected")</f>
        <v>Selected</v>
      </c>
      <c r="E195" s="32"/>
    </row>
    <row r="196" spans="2:5" ht="15.95" customHeight="1" x14ac:dyDescent="0.2">
      <c r="B196" s="7"/>
      <c r="C196" s="7"/>
      <c r="D196" s="7"/>
      <c r="E196" s="7"/>
    </row>
    <row r="197" spans="2:5" ht="33.950000000000003" customHeight="1" x14ac:dyDescent="0.2">
      <c r="B197" s="408" t="str">
        <f>IF(OR(wld_principal_storage_chosen="vSAN-ESA",wld_principal_storage_chosen="vSAN Storage Cluster",wld_principal_storage_chosen="vSAN-OSA"),"vSAN Storage",IF(wld_principal_storage_chosen="NFSv3","NFS Storage",""))</f>
        <v>vSAN Storage</v>
      </c>
      <c r="C197" s="409"/>
      <c r="D197" s="409"/>
      <c r="E197" s="410"/>
    </row>
    <row r="198" spans="2:5" ht="20.100000000000001" customHeight="1" x14ac:dyDescent="0.2">
      <c r="B198" s="405" t="s">
        <v>1259</v>
      </c>
      <c r="C198" s="406"/>
      <c r="D198" s="406"/>
      <c r="E198" s="407"/>
    </row>
    <row r="199" spans="2:5" ht="20.100000000000001" customHeight="1" x14ac:dyDescent="0.2">
      <c r="B199" s="346" t="s">
        <v>37</v>
      </c>
      <c r="C199" s="346" t="s">
        <v>276</v>
      </c>
      <c r="D199" s="346" t="s">
        <v>277</v>
      </c>
      <c r="E199" s="346" t="s">
        <v>5</v>
      </c>
    </row>
    <row r="200" spans="2:5" ht="20.100000000000001" customHeight="1" x14ac:dyDescent="0.2">
      <c r="B200" s="4" t="s">
        <v>1260</v>
      </c>
      <c r="C200" s="362" t="s">
        <v>1261</v>
      </c>
      <c r="D200" s="337" t="str">
        <f>D137</f>
        <v>vSAN HCI</v>
      </c>
      <c r="E200" s="337"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100000000000001" customHeight="1" x14ac:dyDescent="0.2">
      <c r="B201" s="4" t="s">
        <v>727</v>
      </c>
      <c r="C201" s="362" t="str">
        <f>CONCATENATE(sample_wld_sddc_domain,"-",sample_wld_cl01_cluster,"-vsan01")</f>
        <v>sfo-w01-sfo-w01-cl01-vsan01</v>
      </c>
      <c r="D201" s="347"/>
      <c r="E201" s="337" t="s">
        <v>1262</v>
      </c>
    </row>
    <row r="202" spans="2:5" ht="20.100000000000001" customHeight="1" x14ac:dyDescent="0.2">
      <c r="B202" s="4" t="s">
        <v>1263</v>
      </c>
      <c r="C202" s="362" t="s">
        <v>286</v>
      </c>
      <c r="D202" s="337" t="str">
        <f>IF(wld_secondary_storage_chosen="vSAN Storage Client Network","Selected","Unselected")</f>
        <v>Unselected</v>
      </c>
      <c r="E202" s="314" t="s">
        <v>1235</v>
      </c>
    </row>
    <row r="203" spans="2:5" ht="20.100000000000001" customHeight="1" x14ac:dyDescent="0.2">
      <c r="B203" s="4" t="str">
        <f>IF(wld_principal_storage_chosen="vSAN-ESA","Storage Policy", "vSAN: Failures to Tolerate (FTT)")</f>
        <v>Storage Policy</v>
      </c>
      <c r="C203" s="362">
        <v>1</v>
      </c>
      <c r="D203" s="347" t="s">
        <v>371</v>
      </c>
      <c r="E203" s="32"/>
    </row>
    <row r="204" spans="2:5" ht="20.100000000000001" customHeight="1" x14ac:dyDescent="0.2">
      <c r="B204" s="4" t="s">
        <v>1264</v>
      </c>
      <c r="C204" s="362" t="s">
        <v>286</v>
      </c>
      <c r="D204" s="347" t="s">
        <v>286</v>
      </c>
      <c r="E204" s="32"/>
    </row>
    <row r="205" spans="2:5" ht="20.100000000000001" customHeight="1" x14ac:dyDescent="0.2">
      <c r="B205" s="152" t="s">
        <v>1265</v>
      </c>
      <c r="C205" s="362" t="str">
        <f>CONCATENATE(this_instance,"-w0",wld_domain_number_chosen,"-cl01-ds-vmfs01")</f>
        <v>sfo-w01-cl01-ds-vmfs01</v>
      </c>
      <c r="D205" s="347"/>
      <c r="E205" s="32"/>
    </row>
    <row r="206" spans="2:5" ht="20.100000000000001" customHeight="1" x14ac:dyDescent="0.2">
      <c r="B206" s="22" t="s">
        <v>1266</v>
      </c>
      <c r="C206" s="362" t="str">
        <f>CONCATENATE(this_instance,"-w0",wld_domain_number_chosen,"-cl01-ds-nfs01")</f>
        <v>sfo-w01-cl01-ds-nfs01</v>
      </c>
      <c r="D206" s="347"/>
      <c r="E206" s="32"/>
    </row>
    <row r="207" spans="2:5" ht="20.100000000000001" customHeight="1" x14ac:dyDescent="0.2">
      <c r="B207" s="22" t="s">
        <v>1267</v>
      </c>
      <c r="C207" s="362" t="str">
        <f>CONCATENATE(this_instance,"-w0",wld_domain_number_chosen,"-cl01-ds-nfs01-share")</f>
        <v>sfo-w01-cl01-ds-nfs01-share</v>
      </c>
      <c r="D207" s="347"/>
      <c r="E207" s="32"/>
    </row>
    <row r="208" spans="2:5" ht="18.95" customHeight="1" x14ac:dyDescent="0.2">
      <c r="B208" s="22" t="s">
        <v>1268</v>
      </c>
      <c r="C208" s="362" t="str">
        <f>CONCATENATE(prefix_wld_az1_cidr,"15.4")</f>
        <v>10.13.15.4</v>
      </c>
      <c r="D208" s="347"/>
      <c r="E208" s="32"/>
    </row>
    <row r="209" spans="2:5" ht="15.95" customHeight="1" x14ac:dyDescent="0.2">
      <c r="B209" s="7"/>
      <c r="C209" s="7"/>
      <c r="D209" s="7"/>
      <c r="E209" s="7"/>
    </row>
    <row r="210" spans="2:5" ht="33.950000000000003" customHeight="1" x14ac:dyDescent="0.2">
      <c r="B210" s="408" t="s">
        <v>1269</v>
      </c>
      <c r="C210" s="409"/>
      <c r="D210" s="409"/>
      <c r="E210" s="410"/>
    </row>
    <row r="211" spans="2:5" ht="20.100000000000001" customHeight="1" x14ac:dyDescent="0.2">
      <c r="B211" s="405"/>
      <c r="C211" s="406"/>
      <c r="D211" s="406"/>
      <c r="E211" s="407"/>
    </row>
    <row r="212" spans="2:5" ht="20.100000000000001" customHeight="1" x14ac:dyDescent="0.2">
      <c r="B212" s="346" t="s">
        <v>37</v>
      </c>
      <c r="C212" s="346" t="s">
        <v>276</v>
      </c>
      <c r="D212" s="346" t="s">
        <v>277</v>
      </c>
      <c r="E212" s="346" t="s">
        <v>5</v>
      </c>
    </row>
    <row r="213" spans="2:5" ht="20.100000000000001" customHeight="1" x14ac:dyDescent="0.2">
      <c r="B213" s="17" t="s">
        <v>686</v>
      </c>
      <c r="C213" s="362" t="str">
        <f t="array" ref="C213:C228">sample_wld_az1_host_fqdns</f>
        <v>sfo01-w01-r01-esx01.sfo.rainpole.io</v>
      </c>
      <c r="D213" s="337" t="str">
        <f t="array" ref="D213:D228">wld_az1_host_fqdns</f>
        <v>Value Missing</v>
      </c>
      <c r="E213" s="32"/>
    </row>
    <row r="214" spans="2:5" ht="20.100000000000001" customHeight="1" x14ac:dyDescent="0.2">
      <c r="B214" s="17" t="s">
        <v>687</v>
      </c>
      <c r="C214" s="362" t="str">
        <v>sfo01-w01-r01-esx02.sfo.rainpole.io</v>
      </c>
      <c r="D214" s="337" t="str">
        <v>Value Missing</v>
      </c>
      <c r="E214" s="32"/>
    </row>
    <row r="215" spans="2:5" ht="20.100000000000001" customHeight="1" x14ac:dyDescent="0.2">
      <c r="B215" s="17" t="s">
        <v>688</v>
      </c>
      <c r="C215" s="362" t="str">
        <v>sfo01-w01-r01-esx03.sfo.rainpole.io</v>
      </c>
      <c r="D215" s="337" t="str">
        <v>Value Missing</v>
      </c>
      <c r="E215" s="32"/>
    </row>
    <row r="216" spans="2:5" ht="20.100000000000001" customHeight="1" x14ac:dyDescent="0.2">
      <c r="B216" s="17" t="s">
        <v>689</v>
      </c>
      <c r="C216" s="362" t="str">
        <v>sfo01-w01-r01-esx04.sfo.rainpole.io</v>
      </c>
      <c r="D216" s="337" t="str">
        <v>Value Missing</v>
      </c>
      <c r="E216" s="32"/>
    </row>
    <row r="217" spans="2:5" ht="20.100000000000001" customHeight="1" x14ac:dyDescent="0.2">
      <c r="B217" s="17" t="s">
        <v>690</v>
      </c>
      <c r="C217" s="362" t="str">
        <v>sfo01-w01-r01-esx05.sfo.rainpole.io</v>
      </c>
      <c r="D217" s="337" t="str">
        <v>Value Missing</v>
      </c>
      <c r="E217" s="17"/>
    </row>
    <row r="218" spans="2:5" ht="20.100000000000001" customHeight="1" x14ac:dyDescent="0.2">
      <c r="B218" s="17" t="s">
        <v>691</v>
      </c>
      <c r="C218" s="362" t="str">
        <v>sfo01-w01-r01-esx06.sfo.rainpole.io</v>
      </c>
      <c r="D218" s="337" t="str">
        <v>Value Missing</v>
      </c>
      <c r="E218" s="17"/>
    </row>
    <row r="219" spans="2:5" ht="20.100000000000001" customHeight="1" x14ac:dyDescent="0.2">
      <c r="B219" s="17" t="s">
        <v>692</v>
      </c>
      <c r="C219" s="362" t="str">
        <v>sfo01-w01-r01-esx07.sfo.rainpole.io</v>
      </c>
      <c r="D219" s="337" t="str">
        <v>Value Missing</v>
      </c>
      <c r="E219" s="17"/>
    </row>
    <row r="220" spans="2:5" ht="20.100000000000001" customHeight="1" x14ac:dyDescent="0.2">
      <c r="B220" s="17" t="s">
        <v>693</v>
      </c>
      <c r="C220" s="362" t="str">
        <v>sfo01-w01-r01-esx08.sfo.rainpole.io</v>
      </c>
      <c r="D220" s="337" t="str">
        <v>Value Missing</v>
      </c>
      <c r="E220" s="17"/>
    </row>
    <row r="221" spans="2:5" ht="20.100000000000001" customHeight="1" x14ac:dyDescent="0.2">
      <c r="B221" s="17" t="s">
        <v>694</v>
      </c>
      <c r="C221" s="362" t="str">
        <v>sfo01-w01-r01-esx09.sfo.rainpole.io</v>
      </c>
      <c r="D221" s="337" t="str">
        <v>Value Missing</v>
      </c>
      <c r="E221" s="17"/>
    </row>
    <row r="222" spans="2:5" ht="20.100000000000001" customHeight="1" x14ac:dyDescent="0.2">
      <c r="B222" s="17" t="s">
        <v>695</v>
      </c>
      <c r="C222" s="362" t="str">
        <v>sfo01-w01-r01-esx10.sfo.rainpole.io</v>
      </c>
      <c r="D222" s="337" t="str">
        <v>Value Missing</v>
      </c>
      <c r="E222" s="153"/>
    </row>
    <row r="223" spans="2:5" ht="20.100000000000001" customHeight="1" x14ac:dyDescent="0.2">
      <c r="B223" s="17" t="s">
        <v>696</v>
      </c>
      <c r="C223" s="362" t="str">
        <v>sfo01-w01-r01-esx11.sfo.rainpole.io</v>
      </c>
      <c r="D223" s="337" t="str">
        <v>Value Missing</v>
      </c>
      <c r="E223" s="17"/>
    </row>
    <row r="224" spans="2:5" ht="20.100000000000001" customHeight="1" x14ac:dyDescent="0.2">
      <c r="B224" s="17" t="s">
        <v>697</v>
      </c>
      <c r="C224" s="362" t="str">
        <v>sfo01-w01-r01-esx12.sfo.rainpole.io</v>
      </c>
      <c r="D224" s="337" t="str">
        <v>Value Missing</v>
      </c>
      <c r="E224" s="17"/>
    </row>
    <row r="225" spans="2:5" ht="20.100000000000001" customHeight="1" x14ac:dyDescent="0.2">
      <c r="B225" s="17" t="s">
        <v>698</v>
      </c>
      <c r="C225" s="362" t="str">
        <v>sfo01-w01-r01-esx13.sfo.rainpole.io</v>
      </c>
      <c r="D225" s="337" t="str">
        <v>Value Missing</v>
      </c>
      <c r="E225" s="17"/>
    </row>
    <row r="226" spans="2:5" ht="20.100000000000001" customHeight="1" x14ac:dyDescent="0.2">
      <c r="B226" s="17" t="s">
        <v>699</v>
      </c>
      <c r="C226" s="362" t="str">
        <v>sfo01-w01-r01-esx14.sfo.rainpole.io</v>
      </c>
      <c r="D226" s="337" t="str">
        <v>Value Missing</v>
      </c>
      <c r="E226" s="17"/>
    </row>
    <row r="227" spans="2:5" ht="20.100000000000001" customHeight="1" x14ac:dyDescent="0.2">
      <c r="B227" s="17" t="s">
        <v>700</v>
      </c>
      <c r="C227" s="362" t="str">
        <v>sfo01-w01-r01-esx15.sfo.rainpole.io</v>
      </c>
      <c r="D227" s="337" t="str">
        <v>Value Missing</v>
      </c>
      <c r="E227" s="17"/>
    </row>
    <row r="228" spans="2:5" ht="18.95" customHeight="1" x14ac:dyDescent="0.2">
      <c r="B228" s="17" t="s">
        <v>701</v>
      </c>
      <c r="C228" s="362" t="str">
        <v>sfo01-w01-r01-esx16.sfo.rainpole.io</v>
      </c>
      <c r="D228" s="337" t="str">
        <v>Value Missing</v>
      </c>
      <c r="E228" s="17"/>
    </row>
    <row r="229" spans="2:5" ht="15.95" customHeight="1" x14ac:dyDescent="0.2">
      <c r="B229" s="7"/>
      <c r="C229" s="7"/>
      <c r="D229" s="7"/>
      <c r="E229" s="7"/>
    </row>
    <row r="230" spans="2:5" ht="33.950000000000003" customHeight="1" x14ac:dyDescent="0.2">
      <c r="B230" s="408" t="s">
        <v>413</v>
      </c>
      <c r="C230" s="409"/>
      <c r="D230" s="409"/>
      <c r="E230" s="410"/>
    </row>
    <row r="231" spans="2:5" ht="20.100000000000001" customHeight="1" x14ac:dyDescent="0.2">
      <c r="B231" s="405" t="s">
        <v>1270</v>
      </c>
      <c r="C231" s="406"/>
      <c r="D231" s="406"/>
      <c r="E231" s="407"/>
    </row>
    <row r="232" spans="2:5" ht="20.100000000000001" customHeight="1" x14ac:dyDescent="0.2">
      <c r="B232" s="346" t="s">
        <v>37</v>
      </c>
      <c r="C232" s="346" t="s">
        <v>276</v>
      </c>
      <c r="D232" s="346" t="s">
        <v>277</v>
      </c>
      <c r="E232" s="346" t="s">
        <v>5</v>
      </c>
    </row>
    <row r="233" spans="2:5" ht="20.100000000000001" customHeight="1" x14ac:dyDescent="0.2">
      <c r="B233" s="17" t="s">
        <v>415</v>
      </c>
      <c r="C233" s="362" t="s">
        <v>215</v>
      </c>
      <c r="D233" s="347" t="s">
        <v>215</v>
      </c>
      <c r="E233" s="32"/>
    </row>
    <row r="234" spans="2:5" ht="20.100000000000001" customHeight="1" x14ac:dyDescent="0.2">
      <c r="B234" s="17" t="s">
        <v>1271</v>
      </c>
      <c r="C234" s="362" t="s">
        <v>286</v>
      </c>
      <c r="D234" s="347" t="s">
        <v>286</v>
      </c>
      <c r="E234" s="337" t="s">
        <v>1272</v>
      </c>
    </row>
    <row r="235" spans="2:5" ht="15.95" customHeight="1" x14ac:dyDescent="0.2"/>
    <row r="236" spans="2:5" ht="33.950000000000003" customHeight="1" x14ac:dyDescent="0.2">
      <c r="B236" s="392" t="s">
        <v>416</v>
      </c>
      <c r="C236" s="393"/>
      <c r="D236" s="393"/>
      <c r="E236" s="394"/>
    </row>
    <row r="237" spans="2:5" ht="20.100000000000001" customHeight="1" x14ac:dyDescent="0.2">
      <c r="B237" s="154" t="s">
        <v>1273</v>
      </c>
      <c r="C237" s="155"/>
      <c r="D237" s="155"/>
      <c r="E237" s="156"/>
    </row>
    <row r="238" spans="2:5" ht="20.100000000000001" customHeight="1" x14ac:dyDescent="0.2">
      <c r="B238" s="157" t="s">
        <v>37</v>
      </c>
      <c r="C238" s="158" t="s">
        <v>276</v>
      </c>
      <c r="D238" s="158" t="s">
        <v>277</v>
      </c>
      <c r="E238" s="158" t="s">
        <v>5</v>
      </c>
    </row>
    <row r="239" spans="2:5" ht="20.100000000000001" customHeight="1" x14ac:dyDescent="0.2">
      <c r="B239" s="17" t="s">
        <v>1274</v>
      </c>
      <c r="C239" s="362" t="str">
        <f>CONCATENATE(sample_wld_cl01_cluster,"-vds01")</f>
        <v>sfo-w01-cl01-vds01</v>
      </c>
      <c r="D239" s="347"/>
      <c r="E239" s="32"/>
    </row>
    <row r="240" spans="2:5" ht="20.100000000000001" customHeight="1" x14ac:dyDescent="0.2">
      <c r="B240" s="17" t="s">
        <v>401</v>
      </c>
      <c r="C240" s="362">
        <v>9000</v>
      </c>
      <c r="D240" s="347"/>
      <c r="E240" s="32"/>
    </row>
    <row r="241" spans="2:5" ht="20.100000000000001" customHeight="1" x14ac:dyDescent="0.2">
      <c r="B241" s="17" t="s">
        <v>30</v>
      </c>
      <c r="C241" s="362" t="s">
        <v>419</v>
      </c>
      <c r="D241" s="347" t="s">
        <v>419</v>
      </c>
      <c r="E241" s="328" t="str">
        <f>IF(wld_cl01_vds01_link_type_chosen="VDS Lag","Only supported via API. Use VCF.JSONGenerator to generate the JSON File once PnP is complete","Option is not visible VCF Operations UI")</f>
        <v>Option is not visible VCF Operations UI</v>
      </c>
    </row>
    <row r="242" spans="2:5" ht="20.100000000000001" customHeight="1" x14ac:dyDescent="0.2">
      <c r="B242" s="4" t="s">
        <v>420</v>
      </c>
      <c r="C242" s="84" t="str">
        <f>CONCATENATE("w01-cl01-vds1-lg")</f>
        <v>w01-cl01-vds1-lg</v>
      </c>
      <c r="D242" s="347"/>
      <c r="E242" s="328" t="str">
        <f>IF(wld_cl01_vds01_link_type_chosen="VDS Uplinks","This input is masked out as you have chosen to configure VDS Uplinks","Option is not visible in VCF Operations UI. There is a 16 Character Limit for LAG Name")</f>
        <v>This input is masked out as you have chosen to configure VDS Uplinks</v>
      </c>
    </row>
    <row r="243" spans="2:5" ht="20.100000000000001" customHeight="1" x14ac:dyDescent="0.2">
      <c r="B243" s="4" t="s">
        <v>421</v>
      </c>
      <c r="C243" s="137" t="s">
        <v>422</v>
      </c>
      <c r="D243" s="347" t="s">
        <v>422</v>
      </c>
      <c r="E243" s="328" t="str">
        <f>IF(wld_cl01_vds01_link_type_chosen="VDS Uplinks","This input is masked out as you have chosen to configure VDS Uplinks","Option is not visible in VCF Operations UI")</f>
        <v>This input is masked out as you have chosen to configure VDS Uplinks</v>
      </c>
    </row>
    <row r="244" spans="2:5" ht="20.100000000000001" customHeight="1" x14ac:dyDescent="0.2">
      <c r="B244" s="4" t="s">
        <v>423</v>
      </c>
      <c r="C244" s="137" t="s">
        <v>424</v>
      </c>
      <c r="D244" s="347" t="s">
        <v>424</v>
      </c>
      <c r="E244" s="328" t="str">
        <f>IF(wld_cl01_vds01_link_type_chosen="VDS Uplinks","This input is masked out as you have chosen to configure VDS Uplinks","Option is not visible in VCF Operations UI")</f>
        <v>This input is masked out as you have chosen to configure VDS Uplinks</v>
      </c>
    </row>
    <row r="245" spans="2:5" ht="20.100000000000001" customHeight="1" x14ac:dyDescent="0.2">
      <c r="B245" s="4" t="s">
        <v>425</v>
      </c>
      <c r="C245" s="137" t="s">
        <v>426</v>
      </c>
      <c r="D245" s="347" t="s">
        <v>426</v>
      </c>
      <c r="E245" s="328" t="str">
        <f>IF(wld_cl01_vds01_link_type_chosen="VDS Uplinks","This input is masked out as you have chosen to configure VDS Uplinks","Option is not visible in VCF Operations UI")</f>
        <v>This input is masked out as you have chosen to configure VDS Uplinks</v>
      </c>
    </row>
    <row r="246" spans="2:5" ht="20.100000000000001" customHeight="1" x14ac:dyDescent="0.2">
      <c r="B246" s="22" t="s">
        <v>427</v>
      </c>
      <c r="C246" s="159">
        <v>2</v>
      </c>
      <c r="D246" s="79"/>
      <c r="E246" s="160"/>
    </row>
    <row r="247" spans="2:5" ht="20.100000000000001" customHeight="1" x14ac:dyDescent="0.2">
      <c r="B247" s="17" t="s">
        <v>1276</v>
      </c>
      <c r="C247" s="362" t="s">
        <v>1277</v>
      </c>
      <c r="D247" s="347"/>
      <c r="E247" s="160"/>
    </row>
    <row r="248" spans="2:5" ht="20.100000000000001" customHeight="1" x14ac:dyDescent="0.2">
      <c r="B248" s="17" t="s">
        <v>1278</v>
      </c>
      <c r="C248" s="362" t="s">
        <v>1279</v>
      </c>
      <c r="D248" s="337" t="str">
        <f>wld_cl01_vds01_traffic_type</f>
        <v>Management vMotion vSAN NSX-Overlay</v>
      </c>
      <c r="E248" s="32"/>
    </row>
    <row r="249" spans="2:5" ht="20.100000000000001" customHeight="1" x14ac:dyDescent="0.2">
      <c r="B249" s="405" t="s">
        <v>430</v>
      </c>
      <c r="C249" s="406"/>
      <c r="D249" s="406"/>
      <c r="E249" s="407"/>
    </row>
    <row r="250" spans="2:5" ht="20.100000000000001" customHeight="1" x14ac:dyDescent="0.2">
      <c r="B250" s="17" t="s">
        <v>1280</v>
      </c>
      <c r="C250" s="362" t="str">
        <f>CONCATENATE(sample_wld_cl01_cluster,"-vds02")</f>
        <v>sfo-w01-cl01-vds02</v>
      </c>
      <c r="D250" s="347"/>
      <c r="E250" s="33" t="str">
        <f>IF(OR(wld_cl01_vds_profile_chosen="Default",wld_cl01_vds_profile_chosen="Custom Switch Configuration"),"This input is masked out due to VDS Profile selected","")</f>
        <v>This input is masked out due to VDS Profile selected</v>
      </c>
    </row>
    <row r="251" spans="2:5" ht="20.100000000000001" customHeight="1" x14ac:dyDescent="0.2">
      <c r="B251" s="17" t="s">
        <v>401</v>
      </c>
      <c r="C251" s="362">
        <v>9000</v>
      </c>
      <c r="D251" s="347"/>
      <c r="E251" s="33" t="str">
        <f>IF(OR(wld_cl01_vds_profile_chosen="Default",wld_cl01_vds_profile_chosen="Custom Switch Configuration"),"This input is masked out due to VDS Profile selected","")</f>
        <v>This input is masked out due to VDS Profile selected</v>
      </c>
    </row>
    <row r="252" spans="2:5" ht="20.100000000000001" customHeight="1" x14ac:dyDescent="0.2">
      <c r="B252" s="17" t="s">
        <v>30</v>
      </c>
      <c r="C252" s="362" t="s">
        <v>419</v>
      </c>
      <c r="D252" s="347" t="s">
        <v>419</v>
      </c>
      <c r="E252" s="210" t="str">
        <f>IF(wld_cl01_vds_profile_chosen="Default","This input is masked out due to VDS Profile selected",IF(wld_cl01_vds02_link_type_chosen="VDS Lag","Only supported via API. Use VCF.JSONGenerator to generate the JSON File once PnP is complete","Option is not visible in VCF Operations UI. There is a 16 Character Limit for LAG Name"))</f>
        <v>This input is masked out due to VDS Profile selected</v>
      </c>
    </row>
    <row r="253" spans="2:5" ht="20.100000000000001" customHeight="1" x14ac:dyDescent="0.2">
      <c r="B253" s="4" t="s">
        <v>420</v>
      </c>
      <c r="C253" s="84" t="str">
        <f>CONCATENATE("w01-cl01-vds2-lg")</f>
        <v>w01-cl01-vds2-lg</v>
      </c>
      <c r="D253" s="347"/>
      <c r="E253"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 There is a 16 Character Limit for LAG Name"))</f>
        <v>This input is masked out due to VDS Profile selected</v>
      </c>
    </row>
    <row r="254" spans="2:5" ht="20.100000000000001" customHeight="1" x14ac:dyDescent="0.2">
      <c r="B254" s="4" t="s">
        <v>421</v>
      </c>
      <c r="C254" s="137" t="s">
        <v>422</v>
      </c>
      <c r="D254" s="347" t="s">
        <v>422</v>
      </c>
      <c r="E254"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5" spans="2:5" ht="20.100000000000001" customHeight="1" x14ac:dyDescent="0.2">
      <c r="B255" s="4" t="s">
        <v>423</v>
      </c>
      <c r="C255" s="137" t="s">
        <v>424</v>
      </c>
      <c r="D255" s="347" t="s">
        <v>424</v>
      </c>
      <c r="E255"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6" spans="2:5" ht="20.100000000000001" customHeight="1" x14ac:dyDescent="0.2">
      <c r="B256" s="4" t="s">
        <v>425</v>
      </c>
      <c r="C256" s="137" t="s">
        <v>426</v>
      </c>
      <c r="D256" s="347" t="s">
        <v>426</v>
      </c>
      <c r="E256"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7" spans="2:5" ht="20.100000000000001" customHeight="1" x14ac:dyDescent="0.2">
      <c r="B257" s="22" t="s">
        <v>427</v>
      </c>
      <c r="C257" s="159">
        <v>2</v>
      </c>
      <c r="D257" s="347"/>
      <c r="E257" s="210" t="str">
        <f>IF(OR(wld_cl01_vds_profile_chosen="Default",wld_cl01_vds_profile_chosen="Custom Switch Configuration"),"This input is masked out due to VDS Profile selected","")</f>
        <v>This input is masked out due to VDS Profile selected</v>
      </c>
    </row>
    <row r="258" spans="2:5" ht="20.100000000000001" customHeight="1" x14ac:dyDescent="0.2">
      <c r="B258" s="17" t="s">
        <v>1276</v>
      </c>
      <c r="C258" s="362" t="s">
        <v>1281</v>
      </c>
      <c r="D258" s="347"/>
      <c r="E258" s="33" t="str">
        <f>IF(OR(wld_cl01_vds_profile_chosen="Default",wld_cl01_vds_profile_chosen="Custom Switch Configuration"),"This input is masked out due to VDS Profile selected","")</f>
        <v>This input is masked out due to VDS Profile selected</v>
      </c>
    </row>
    <row r="259" spans="2:5" ht="20.100000000000001" customHeight="1" x14ac:dyDescent="0.2">
      <c r="B259" s="17" t="s">
        <v>1278</v>
      </c>
      <c r="C259" s="362" t="s">
        <v>713</v>
      </c>
      <c r="D259" s="337" t="str">
        <f>wld_cl01_vds02_traffic_type</f>
        <v>Value Missing</v>
      </c>
      <c r="E259" s="33" t="str">
        <f>IF(OR(wld_cl01_vds_profile_chosen="Default",wld_cl01_vds_profile_chosen="Custom Switch Configuration"),"This input is masked out due to VDS Profile selected","")</f>
        <v>This input is masked out due to VDS Profile selected</v>
      </c>
    </row>
    <row r="260" spans="2:5" ht="20.100000000000001" customHeight="1" x14ac:dyDescent="0.2">
      <c r="B260" s="405" t="s">
        <v>433</v>
      </c>
      <c r="C260" s="406"/>
      <c r="D260" s="406"/>
      <c r="E260" s="407"/>
    </row>
    <row r="261" spans="2:5" ht="20.100000000000001" customHeight="1" x14ac:dyDescent="0.2">
      <c r="B261" s="17" t="s">
        <v>1282</v>
      </c>
      <c r="C261" s="362" t="str">
        <f>CONCATENATE(sample_wld_cl01_cluster,"-vds03")</f>
        <v>sfo-w01-cl01-vds03</v>
      </c>
      <c r="D261" s="347"/>
      <c r="E261" s="33" t="str">
        <f>IF(wld_cl01_vds_profile_chosen&lt;&gt;"Storage Traffic and NSX Traffic Separation","This input is masked out due to VDS Profile selected","")</f>
        <v>This input is masked out due to VDS Profile selected</v>
      </c>
    </row>
    <row r="262" spans="2:5" ht="20.100000000000001" customHeight="1" x14ac:dyDescent="0.2">
      <c r="B262" s="17" t="s">
        <v>401</v>
      </c>
      <c r="C262" s="362">
        <v>9000</v>
      </c>
      <c r="D262" s="347"/>
      <c r="E262" s="33" t="str">
        <f>IF(wld_cl01_vds_profile_chosen&lt;&gt;"Storage Traffic and NSX Traffic Separation","This input is masked out due to VDS Profile selected","")</f>
        <v>This input is masked out due to VDS Profile selected</v>
      </c>
    </row>
    <row r="263" spans="2:5" ht="20.100000000000001" customHeight="1" x14ac:dyDescent="0.2">
      <c r="B263" s="17" t="s">
        <v>30</v>
      </c>
      <c r="C263" s="362" t="s">
        <v>419</v>
      </c>
      <c r="D263" s="347" t="s">
        <v>419</v>
      </c>
      <c r="E263" s="328"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visible VCF Operations UI"))</f>
        <v>This input is masked out due to VDS Profile selected</v>
      </c>
    </row>
    <row r="264" spans="2:5" ht="20.100000000000001" customHeight="1" x14ac:dyDescent="0.2">
      <c r="B264" s="4" t="s">
        <v>420</v>
      </c>
      <c r="C264" s="84" t="str">
        <f>CONCATENATE("w01-cl01-vds3-lg")</f>
        <v>w01-cl01-vds3-lg</v>
      </c>
      <c r="D264" s="347"/>
      <c r="E264"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 There is a 16 Character Limit for LAG Name"))</f>
        <v>This input is masked out due to VDS Profile selected</v>
      </c>
    </row>
    <row r="265" spans="2:5" ht="20.100000000000001" customHeight="1" x14ac:dyDescent="0.2">
      <c r="B265" s="4" t="s">
        <v>421</v>
      </c>
      <c r="C265" s="137" t="s">
        <v>422</v>
      </c>
      <c r="D265" s="347" t="s">
        <v>422</v>
      </c>
      <c r="E265"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6" spans="2:5" ht="20.100000000000001" customHeight="1" x14ac:dyDescent="0.2">
      <c r="B266" s="4" t="s">
        <v>423</v>
      </c>
      <c r="C266" s="137" t="s">
        <v>424</v>
      </c>
      <c r="D266" s="347" t="s">
        <v>424</v>
      </c>
      <c r="E266"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7" spans="2:5" ht="20.100000000000001" customHeight="1" x14ac:dyDescent="0.2">
      <c r="B267" s="4" t="s">
        <v>425</v>
      </c>
      <c r="C267" s="137" t="s">
        <v>426</v>
      </c>
      <c r="D267" s="347" t="s">
        <v>1275</v>
      </c>
      <c r="E267"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8" spans="2:5" ht="20.100000000000001" customHeight="1" x14ac:dyDescent="0.2">
      <c r="B268" s="22" t="s">
        <v>427</v>
      </c>
      <c r="C268" s="159">
        <v>2</v>
      </c>
      <c r="D268" s="347"/>
      <c r="E268" s="328" t="str">
        <f>IF(wld_cl01_vds_profile_chosen&lt;&gt;"Storage Traffic and NSX Traffic Separation","This input is masked out due to VDS Profile selected","")</f>
        <v>This input is masked out due to VDS Profile selected</v>
      </c>
    </row>
    <row r="269" spans="2:5" ht="20.100000000000001" customHeight="1" x14ac:dyDescent="0.2">
      <c r="B269" s="17" t="s">
        <v>1276</v>
      </c>
      <c r="C269" s="362" t="s">
        <v>1283</v>
      </c>
      <c r="D269" s="347"/>
      <c r="E269" s="33" t="str">
        <f>IF(wld_cl01_vds_profile_chosen&lt;&gt;"Storage Traffic and NSX Traffic Separation","This input is masked out due to VDS Profile selected","")</f>
        <v>This input is masked out due to VDS Profile selected</v>
      </c>
    </row>
    <row r="270" spans="2:5" ht="20.100000000000001" customHeight="1" x14ac:dyDescent="0.2">
      <c r="B270" s="17" t="s">
        <v>1278</v>
      </c>
      <c r="C270" s="362" t="s">
        <v>1284</v>
      </c>
      <c r="D270" s="337" t="str">
        <f>wld_cl01_vds03_traffic_type</f>
        <v>Value Missing</v>
      </c>
      <c r="E270" s="33" t="str">
        <f>IF(wld_cl01_vds_profile_chosen&lt;&gt;"Storage Traffic and NSX Traffic Separation","This input is masked out due to VDS Profile selected","")</f>
        <v>This input is masked out due to VDS Profile selected</v>
      </c>
    </row>
    <row r="271" spans="2:5" ht="20.100000000000001" customHeight="1" x14ac:dyDescent="0.2">
      <c r="B271" s="154" t="s">
        <v>1285</v>
      </c>
      <c r="C271" s="155"/>
      <c r="D271" s="155"/>
      <c r="E271" s="156"/>
    </row>
    <row r="272" spans="2:5" ht="20.100000000000001" customHeight="1" x14ac:dyDescent="0.2">
      <c r="B272" s="22" t="s">
        <v>437</v>
      </c>
      <c r="C272" s="362" t="str">
        <f>CONCATENATE(sample_wld_cl01_vds01_name,"-pg-esxi-mgmt")</f>
        <v>sfo-w01-cl01-vds01-pg-esxi-mgmt</v>
      </c>
      <c r="D272" s="347"/>
      <c r="E272" s="337" t="s">
        <v>1286</v>
      </c>
    </row>
    <row r="273" spans="2:5" ht="20.100000000000001" customHeight="1" x14ac:dyDescent="0.2">
      <c r="B273" s="22" t="s">
        <v>438</v>
      </c>
      <c r="C273" s="159" t="s">
        <v>439</v>
      </c>
      <c r="D273" s="79" t="s">
        <v>439</v>
      </c>
      <c r="E273" s="161" t="str">
        <f>IF(wld_cl01_vds01_link_type_chosen="VDS Lag","This input is masked out as you have chosen to configure VDS LAG","")</f>
        <v/>
      </c>
    </row>
    <row r="274" spans="2:5" ht="20.100000000000001" customHeight="1" x14ac:dyDescent="0.2">
      <c r="B274" s="22" t="s">
        <v>440</v>
      </c>
      <c r="C274" s="159" t="s">
        <v>422</v>
      </c>
      <c r="D274" s="79" t="s">
        <v>422</v>
      </c>
      <c r="E274" s="161" t="str">
        <f>IF(wld_cl01_vds01_link_type_chosen="VDS Lag","This input is masked out as you have chosen to configure VDS LAG","")</f>
        <v/>
      </c>
    </row>
    <row r="275" spans="2:5" ht="20.100000000000001" customHeight="1" x14ac:dyDescent="0.2">
      <c r="B275" s="22" t="s">
        <v>441</v>
      </c>
      <c r="C275" s="159" t="s">
        <v>422</v>
      </c>
      <c r="D275" s="79" t="s">
        <v>422</v>
      </c>
      <c r="E275" s="161" t="str">
        <f>IF(wld_cl01_vds01_link_type_chosen="VDS Lag","This input is masked out as you have chosen to configure VDS LAG","")</f>
        <v/>
      </c>
    </row>
    <row r="276" spans="2:5" ht="20.100000000000001" customHeight="1" x14ac:dyDescent="0.2">
      <c r="B276" s="154" t="s">
        <v>442</v>
      </c>
      <c r="C276" s="155"/>
      <c r="D276" s="155"/>
      <c r="E276" s="156"/>
    </row>
    <row r="277" spans="2:5" ht="20.100000000000001" customHeight="1" x14ac:dyDescent="0.2">
      <c r="B277" s="22" t="s">
        <v>437</v>
      </c>
      <c r="C277" s="362" t="str">
        <f>CONCATENATE(sample_wld_cl01_vds01_name,"-pg-vm-mgmt")</f>
        <v>sfo-w01-cl01-vds01-pg-vm-mgmt</v>
      </c>
      <c r="D277" s="347"/>
      <c r="E277" s="161" t="s">
        <v>1287</v>
      </c>
    </row>
    <row r="278" spans="2:5" ht="20.100000000000001" customHeight="1" x14ac:dyDescent="0.2">
      <c r="B278" s="22" t="s">
        <v>438</v>
      </c>
      <c r="C278" s="159" t="s">
        <v>439</v>
      </c>
      <c r="D278" s="79" t="s">
        <v>439</v>
      </c>
      <c r="E278" s="161" t="str">
        <f>IF(wld_cl01_vds01_link_type_chosen="VDS Lag","This input is masked out as you have chosen to configure VDS LAG","")</f>
        <v/>
      </c>
    </row>
    <row r="279" spans="2:5" ht="20.100000000000001" customHeight="1" x14ac:dyDescent="0.2">
      <c r="B279" s="22" t="s">
        <v>440</v>
      </c>
      <c r="C279" s="159" t="s">
        <v>422</v>
      </c>
      <c r="D279" s="79" t="s">
        <v>422</v>
      </c>
      <c r="E279" s="161" t="str">
        <f>IF(wld_cl01_vds01_link_type_chosen="VDS Lag","This input is masked out as you have chosen to configure VDS LAG","")</f>
        <v/>
      </c>
    </row>
    <row r="280" spans="2:5" ht="20.100000000000001" customHeight="1" x14ac:dyDescent="0.2">
      <c r="B280" s="22" t="s">
        <v>441</v>
      </c>
      <c r="C280" s="159" t="s">
        <v>422</v>
      </c>
      <c r="D280" s="79" t="s">
        <v>422</v>
      </c>
      <c r="E280" s="161" t="str">
        <f>IF(wld_cl01_vds01_link_type_chosen="VDS Lag","This input is masked out as you have chosen to configure VDS LAG","")</f>
        <v/>
      </c>
    </row>
    <row r="281" spans="2:5" ht="20.100000000000001" customHeight="1" x14ac:dyDescent="0.2">
      <c r="B281" s="154" t="s">
        <v>443</v>
      </c>
      <c r="C281" s="155"/>
      <c r="D281" s="155"/>
      <c r="E281" s="156"/>
    </row>
    <row r="282" spans="2:5" ht="20.100000000000001" customHeight="1" x14ac:dyDescent="0.2">
      <c r="B282" s="22" t="s">
        <v>437</v>
      </c>
      <c r="C282" s="362" t="str">
        <f>CONCATENATE(sample_wld_cl01_vds01_name,"-pg-vmotion")</f>
        <v>sfo-w01-cl01-vds01-pg-vmotion</v>
      </c>
      <c r="D282" s="347"/>
      <c r="E282"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83" spans="2:5" ht="20.100000000000001" customHeight="1" x14ac:dyDescent="0.2">
      <c r="B283" s="22" t="s">
        <v>438</v>
      </c>
      <c r="C283" s="159" t="s">
        <v>439</v>
      </c>
      <c r="D283" s="79" t="s">
        <v>439</v>
      </c>
      <c r="E283" s="161" t="str">
        <f>IF(wld_cl01_vds01_link_type_chosen="VDS Lag","This input is masked out as you have chosen to configure VDS LAG","")</f>
        <v/>
      </c>
    </row>
    <row r="284" spans="2:5" ht="20.100000000000001" customHeight="1" x14ac:dyDescent="0.2">
      <c r="B284" s="22" t="s">
        <v>440</v>
      </c>
      <c r="C284" s="159" t="s">
        <v>422</v>
      </c>
      <c r="D284" s="79" t="s">
        <v>422</v>
      </c>
      <c r="E284" s="161" t="str">
        <f>IF(wld_cl01_vds01_link_type_chosen="VDS Lag","This input is masked out as you have chosen to configure VDS LAG","")</f>
        <v/>
      </c>
    </row>
    <row r="285" spans="2:5" ht="20.100000000000001" customHeight="1" x14ac:dyDescent="0.2">
      <c r="B285" s="22" t="s">
        <v>441</v>
      </c>
      <c r="C285" s="159" t="s">
        <v>422</v>
      </c>
      <c r="D285" s="79" t="s">
        <v>422</v>
      </c>
      <c r="E285" s="161" t="str">
        <f>IF(wld_cl01_vds01_link_type_chosen="VDS Lag","This input is masked out as you have chosen to configure VDS LAG","")</f>
        <v/>
      </c>
    </row>
    <row r="286" spans="2:5" ht="20.100000000000001" customHeight="1" x14ac:dyDescent="0.2">
      <c r="B286" s="154" t="str">
        <f>IF(wld_principal_storage_chosen="NFSv3","Network Traffic: NFS","Network Traffic: vSAN")</f>
        <v>Network Traffic: vSAN</v>
      </c>
      <c r="C286" s="155"/>
      <c r="D286" s="155"/>
      <c r="E286" s="156"/>
    </row>
    <row r="287" spans="2:5" ht="20.100000000000001" customHeight="1" x14ac:dyDescent="0.2">
      <c r="B287" s="22" t="s">
        <v>437</v>
      </c>
      <c r="C287" s="362" t="str">
        <f>CONCATENATE(sample_wld_cl01_vds01_name,"-pg-vsan")</f>
        <v>sfo-w01-cl01-vds01-pg-vsan</v>
      </c>
      <c r="D287" s="347"/>
      <c r="E287" s="337"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288" spans="2:5" ht="20.100000000000001" customHeight="1" x14ac:dyDescent="0.2">
      <c r="B288" s="22" t="s">
        <v>438</v>
      </c>
      <c r="C288" s="159" t="s">
        <v>439</v>
      </c>
      <c r="D288" s="79" t="s">
        <v>439</v>
      </c>
      <c r="E288"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89" spans="2:5" ht="20.100000000000001" customHeight="1" x14ac:dyDescent="0.2">
      <c r="B289" s="22" t="s">
        <v>440</v>
      </c>
      <c r="C289" s="159" t="s">
        <v>422</v>
      </c>
      <c r="D289" s="79" t="s">
        <v>422</v>
      </c>
      <c r="E289"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0" spans="2:5" ht="20.100000000000001" customHeight="1" x14ac:dyDescent="0.2">
      <c r="B290" s="22" t="s">
        <v>441</v>
      </c>
      <c r="C290" s="159" t="s">
        <v>422</v>
      </c>
      <c r="D290" s="79" t="s">
        <v>422</v>
      </c>
      <c r="E290"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1" spans="2:5" ht="20.100000000000001" customHeight="1" x14ac:dyDescent="0.2">
      <c r="B291" s="154" t="s">
        <v>1288</v>
      </c>
      <c r="C291" s="155"/>
      <c r="D291" s="155"/>
      <c r="E291" s="156"/>
    </row>
    <row r="292" spans="2:5" ht="20.100000000000001" customHeight="1" x14ac:dyDescent="0.2">
      <c r="B292" s="22" t="s">
        <v>437</v>
      </c>
      <c r="C292" s="362" t="str">
        <f>CONCATENATE(sample_wld_cl01_vds01_name,"-pg-vsan-client")</f>
        <v>sfo-w01-cl01-vds01-pg-vsan-client</v>
      </c>
      <c r="D292" s="347"/>
      <c r="E292" s="337"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293" spans="2:5" ht="20.100000000000001" customHeight="1" x14ac:dyDescent="0.2">
      <c r="B293" s="22" t="s">
        <v>438</v>
      </c>
      <c r="C293" s="159" t="s">
        <v>439</v>
      </c>
      <c r="D293" s="79" t="s">
        <v>439</v>
      </c>
      <c r="E293"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4" spans="2:5" ht="20.100000000000001" customHeight="1" x14ac:dyDescent="0.2">
      <c r="B294" s="22" t="s">
        <v>440</v>
      </c>
      <c r="C294" s="159" t="s">
        <v>422</v>
      </c>
      <c r="D294" s="79" t="s">
        <v>422</v>
      </c>
      <c r="E294"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5" spans="2:5" ht="20.100000000000001" customHeight="1" x14ac:dyDescent="0.2">
      <c r="B295" s="22" t="s">
        <v>441</v>
      </c>
      <c r="C295" s="159" t="s">
        <v>422</v>
      </c>
      <c r="D295" s="79" t="s">
        <v>422</v>
      </c>
      <c r="E295"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6" spans="2:5" ht="20.100000000000001" customHeight="1" x14ac:dyDescent="0.2">
      <c r="B296" s="405" t="s">
        <v>446</v>
      </c>
      <c r="C296" s="406"/>
      <c r="D296" s="406"/>
      <c r="E296" s="407"/>
    </row>
    <row r="297" spans="2:5" ht="20.100000000000001" customHeight="1" x14ac:dyDescent="0.2">
      <c r="B297" s="4" t="s">
        <v>447</v>
      </c>
      <c r="C297" s="362" t="s">
        <v>323</v>
      </c>
      <c r="D297" s="347" t="s">
        <v>323</v>
      </c>
      <c r="E297" s="32"/>
    </row>
    <row r="298" spans="2:5" ht="20.100000000000001" customHeight="1" x14ac:dyDescent="0.2">
      <c r="B298" s="4" t="s">
        <v>267</v>
      </c>
      <c r="C298" s="362" t="s">
        <v>267</v>
      </c>
      <c r="D298" s="347" t="s">
        <v>267</v>
      </c>
      <c r="E298" s="32"/>
    </row>
    <row r="299" spans="2:5" ht="20.100000000000001" customHeight="1" x14ac:dyDescent="0.2">
      <c r="B299" s="4" t="s">
        <v>1289</v>
      </c>
      <c r="C299" s="362" t="s">
        <v>323</v>
      </c>
      <c r="D299" s="347" t="s">
        <v>323</v>
      </c>
      <c r="E299" s="32"/>
    </row>
    <row r="300" spans="2:5" ht="20.100000000000001" customHeight="1" x14ac:dyDescent="0.2">
      <c r="B300" s="4" t="s">
        <v>1290</v>
      </c>
      <c r="C300" s="362" t="s">
        <v>323</v>
      </c>
      <c r="D300" s="347" t="s">
        <v>323</v>
      </c>
      <c r="E300" s="32"/>
    </row>
    <row r="301" spans="2:5" ht="20.100000000000001" customHeight="1" x14ac:dyDescent="0.2">
      <c r="B301" s="405" t="s">
        <v>452</v>
      </c>
      <c r="C301" s="406"/>
      <c r="D301" s="406"/>
      <c r="E301" s="407"/>
    </row>
    <row r="302" spans="2:5" ht="20.100000000000001" customHeight="1" x14ac:dyDescent="0.2">
      <c r="B302" s="4" t="s">
        <v>453</v>
      </c>
      <c r="C302" s="362" t="str">
        <f>CONCATENATE("overlay-tz-",this_instance,"-w0",wld_domain_number_chosen,"-nsx01")</f>
        <v>overlay-tz-sfo-w01-nsx01</v>
      </c>
      <c r="D302" s="347"/>
      <c r="E302" s="3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303" spans="2:5" ht="20.100000000000001" customHeight="1" x14ac:dyDescent="0.2">
      <c r="B303" s="4" t="s">
        <v>398</v>
      </c>
      <c r="C303" s="362" t="str">
        <f>CONCATENATE(prefix_wld_az1_vlan,"14")</f>
        <v>1314</v>
      </c>
      <c r="D303" s="347"/>
    </row>
    <row r="304" spans="2:5" ht="20.100000000000001" customHeight="1" x14ac:dyDescent="0.2">
      <c r="B304" s="4" t="s">
        <v>454</v>
      </c>
      <c r="C304" s="362" t="s">
        <v>1291</v>
      </c>
      <c r="D304" s="355" t="s">
        <v>1291</v>
      </c>
      <c r="E304" s="4" t="str">
        <f>IF(wld_host_overlay_addressing_chosen="Static IP Pool","If Static Pools for Host TEP assignment is required then use COPY FROM PRECONFIGURED PROFILE option","")</f>
        <v>If Static Pools for Host TEP assignment is required then use COPY FROM PRECONFIGURED PROFILE option</v>
      </c>
    </row>
    <row r="305" spans="2:5" ht="20.100000000000001" customHeight="1" x14ac:dyDescent="0.2">
      <c r="B305" s="4" t="s">
        <v>1291</v>
      </c>
      <c r="C305" s="362" t="s">
        <v>786</v>
      </c>
      <c r="D305" s="347" t="s">
        <v>786</v>
      </c>
      <c r="E305"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06" spans="2:5" ht="20.100000000000001" customHeight="1" x14ac:dyDescent="0.2">
      <c r="B306" s="4" t="s">
        <v>456</v>
      </c>
      <c r="C306" s="126" t="str">
        <f>CONCATENATE(this_instance,"01-w0",wld_domain_number_chosen,"-r01-ip-pool01-host")</f>
        <v>sfo01-w01-r01-ip-pool01-host</v>
      </c>
      <c r="D306" s="347"/>
      <c r="E306" s="32"/>
    </row>
    <row r="307" spans="2:5" ht="20.100000000000001" customHeight="1" x14ac:dyDescent="0.2">
      <c r="B307" s="4" t="s">
        <v>457</v>
      </c>
      <c r="C307" s="126" t="s">
        <v>458</v>
      </c>
      <c r="D307" s="347"/>
      <c r="E307" s="32"/>
    </row>
    <row r="308" spans="2:5" ht="20.100000000000001" customHeight="1" x14ac:dyDescent="0.2">
      <c r="B308" s="4" t="s">
        <v>459</v>
      </c>
      <c r="C308" s="362" t="str">
        <f>CONCATENATE(prefix_wld_az1_cidr,"14.0/24")</f>
        <v>10.13.14.0/24</v>
      </c>
      <c r="D308" s="347"/>
      <c r="E308" s="32"/>
    </row>
    <row r="309" spans="2:5" ht="20.100000000000001" customHeight="1" x14ac:dyDescent="0.2">
      <c r="B309" s="4" t="s">
        <v>460</v>
      </c>
      <c r="C309" s="362" t="str">
        <f>CONCATENATE(prefix_wld_az1_cidr,"14.101")</f>
        <v>10.13.14.101</v>
      </c>
      <c r="D309" s="347"/>
      <c r="E309" s="32"/>
    </row>
    <row r="310" spans="2:5" ht="20.100000000000001" customHeight="1" x14ac:dyDescent="0.2">
      <c r="B310" s="4" t="s">
        <v>461</v>
      </c>
      <c r="C310" s="362" t="str">
        <f>CONCATENATE(prefix_wld_az1_cidr,"14.132")</f>
        <v>10.13.14.132</v>
      </c>
      <c r="D310" s="347"/>
      <c r="E310" s="32"/>
    </row>
    <row r="311" spans="2:5" ht="20.100000000000001" customHeight="1" x14ac:dyDescent="0.2">
      <c r="B311" s="4" t="s">
        <v>907</v>
      </c>
      <c r="C311" s="362" t="str">
        <f>CONCATENATE(prefix_wld_az1_cidr,"14.1")</f>
        <v>10.13.14.1</v>
      </c>
      <c r="D311" s="347"/>
      <c r="E311" s="32"/>
    </row>
    <row r="312" spans="2:5" ht="20.100000000000001" customHeight="1" x14ac:dyDescent="0.2">
      <c r="B312" s="4" t="s">
        <v>1292</v>
      </c>
      <c r="C312" s="362" t="s">
        <v>1293</v>
      </c>
      <c r="D312" s="347"/>
      <c r="E312" s="32"/>
    </row>
    <row r="313" spans="2:5" ht="20.100000000000001" customHeight="1" x14ac:dyDescent="0.2">
      <c r="B313" s="405" t="s">
        <v>1294</v>
      </c>
      <c r="C313" s="406"/>
      <c r="D313" s="406"/>
      <c r="E313" s="407"/>
    </row>
    <row r="314" spans="2:5" ht="20.100000000000001" customHeight="1" x14ac:dyDescent="0.2">
      <c r="B314" s="4" t="s">
        <v>784</v>
      </c>
      <c r="C314" s="362" t="str">
        <f>CONCATENATE(this_instance,"01-",sample_wld_cl01_cluster,"-r01-network-profile")</f>
        <v>sfo01-sfo-w01-cl01-r01-network-profile</v>
      </c>
      <c r="D314" s="347"/>
      <c r="E314" s="32"/>
    </row>
    <row r="315" spans="2:5" ht="20.100000000000001" customHeight="1" x14ac:dyDescent="0.2">
      <c r="B315" s="4" t="s">
        <v>1295</v>
      </c>
      <c r="C315" s="362">
        <v>2</v>
      </c>
      <c r="D315" s="347"/>
      <c r="E315" s="32"/>
    </row>
    <row r="316" spans="2:5" ht="20.100000000000001" customHeight="1" x14ac:dyDescent="0.2">
      <c r="B316" s="4" t="s">
        <v>1296</v>
      </c>
      <c r="C316" s="362" t="s">
        <v>440</v>
      </c>
      <c r="D316" s="347" t="s">
        <v>440</v>
      </c>
      <c r="E316" s="32"/>
    </row>
    <row r="317" spans="2:5" ht="20.100000000000001" customHeight="1" x14ac:dyDescent="0.2">
      <c r="B317" s="4" t="s">
        <v>1297</v>
      </c>
      <c r="C317" s="362" t="s">
        <v>441</v>
      </c>
      <c r="D317" s="347" t="s">
        <v>441</v>
      </c>
      <c r="E317" s="32"/>
    </row>
    <row r="318" spans="2:5" ht="20.100000000000001" customHeight="1" x14ac:dyDescent="0.2">
      <c r="B318" s="17" t="s">
        <v>1298</v>
      </c>
      <c r="C318" s="126" t="str">
        <f>CONCATENATE(this_instance,"01-w0",wld_domain_number_chosen,"-r01-uplink-profile01")</f>
        <v>sfo01-w01-r01-uplink-profile01</v>
      </c>
      <c r="D318" s="347"/>
      <c r="E318" s="32"/>
    </row>
    <row r="319" spans="2:5" ht="20.100000000000001" customHeight="1" x14ac:dyDescent="0.2">
      <c r="B319" s="4" t="s">
        <v>1299</v>
      </c>
      <c r="C319" s="362" t="s">
        <v>1300</v>
      </c>
      <c r="D319" s="347" t="s">
        <v>1300</v>
      </c>
      <c r="E319"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0" spans="2:5" ht="20.100000000000001" customHeight="1" x14ac:dyDescent="0.2">
      <c r="B320" s="4" t="s">
        <v>1301</v>
      </c>
      <c r="C320" s="362" t="s">
        <v>323</v>
      </c>
      <c r="D320" s="347" t="s">
        <v>323</v>
      </c>
      <c r="E320"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1" spans="2:5" ht="20.100000000000001" customHeight="1" x14ac:dyDescent="0.2">
      <c r="B321" s="4" t="s">
        <v>1302</v>
      </c>
      <c r="C321" s="362" t="s">
        <v>323</v>
      </c>
      <c r="D321" s="347" t="s">
        <v>323</v>
      </c>
      <c r="E321"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3" spans="2:5" ht="33.950000000000003" customHeight="1" x14ac:dyDescent="0.2">
      <c r="B323" s="408" t="s">
        <v>1303</v>
      </c>
      <c r="C323" s="409"/>
      <c r="D323" s="409"/>
      <c r="E323" s="410"/>
    </row>
    <row r="324" spans="2:5" ht="20.100000000000001" customHeight="1" x14ac:dyDescent="0.2">
      <c r="B324" s="346" t="s">
        <v>37</v>
      </c>
      <c r="C324" s="346" t="s">
        <v>276</v>
      </c>
      <c r="D324" s="346" t="s">
        <v>277</v>
      </c>
      <c r="E324" s="346" t="s">
        <v>5</v>
      </c>
    </row>
    <row r="325" spans="2:5" ht="20.100000000000001" customHeight="1" x14ac:dyDescent="0.2">
      <c r="B325" s="405" t="s">
        <v>1304</v>
      </c>
      <c r="C325" s="406"/>
      <c r="D325" s="406"/>
      <c r="E325" s="407"/>
    </row>
    <row r="326" spans="2:5" ht="20.100000000000001" customHeight="1" x14ac:dyDescent="0.2">
      <c r="B326" s="17" t="s">
        <v>1305</v>
      </c>
      <c r="C326" s="126" t="str">
        <f>CONCATENATE(sample_wld_sddc_domain,"-cl01-sn01")</f>
        <v>sfo-w01-cl01-sn01</v>
      </c>
      <c r="D326" s="347"/>
      <c r="E326" s="33" t="s">
        <v>1306</v>
      </c>
    </row>
    <row r="327" spans="2:5" ht="20.100000000000001" customHeight="1" x14ac:dyDescent="0.25">
      <c r="B327" s="17" t="s">
        <v>1307</v>
      </c>
      <c r="C327" s="126" t="s">
        <v>1308</v>
      </c>
      <c r="D327" s="347"/>
      <c r="E327" s="128"/>
    </row>
    <row r="328" spans="2:5" ht="20.100000000000001" customHeight="1" x14ac:dyDescent="0.2">
      <c r="B328" s="17" t="s">
        <v>1309</v>
      </c>
      <c r="C328" s="126" t="s">
        <v>286</v>
      </c>
      <c r="D328" s="347" t="s">
        <v>286</v>
      </c>
      <c r="E328" s="32"/>
    </row>
    <row r="329" spans="2:5" ht="20.100000000000001" customHeight="1" x14ac:dyDescent="0.2">
      <c r="B329" s="17" t="s">
        <v>1310</v>
      </c>
      <c r="C329" s="126" t="str">
        <f>IF(wld_cl01_supervisor_use_mgmt_vmk_chosen="Unselected",CONCATENATE(prefix_wld_az1_cidr,"10.50","-",prefix_wld_az1_cidr,"10.60"),CONCATENATE(prefix_wld_az1_cidr,"11.50","-",prefix_wld_az1_cidr,"11.60"))</f>
        <v>10.13.10.50-10.13.10.60</v>
      </c>
      <c r="D329" s="347"/>
      <c r="E329" s="32"/>
    </row>
    <row r="330" spans="2:5" ht="20.100000000000001" customHeight="1" x14ac:dyDescent="0.2">
      <c r="B330" s="405" t="s">
        <v>1311</v>
      </c>
      <c r="C330" s="406"/>
      <c r="D330" s="406"/>
      <c r="E330" s="407"/>
    </row>
    <row r="331" spans="2:5" ht="20.100000000000001" customHeight="1" x14ac:dyDescent="0.2">
      <c r="B331" s="17" t="s">
        <v>1312</v>
      </c>
      <c r="C331" s="126" t="s">
        <v>1313</v>
      </c>
      <c r="D331" s="347"/>
      <c r="E331" s="32"/>
    </row>
    <row r="332" spans="2:5" ht="20.100000000000001" customHeight="1" x14ac:dyDescent="0.2">
      <c r="B332" s="17" t="s">
        <v>1314</v>
      </c>
      <c r="C332" s="126" t="s">
        <v>1315</v>
      </c>
      <c r="D332" s="347"/>
      <c r="E332" s="32"/>
    </row>
    <row r="333" spans="2:5" ht="20.100000000000001" customHeight="1" x14ac:dyDescent="0.2">
      <c r="B333" s="17" t="s">
        <v>1316</v>
      </c>
      <c r="C333" s="126" t="s">
        <v>1317</v>
      </c>
      <c r="D333" s="347"/>
      <c r="E333" s="337" t="s">
        <v>1318</v>
      </c>
    </row>
    <row r="334" spans="2:5" ht="20.100000000000001" customHeight="1" x14ac:dyDescent="0.2">
      <c r="B334" s="17" t="s">
        <v>1319</v>
      </c>
      <c r="C334" s="126" t="s">
        <v>1320</v>
      </c>
      <c r="D334" s="347"/>
      <c r="E334" s="32"/>
    </row>
    <row r="335" spans="2:5" ht="20.100000000000001" customHeight="1" x14ac:dyDescent="0.2">
      <c r="B335" s="17" t="s">
        <v>1321</v>
      </c>
      <c r="C335" s="126" t="str">
        <f>CONCATENATE(sample_region_dns1_ip,",",sample_region_dns2_ip)</f>
        <v>10.11.10.4,10.11.10.5</v>
      </c>
      <c r="D335" s="347"/>
      <c r="E335" s="32"/>
    </row>
    <row r="336" spans="2:5" ht="15.95" customHeight="1" x14ac:dyDescent="0.2">
      <c r="B336" s="17" t="s">
        <v>1322</v>
      </c>
      <c r="C336" s="126" t="str">
        <f>CONCATENATE(sample_region_ntp1_server,",",sample_region_ntp2_server)</f>
        <v>ntp0.sfo.rainpole.io,ntp1.sfo.rainpole.io</v>
      </c>
      <c r="D336" s="347"/>
      <c r="E336" s="32"/>
    </row>
    <row r="337" spans="2:5" ht="15.95" customHeight="1" x14ac:dyDescent="0.2"/>
    <row r="338" spans="2:5" ht="33.950000000000003" customHeight="1" x14ac:dyDescent="0.2">
      <c r="B338" s="162" t="s">
        <v>1323</v>
      </c>
      <c r="C338" s="394"/>
      <c r="D338" s="394"/>
      <c r="E338" s="394"/>
    </row>
    <row r="339" spans="2:5" ht="20.100000000000001" customHeight="1" x14ac:dyDescent="0.2">
      <c r="B339" s="346" t="s">
        <v>37</v>
      </c>
      <c r="C339" s="346" t="s">
        <v>276</v>
      </c>
      <c r="D339" s="346" t="s">
        <v>277</v>
      </c>
      <c r="E339" s="346" t="s">
        <v>5</v>
      </c>
    </row>
    <row r="340" spans="2:5" ht="20.100000000000001" customHeight="1" x14ac:dyDescent="0.2">
      <c r="B340" s="405" t="s">
        <v>397</v>
      </c>
      <c r="C340" s="406"/>
      <c r="D340" s="406"/>
      <c r="E340" s="407"/>
    </row>
    <row r="341" spans="2:5" ht="20.100000000000001" customHeight="1" x14ac:dyDescent="0.25">
      <c r="B341" s="128" t="s">
        <v>398</v>
      </c>
      <c r="C341" s="362" t="str">
        <f>sample_wld_az1_mgmt_vlan</f>
        <v>1311</v>
      </c>
      <c r="D341" s="163" t="str">
        <f>wld_az1_mgmt_vlan</f>
        <v>Value Missing</v>
      </c>
      <c r="E341" s="33"/>
    </row>
    <row r="342" spans="2:5" ht="20.100000000000001" customHeight="1" x14ac:dyDescent="0.25">
      <c r="B342" s="128" t="s">
        <v>399</v>
      </c>
      <c r="C342" s="362" t="str">
        <f>sample_wld_az1_mgmt_gateway_ip</f>
        <v>10.13.11.1</v>
      </c>
      <c r="D342" s="163" t="str">
        <f>wld_az1_mgmt_gateway_ip</f>
        <v>Value Missing</v>
      </c>
      <c r="E342" s="33"/>
    </row>
    <row r="343" spans="2:5" ht="20.100000000000001" customHeight="1" x14ac:dyDescent="0.25">
      <c r="B343" s="128" t="s">
        <v>400</v>
      </c>
      <c r="C343" s="362" t="str">
        <f>sample_wld_az1_mgmt_cidr</f>
        <v>10.13.11.0/24</v>
      </c>
      <c r="D343" s="163" t="str">
        <f>wld_az1_mgmt_cidr</f>
        <v>Value Missing</v>
      </c>
      <c r="E343" s="33"/>
    </row>
    <row r="344" spans="2:5" ht="20.100000000000001" customHeight="1" x14ac:dyDescent="0.2">
      <c r="B344" s="4" t="s">
        <v>401</v>
      </c>
      <c r="C344" s="362">
        <f>sample_wld_az1_mgmt_mtu</f>
        <v>1500</v>
      </c>
      <c r="D344" s="163" t="str">
        <f>wld_az1_mgmt_mtu</f>
        <v>Value Missing</v>
      </c>
      <c r="E344" s="33"/>
    </row>
    <row r="345" spans="2:5" ht="20.100000000000001" customHeight="1" x14ac:dyDescent="0.2">
      <c r="B345" s="417" t="s">
        <v>402</v>
      </c>
      <c r="C345" s="418"/>
      <c r="D345" s="418"/>
      <c r="E345" s="419"/>
    </row>
    <row r="346" spans="2:5" ht="20.100000000000001" customHeight="1" x14ac:dyDescent="0.25">
      <c r="B346" s="128" t="s">
        <v>398</v>
      </c>
      <c r="C346" s="80" t="str">
        <f>IF(wld_dpg_separation_result="Included",CONCATENATE(prefix_wld_az1_vlan,"10"),CONCATENATE(prefix_wld_az1_vlan,"11"))</f>
        <v>1310</v>
      </c>
      <c r="D346" s="347"/>
      <c r="E346" s="275" t="s">
        <v>1324</v>
      </c>
    </row>
    <row r="347" spans="2:5" ht="20.100000000000001" customHeight="1" x14ac:dyDescent="0.25">
      <c r="B347" s="128" t="s">
        <v>399</v>
      </c>
      <c r="C347" s="80" t="str">
        <f>IF(wld_dpg_separation_result="Included",CONCATENATE(prefix_wld_az1_cidr,"10.1"),CONCATENATE(prefix_wld_az1_cidr,"11.1"))</f>
        <v>10.13.10.1</v>
      </c>
      <c r="D347" s="347"/>
      <c r="E347" s="275"/>
    </row>
    <row r="348" spans="2:5" ht="20.100000000000001" customHeight="1" x14ac:dyDescent="0.25">
      <c r="B348" s="128" t="s">
        <v>400</v>
      </c>
      <c r="C348" s="80" t="str">
        <f>IF(wld_dpg_separation_result="Included",CONCATENATE(prefix_wld_az1_cidr,"10.0/24"),CONCATENATE(prefix_wld_az1_cidr,"11.0/24"))</f>
        <v>10.13.10.0/24</v>
      </c>
      <c r="D348" s="347"/>
      <c r="E348" s="275"/>
    </row>
    <row r="349" spans="2:5" ht="20.100000000000001" customHeight="1" x14ac:dyDescent="0.2">
      <c r="B349" s="4" t="s">
        <v>401</v>
      </c>
      <c r="C349" s="80">
        <v>1500</v>
      </c>
      <c r="D349" s="347"/>
      <c r="E349" s="275"/>
    </row>
    <row r="350" spans="2:5" ht="20.100000000000001" customHeight="1" x14ac:dyDescent="0.2">
      <c r="B350" s="405" t="s">
        <v>404</v>
      </c>
      <c r="C350" s="406"/>
      <c r="D350" s="406"/>
      <c r="E350" s="407"/>
    </row>
    <row r="351" spans="2:5" ht="20.100000000000001" customHeight="1" x14ac:dyDescent="0.2">
      <c r="B351" s="4" t="s">
        <v>398</v>
      </c>
      <c r="C351" s="80" t="str">
        <f>sample_wld_az1_vmotion_vlan</f>
        <v>1312</v>
      </c>
      <c r="D351" s="163" t="str">
        <f>wld_az1_vmotion_vlan</f>
        <v>Value Missing</v>
      </c>
      <c r="E351" s="93"/>
    </row>
    <row r="352" spans="2:5" ht="20.100000000000001" customHeight="1" x14ac:dyDescent="0.2">
      <c r="B352" s="4" t="s">
        <v>399</v>
      </c>
      <c r="C352" s="80" t="str">
        <f>sample_wld_az1_vmotion_gateway_ip</f>
        <v>10.13.12.1</v>
      </c>
      <c r="D352" s="163" t="str">
        <f>wld_az1_vmotion_gateway_ip</f>
        <v>Value Missing</v>
      </c>
      <c r="E352" s="32"/>
    </row>
    <row r="353" spans="2:5" ht="20.100000000000001" customHeight="1" x14ac:dyDescent="0.2">
      <c r="B353" s="4" t="s">
        <v>400</v>
      </c>
      <c r="C353" s="80" t="str">
        <f>CONCATENATE(prefix_wld_az1_cidr,"12.0/24")</f>
        <v>10.13.12.0/24</v>
      </c>
      <c r="D353" s="163" t="str">
        <f>wld_az1_vmotion_cidr</f>
        <v>Value Missing</v>
      </c>
      <c r="E353" s="32"/>
    </row>
    <row r="354" spans="2:5" ht="20.100000000000001" customHeight="1" x14ac:dyDescent="0.2">
      <c r="B354" s="4" t="s">
        <v>401</v>
      </c>
      <c r="C354" s="80">
        <f>sample_wld_az1_vmotion_mtu</f>
        <v>9000</v>
      </c>
      <c r="D354" s="163" t="str">
        <f>wld_az1_vmotion_mtu</f>
        <v>Value Missing</v>
      </c>
      <c r="E354" s="32"/>
    </row>
    <row r="355" spans="2:5" ht="20.100000000000001" customHeight="1" x14ac:dyDescent="0.2">
      <c r="B355" s="17" t="s">
        <v>460</v>
      </c>
      <c r="C355" s="80" t="s">
        <v>1325</v>
      </c>
      <c r="D355" s="163" t="str">
        <f>wld_az1_vmotion_pool_start_ip</f>
        <v>Value Missing</v>
      </c>
      <c r="E355" s="32"/>
    </row>
    <row r="356" spans="2:5" ht="20.100000000000001" customHeight="1" x14ac:dyDescent="0.2">
      <c r="B356" s="17" t="s">
        <v>461</v>
      </c>
      <c r="C356" s="80" t="s">
        <v>1326</v>
      </c>
      <c r="D356" s="163" t="str">
        <f>wld_az1_vmotion_pool_end_ip</f>
        <v>Value Missing</v>
      </c>
      <c r="E356" s="32"/>
    </row>
    <row r="357" spans="2:5" ht="20.100000000000001" customHeight="1" x14ac:dyDescent="0.2">
      <c r="B357" s="405" t="str">
        <f>IF(wld_principal_storage_chosen="NFSv3","NFS Network","vSAN Network")</f>
        <v>vSAN Network</v>
      </c>
      <c r="C357" s="406"/>
      <c r="D357" s="406"/>
      <c r="E357" s="407"/>
    </row>
    <row r="358" spans="2:5" ht="20.100000000000001" customHeight="1" x14ac:dyDescent="0.2">
      <c r="B358" s="4" t="s">
        <v>398</v>
      </c>
      <c r="C358" s="80" t="str">
        <f>sample_wld_az1_principal_storage_vlan</f>
        <v>1313</v>
      </c>
      <c r="D358" s="163" t="str">
        <f>wld_az1_principal_storage_vlan</f>
        <v>Value Missing</v>
      </c>
      <c r="E358" s="56"/>
    </row>
    <row r="359" spans="2:5" ht="20.100000000000001" customHeight="1" x14ac:dyDescent="0.2">
      <c r="B359" s="4" t="s">
        <v>399</v>
      </c>
      <c r="C359" s="80" t="str">
        <f>sample_wld_az1_principal_storage_gateway_ip</f>
        <v>10.13.13.1</v>
      </c>
      <c r="D359" s="163" t="str">
        <f>wld_az1_principal_storage_gateway_ip</f>
        <v>Value Missing</v>
      </c>
      <c r="E359" s="56" t="str">
        <f>IF(AND(mgmt_stretched_cluster_result="Included",mgmt_dpg_reuse_result="Excluded"),"Stretched L2","")</f>
        <v/>
      </c>
    </row>
    <row r="360" spans="2:5" ht="20.100000000000001" customHeight="1" x14ac:dyDescent="0.2">
      <c r="B360" s="4" t="s">
        <v>400</v>
      </c>
      <c r="C360" s="80" t="str">
        <f>CONCATENATE(prefix_wld_az1_cidr,"13.0/24")</f>
        <v>10.13.13.0/24</v>
      </c>
      <c r="D360" s="163" t="str">
        <f>wld_az1_principal_storage_cidr</f>
        <v>Value Missing</v>
      </c>
      <c r="E360" s="56"/>
    </row>
    <row r="361" spans="2:5" ht="20.100000000000001" customHeight="1" x14ac:dyDescent="0.2">
      <c r="B361" s="4" t="s">
        <v>401</v>
      </c>
      <c r="C361" s="80">
        <f>sample_wld_az1_principal_storage_mtu</f>
        <v>9000</v>
      </c>
      <c r="D361" s="163" t="str">
        <f>wld_az1_principal_storage_mtu</f>
        <v>Value Missing</v>
      </c>
      <c r="E361" s="56"/>
    </row>
    <row r="362" spans="2:5" ht="20.100000000000001" customHeight="1" x14ac:dyDescent="0.2">
      <c r="B362" s="17" t="s">
        <v>460</v>
      </c>
      <c r="C362" s="80" t="s">
        <v>1327</v>
      </c>
      <c r="D362" s="163" t="str">
        <f>wld_az1_principal_storage_pool_start_ip</f>
        <v>Value Missing</v>
      </c>
      <c r="E362" s="56"/>
    </row>
    <row r="363" spans="2:5" ht="20.100000000000001" customHeight="1" x14ac:dyDescent="0.2">
      <c r="B363" s="17" t="s">
        <v>461</v>
      </c>
      <c r="C363" s="80" t="s">
        <v>1328</v>
      </c>
      <c r="D363" s="163" t="str">
        <f>wld_az1_principal_storage_pool_end_ip</f>
        <v>Value Missing</v>
      </c>
      <c r="E363" s="56"/>
    </row>
    <row r="364" spans="2:5" ht="20.100000000000001" customHeight="1" x14ac:dyDescent="0.2">
      <c r="B364" s="405" t="s">
        <v>467</v>
      </c>
      <c r="C364" s="406"/>
      <c r="D364" s="406"/>
      <c r="E364" s="407"/>
    </row>
    <row r="365" spans="2:5" ht="20.100000000000001" customHeight="1" x14ac:dyDescent="0.2">
      <c r="B365" s="4" t="s">
        <v>398</v>
      </c>
      <c r="C365" s="80" t="str">
        <f>sample_wld_az1_host_overlay_vlan</f>
        <v>1314</v>
      </c>
      <c r="D365" s="163" t="str">
        <f>wld_az1_host_overlay_vlan</f>
        <v>Value Missing</v>
      </c>
      <c r="E365" s="32"/>
    </row>
    <row r="366" spans="2:5" ht="20.100000000000001" customHeight="1" x14ac:dyDescent="0.2">
      <c r="B366" s="4" t="s">
        <v>399</v>
      </c>
      <c r="C366" s="80" t="str">
        <f>sample_wld_az1_host_overlay_gateway_ip</f>
        <v>10.13.14.1</v>
      </c>
      <c r="D366" s="163" t="str">
        <f>wld_az1_host_overlay_gateway_ip</f>
        <v>Value Missing</v>
      </c>
      <c r="E366" s="32"/>
    </row>
    <row r="367" spans="2:5" ht="20.100000000000001" customHeight="1" x14ac:dyDescent="0.2">
      <c r="B367" s="4" t="s">
        <v>400</v>
      </c>
      <c r="C367" s="80" t="str">
        <f>sample_wld_az1_host_overlay_cidr</f>
        <v>10.13.14.0/24</v>
      </c>
      <c r="D367" s="163" t="str">
        <f>wld_az1_host_overlay_cidr</f>
        <v>Value Missing</v>
      </c>
      <c r="E367" s="32"/>
    </row>
    <row r="368" spans="2:5" ht="20.100000000000001" customHeight="1" x14ac:dyDescent="0.2">
      <c r="B368" s="4" t="s">
        <v>401</v>
      </c>
      <c r="C368" s="80">
        <v>9000</v>
      </c>
      <c r="D368" s="164"/>
      <c r="E368" s="32"/>
    </row>
    <row r="369" spans="2:5" ht="20.100000000000001" customHeight="1" x14ac:dyDescent="0.2">
      <c r="B369" s="17" t="s">
        <v>460</v>
      </c>
      <c r="C369" s="80" t="str">
        <f>sample_wld_az1_host_overlay_pool_start_ip</f>
        <v>10.13.14.101</v>
      </c>
      <c r="D369" s="163" t="str">
        <f>wld_az1_host_overlay_pool_start_ip</f>
        <v>Value Missing</v>
      </c>
      <c r="E369" s="32"/>
    </row>
    <row r="370" spans="2:5" ht="20.100000000000001" customHeight="1" x14ac:dyDescent="0.2">
      <c r="B370" s="17" t="s">
        <v>461</v>
      </c>
      <c r="C370" s="80" t="str">
        <f>sample_wld_az1_host_overlay_pool_end_ip</f>
        <v>10.13.14.132</v>
      </c>
      <c r="D370" s="163" t="str">
        <f>wld_az1_host_overlay_pool_end_ip</f>
        <v>Value Missing</v>
      </c>
      <c r="E370" s="32"/>
    </row>
    <row r="371" spans="2:5" ht="20.100000000000001" customHeight="1" x14ac:dyDescent="0.2">
      <c r="B371" s="417" t="s">
        <v>1329</v>
      </c>
      <c r="C371" s="418"/>
      <c r="D371" s="418"/>
      <c r="E371" s="419"/>
    </row>
    <row r="372" spans="2:5" ht="20.100000000000001" customHeight="1" x14ac:dyDescent="0.2">
      <c r="B372" s="157" t="s">
        <v>299</v>
      </c>
      <c r="C372" s="158" t="s">
        <v>470</v>
      </c>
      <c r="D372" s="158" t="s">
        <v>471</v>
      </c>
      <c r="E372" s="158" t="s">
        <v>5</v>
      </c>
    </row>
    <row r="373" spans="2:5" ht="20.100000000000001" customHeight="1" x14ac:dyDescent="0.2">
      <c r="B373" s="165" t="str">
        <f>wld_vc_fqdn</f>
        <v>Value Missing</v>
      </c>
      <c r="C373" s="131" t="str">
        <f>IF(mgmt_dpg_reuse_result="Included",CONCATENATE(prefix_mgmt_az1_cidr,"10.",(130 + (30*(wld_domain_number_chosen - 1)))),CONCATENATE(prefix_mgmt_az1_cidr,"11.",(130 + (30*(wld_domain_number_chosen - 1)))))</f>
        <v>10.11.10.130</v>
      </c>
      <c r="D373" s="164"/>
      <c r="E373" s="132" t="s">
        <v>1248</v>
      </c>
    </row>
    <row r="374" spans="2:5" ht="20.100000000000001" customHeight="1" x14ac:dyDescent="0.2">
      <c r="B374" s="157" t="s">
        <v>1330</v>
      </c>
      <c r="C374" s="158" t="s">
        <v>470</v>
      </c>
      <c r="D374" s="158" t="s">
        <v>471</v>
      </c>
      <c r="E374" s="158" t="s">
        <v>5</v>
      </c>
    </row>
    <row r="375" spans="2:5" ht="20.100000000000001" customHeight="1" x14ac:dyDescent="0.2">
      <c r="B375" s="165" t="str">
        <f>wld_nsxt_vip_fqdn</f>
        <v>Value Missing</v>
      </c>
      <c r="C375" s="131" t="str">
        <f>sample_wld_nsxt_vip_ip</f>
        <v>10.11.10.131</v>
      </c>
      <c r="D375" s="163" t="str">
        <f>wld_nsxt_vip_ip</f>
        <v>Value Missing</v>
      </c>
      <c r="E375" s="132" t="s">
        <v>1219</v>
      </c>
    </row>
    <row r="376" spans="2:5" ht="20.100000000000001" customHeight="1" x14ac:dyDescent="0.2">
      <c r="B376" s="165" t="str">
        <f>wld_nsxt_mgra_fqdn</f>
        <v>Value Missing</v>
      </c>
      <c r="C376" s="131" t="str">
        <f>sample_wld_nsxt_mgra_ip</f>
        <v>10.11.10.132</v>
      </c>
      <c r="D376" s="163" t="str">
        <f>wld_nsxt_mgra_ip</f>
        <v>Value Missing</v>
      </c>
      <c r="E376" s="132" t="s">
        <v>1213</v>
      </c>
    </row>
    <row r="377" spans="2:5" ht="20.100000000000001" customHeight="1" x14ac:dyDescent="0.2">
      <c r="B377" s="165" t="str">
        <f>wld_nsxt_mgrb_fqdn</f>
        <v>Value Missing</v>
      </c>
      <c r="C377" s="131" t="str">
        <f>sample_wld_nsxt_mgrb_ip</f>
        <v>10.11.10.133</v>
      </c>
      <c r="D377" s="163" t="str">
        <f>wld_nsxt_mgrb_ip</f>
        <v>Value Missing</v>
      </c>
      <c r="E377" s="132" t="s">
        <v>1215</v>
      </c>
    </row>
    <row r="378" spans="2:5" ht="20.100000000000001" customHeight="1" x14ac:dyDescent="0.2">
      <c r="B378" s="165" t="str">
        <f>wld_nsxt_mgrc_fqdn</f>
        <v>Value Missing</v>
      </c>
      <c r="C378" s="131" t="str">
        <f>sample_wld_nsxt_mgrc_ip</f>
        <v>10.11.10.134</v>
      </c>
      <c r="D378" s="163" t="str">
        <f>wld_nsxt_mgrc_ip</f>
        <v>Value Missing</v>
      </c>
      <c r="E378" s="132" t="s">
        <v>1217</v>
      </c>
    </row>
    <row r="379" spans="2:5" ht="20.100000000000001" customHeight="1" x14ac:dyDescent="0.2">
      <c r="B379" s="157" t="s">
        <v>476</v>
      </c>
      <c r="C379" s="158" t="s">
        <v>470</v>
      </c>
      <c r="D379" s="158" t="s">
        <v>471</v>
      </c>
      <c r="E379" s="158" t="s">
        <v>5</v>
      </c>
    </row>
    <row r="380" spans="2:5" ht="20.100000000000001" customHeight="1" x14ac:dyDescent="0.2">
      <c r="B380" s="165" t="str">
        <f>wld_az1_host1_fqdn</f>
        <v>Value Missing</v>
      </c>
      <c r="C380" s="89" t="str">
        <f t="shared" ref="C380:C395" si="0">sample_wld_az1_host1_mgmt_ip</f>
        <v>10.13.11.101</v>
      </c>
      <c r="D380" s="163" t="str">
        <f>wld_az1_host1_mgmt_ip</f>
        <v>Value Missing</v>
      </c>
      <c r="E380" s="100" t="s">
        <v>1331</v>
      </c>
    </row>
    <row r="381" spans="2:5" ht="20.100000000000001" customHeight="1" x14ac:dyDescent="0.2">
      <c r="B381" s="165" t="str">
        <f>wld_az1_host2_fqdn</f>
        <v>Value Missing</v>
      </c>
      <c r="C381" s="89" t="str">
        <f t="shared" si="0"/>
        <v>10.13.11.101</v>
      </c>
      <c r="D381" s="163" t="str">
        <f>wld_az1_host2_mgmt_ip</f>
        <v>Value Missing</v>
      </c>
      <c r="E381" s="100" t="s">
        <v>1332</v>
      </c>
    </row>
    <row r="382" spans="2:5" ht="20.100000000000001" customHeight="1" x14ac:dyDescent="0.2">
      <c r="B382" s="165" t="str">
        <f>wld_az1_host3_fqdn</f>
        <v>Value Missing</v>
      </c>
      <c r="C382" s="89" t="str">
        <f t="shared" si="0"/>
        <v>10.13.11.101</v>
      </c>
      <c r="D382" s="163" t="str">
        <f>wld_az1_host3_mgmt_ip</f>
        <v>Value Missing</v>
      </c>
      <c r="E382" s="100" t="s">
        <v>1333</v>
      </c>
    </row>
    <row r="383" spans="2:5" ht="20.100000000000001" customHeight="1" x14ac:dyDescent="0.2">
      <c r="B383" s="165" t="str">
        <f>wld_az1_host4_fqdn</f>
        <v>Value Missing</v>
      </c>
      <c r="C383" s="89" t="str">
        <f t="shared" si="0"/>
        <v>10.13.11.101</v>
      </c>
      <c r="D383" s="163" t="str">
        <f>wld_az1_host4_mgmt_ip</f>
        <v>Value Missing</v>
      </c>
      <c r="E383" s="100" t="s">
        <v>1334</v>
      </c>
    </row>
    <row r="384" spans="2:5" ht="20.100000000000001" customHeight="1" x14ac:dyDescent="0.2">
      <c r="B384" s="165" t="str">
        <f>wld_az1_host5_fqdn</f>
        <v>Value Missing</v>
      </c>
      <c r="C384" s="89" t="str">
        <f t="shared" si="0"/>
        <v>10.13.11.101</v>
      </c>
      <c r="D384" s="163" t="str">
        <f>wld_az1_host5_mgmt_ip</f>
        <v>Value Missing</v>
      </c>
      <c r="E384" s="100" t="s">
        <v>1335</v>
      </c>
    </row>
    <row r="385" spans="2:5" ht="20.100000000000001" customHeight="1" x14ac:dyDescent="0.2">
      <c r="B385" s="165" t="str">
        <f>wld_az1_host6_fqdn</f>
        <v>Value Missing</v>
      </c>
      <c r="C385" s="89" t="str">
        <f t="shared" si="0"/>
        <v>10.13.11.101</v>
      </c>
      <c r="D385" s="163" t="str">
        <f>wld_az1_host6_mgmt_ip</f>
        <v>Value Missing</v>
      </c>
      <c r="E385" s="100" t="s">
        <v>1336</v>
      </c>
    </row>
    <row r="386" spans="2:5" ht="20.100000000000001" customHeight="1" x14ac:dyDescent="0.2">
      <c r="B386" s="165" t="str">
        <f>wld_az1_host7_fqdn</f>
        <v>Value Missing</v>
      </c>
      <c r="C386" s="89" t="str">
        <f t="shared" si="0"/>
        <v>10.13.11.101</v>
      </c>
      <c r="D386" s="163" t="str">
        <f>wld_az1_host7_mgmt_ip</f>
        <v>Value Missing</v>
      </c>
      <c r="E386" s="100" t="s">
        <v>1337</v>
      </c>
    </row>
    <row r="387" spans="2:5" ht="20.100000000000001" customHeight="1" x14ac:dyDescent="0.2">
      <c r="B387" s="165" t="str">
        <f>wld_az1_host8_fqdn</f>
        <v>Value Missing</v>
      </c>
      <c r="C387" s="89" t="str">
        <f t="shared" si="0"/>
        <v>10.13.11.101</v>
      </c>
      <c r="D387" s="163" t="str">
        <f>wld_az1_host8_mgmt_ip</f>
        <v>Value Missing</v>
      </c>
      <c r="E387" s="100" t="s">
        <v>1338</v>
      </c>
    </row>
    <row r="388" spans="2:5" ht="20.100000000000001" customHeight="1" x14ac:dyDescent="0.2">
      <c r="B388" s="165" t="str">
        <f>wld_az1_host9_fqdn</f>
        <v>Value Missing</v>
      </c>
      <c r="C388" s="89" t="str">
        <f t="shared" si="0"/>
        <v>10.13.11.101</v>
      </c>
      <c r="D388" s="163" t="str">
        <f>wld_az1_host9_mgmt_ip</f>
        <v>Value Missing</v>
      </c>
      <c r="E388" s="100" t="s">
        <v>1339</v>
      </c>
    </row>
    <row r="389" spans="2:5" ht="20.100000000000001" customHeight="1" x14ac:dyDescent="0.2">
      <c r="B389" s="165" t="str">
        <f>wld_az1_host10_fqdn</f>
        <v>Value Missing</v>
      </c>
      <c r="C389" s="89" t="str">
        <f t="shared" si="0"/>
        <v>10.13.11.101</v>
      </c>
      <c r="D389" s="163" t="str">
        <f>wld_az1_host10_mgmt_ip</f>
        <v>Value Missing</v>
      </c>
      <c r="E389" s="100" t="s">
        <v>1340</v>
      </c>
    </row>
    <row r="390" spans="2:5" ht="20.100000000000001" customHeight="1" x14ac:dyDescent="0.2">
      <c r="B390" s="165" t="str">
        <f>wld_az1_host11_fqdn</f>
        <v>Value Missing</v>
      </c>
      <c r="C390" s="89" t="str">
        <f t="shared" si="0"/>
        <v>10.13.11.101</v>
      </c>
      <c r="D390" s="163" t="str">
        <f>wld_az1_host11_mgmt_ip</f>
        <v>Value Missing</v>
      </c>
      <c r="E390" s="100" t="s">
        <v>1341</v>
      </c>
    </row>
    <row r="391" spans="2:5" ht="15.95" customHeight="1" x14ac:dyDescent="0.2">
      <c r="B391" s="165" t="str">
        <f>wld_az1_host12_fqdn</f>
        <v>Value Missing</v>
      </c>
      <c r="C391" s="89" t="str">
        <f t="shared" si="0"/>
        <v>10.13.11.101</v>
      </c>
      <c r="D391" s="163" t="str">
        <f>wld_az1_host12_mgmt_ip</f>
        <v>Value Missing</v>
      </c>
      <c r="E391" s="100" t="s">
        <v>1342</v>
      </c>
    </row>
    <row r="392" spans="2:5" ht="20.100000000000001" customHeight="1" x14ac:dyDescent="0.2">
      <c r="B392" s="165" t="str">
        <f>wld_az1_host13_fqdn</f>
        <v>Value Missing</v>
      </c>
      <c r="C392" s="89" t="str">
        <f t="shared" si="0"/>
        <v>10.13.11.101</v>
      </c>
      <c r="D392" s="163" t="str">
        <f>wld_az1_host13_mgmt_ip</f>
        <v>Value Missing</v>
      </c>
      <c r="E392" s="100" t="s">
        <v>1343</v>
      </c>
    </row>
    <row r="393" spans="2:5" ht="20.100000000000001" customHeight="1" x14ac:dyDescent="0.2">
      <c r="B393" s="165" t="str">
        <f>wld_az1_host14_fqdn</f>
        <v>Value Missing</v>
      </c>
      <c r="C393" s="89" t="str">
        <f t="shared" si="0"/>
        <v>10.13.11.101</v>
      </c>
      <c r="D393" s="163" t="str">
        <f>wld_az1_host14_mgmt_ip</f>
        <v>Value Missing</v>
      </c>
      <c r="E393" s="100" t="s">
        <v>1344</v>
      </c>
    </row>
    <row r="394" spans="2:5" ht="20.100000000000001" customHeight="1" x14ac:dyDescent="0.2">
      <c r="B394" s="165" t="str">
        <f>wld_az1_host15_fqdn</f>
        <v>Value Missing</v>
      </c>
      <c r="C394" s="89" t="str">
        <f t="shared" si="0"/>
        <v>10.13.11.101</v>
      </c>
      <c r="D394" s="163" t="str">
        <f>wld_az1_host15_mgmt_ip</f>
        <v>Value Missing</v>
      </c>
      <c r="E394" s="100" t="s">
        <v>1345</v>
      </c>
    </row>
    <row r="395" spans="2:5" ht="20.100000000000001" customHeight="1" x14ac:dyDescent="0.2">
      <c r="B395" s="165" t="str">
        <f>wld_az1_host16_fqdn</f>
        <v>Value Missing</v>
      </c>
      <c r="C395" s="89" t="str">
        <f t="shared" si="0"/>
        <v>10.13.11.101</v>
      </c>
      <c r="D395" s="163" t="str">
        <f>wld_az1_host16_mgmt_ip</f>
        <v>Value Missing</v>
      </c>
      <c r="E395" s="100" t="s">
        <v>1346</v>
      </c>
    </row>
    <row r="396" spans="2:5" ht="20.100000000000001" customHeight="1" x14ac:dyDescent="0.2"/>
    <row r="397" spans="2:5" ht="20.100000000000001" customHeight="1" x14ac:dyDescent="0.2"/>
    <row r="398" spans="2:5" ht="20.100000000000001" customHeight="1" x14ac:dyDescent="0.2"/>
    <row r="399" spans="2:5" ht="20.100000000000001" customHeight="1" x14ac:dyDescent="0.2">
      <c r="B399" s="168"/>
      <c r="C399" s="168"/>
      <c r="D399" s="2"/>
    </row>
    <row r="400" spans="2:5" ht="20.100000000000001" customHeight="1" x14ac:dyDescent="0.2"/>
    <row r="401" ht="20.100000000000001" customHeight="1" x14ac:dyDescent="0.2"/>
    <row r="402" ht="20.100000000000001" customHeight="1" x14ac:dyDescent="0.2"/>
    <row r="403" ht="20.100000000000001" customHeight="1" x14ac:dyDescent="0.2"/>
    <row r="404" ht="20.100000000000001" customHeight="1" x14ac:dyDescent="0.2"/>
    <row r="405" ht="20.100000000000001" customHeight="1" x14ac:dyDescent="0.2"/>
    <row r="406" ht="20.100000000000001" customHeight="1" x14ac:dyDescent="0.2"/>
    <row r="407" ht="20.100000000000001" customHeight="1" x14ac:dyDescent="0.2"/>
    <row r="408" ht="20.100000000000001" customHeight="1" x14ac:dyDescent="0.2"/>
    <row r="409" ht="20.100000000000001" customHeight="1" x14ac:dyDescent="0.2"/>
    <row r="410" ht="20.100000000000001" customHeight="1" x14ac:dyDescent="0.2"/>
    <row r="411" ht="20.100000000000001" customHeight="1" x14ac:dyDescent="0.2"/>
    <row r="412" ht="20.100000000000001" customHeight="1" x14ac:dyDescent="0.2"/>
    <row r="413" ht="20.100000000000001" customHeight="1" x14ac:dyDescent="0.2"/>
    <row r="414" ht="20.100000000000001" customHeight="1" x14ac:dyDescent="0.2"/>
    <row r="415" ht="20.100000000000001" customHeight="1" x14ac:dyDescent="0.2"/>
    <row r="416" ht="20.100000000000001" customHeight="1" x14ac:dyDescent="0.2"/>
    <row r="417" ht="20.100000000000001" customHeight="1" x14ac:dyDescent="0.2"/>
    <row r="418" ht="20.100000000000001" customHeight="1" x14ac:dyDescent="0.2"/>
    <row r="419" ht="20.100000000000001" customHeight="1" x14ac:dyDescent="0.2"/>
    <row r="420" ht="20.100000000000001" customHeight="1" x14ac:dyDescent="0.2"/>
    <row r="421" ht="20.100000000000001" customHeight="1" x14ac:dyDescent="0.2"/>
    <row r="422" ht="20.100000000000001" customHeight="1" x14ac:dyDescent="0.2"/>
    <row r="423" ht="20.100000000000001" customHeight="1" x14ac:dyDescent="0.2"/>
    <row r="424" ht="20.100000000000001" customHeight="1" x14ac:dyDescent="0.2"/>
    <row r="425" ht="20.100000000000001" customHeight="1" x14ac:dyDescent="0.2"/>
    <row r="426" ht="20.100000000000001" customHeight="1" x14ac:dyDescent="0.2"/>
    <row r="427" ht="20.100000000000001" customHeight="1" x14ac:dyDescent="0.2"/>
    <row r="428" ht="20.100000000000001" customHeight="1" x14ac:dyDescent="0.2"/>
    <row r="429" ht="20.100000000000001" customHeight="1" x14ac:dyDescent="0.2"/>
    <row r="430" ht="20.100000000000001" customHeight="1" x14ac:dyDescent="0.2"/>
    <row r="431" ht="20.100000000000001" customHeight="1" x14ac:dyDescent="0.2"/>
    <row r="432" ht="20.100000000000001" customHeight="1" x14ac:dyDescent="0.2"/>
    <row r="433" ht="15.95" customHeight="1" x14ac:dyDescent="0.2"/>
    <row r="434" ht="20.100000000000001" customHeight="1" x14ac:dyDescent="0.2"/>
    <row r="435" ht="15.95" customHeight="1" x14ac:dyDescent="0.2"/>
    <row r="436" ht="33.950000000000003" customHeight="1" x14ac:dyDescent="0.2"/>
    <row r="437" ht="20.100000000000001" customHeight="1" x14ac:dyDescent="0.2"/>
    <row r="438" ht="20.100000000000001" customHeight="1" x14ac:dyDescent="0.2"/>
    <row r="439" ht="20.100000000000001" customHeight="1" x14ac:dyDescent="0.2"/>
    <row r="440" ht="20.100000000000001" customHeight="1" x14ac:dyDescent="0.2"/>
    <row r="441" ht="20.100000000000001" customHeight="1" x14ac:dyDescent="0.2"/>
    <row r="442" ht="20.100000000000001" customHeight="1" x14ac:dyDescent="0.2"/>
    <row r="443" ht="20.100000000000001" customHeight="1" x14ac:dyDescent="0.2"/>
    <row r="444" ht="20.100000000000001" customHeight="1" x14ac:dyDescent="0.2"/>
    <row r="445" ht="20.100000000000001" customHeight="1" x14ac:dyDescent="0.2"/>
    <row r="446" ht="20.100000000000001" customHeight="1" x14ac:dyDescent="0.2"/>
    <row r="447" ht="20.100000000000001" customHeight="1" x14ac:dyDescent="0.2"/>
    <row r="448" ht="20.100000000000001" customHeight="1" x14ac:dyDescent="0.2"/>
    <row r="449" ht="20.100000000000001" customHeight="1" x14ac:dyDescent="0.2"/>
    <row r="450" ht="20.100000000000001" customHeight="1" x14ac:dyDescent="0.2"/>
    <row r="451" ht="20.100000000000001" customHeight="1" x14ac:dyDescent="0.2"/>
    <row r="452" ht="20.100000000000001" customHeight="1" x14ac:dyDescent="0.2"/>
    <row r="453" ht="20.100000000000001" customHeight="1" x14ac:dyDescent="0.2"/>
    <row r="454" ht="20.100000000000001" customHeight="1" x14ac:dyDescent="0.2"/>
    <row r="455" ht="20.100000000000001" customHeight="1" x14ac:dyDescent="0.2"/>
    <row r="456" ht="20.100000000000001" customHeight="1" x14ac:dyDescent="0.2"/>
    <row r="457" ht="20.100000000000001" customHeight="1" x14ac:dyDescent="0.2"/>
    <row r="458" ht="20.100000000000001" customHeight="1" x14ac:dyDescent="0.2"/>
    <row r="459" ht="20.100000000000001" customHeight="1" x14ac:dyDescent="0.2"/>
    <row r="460" ht="20.100000000000001" customHeight="1" x14ac:dyDescent="0.2"/>
    <row r="461" ht="20.100000000000001" customHeight="1" x14ac:dyDescent="0.2"/>
    <row r="462" ht="20.100000000000001" customHeight="1" x14ac:dyDescent="0.2"/>
    <row r="463" ht="20.100000000000001" customHeight="1" x14ac:dyDescent="0.2"/>
    <row r="464" ht="20.100000000000001" customHeight="1" x14ac:dyDescent="0.2"/>
    <row r="465" ht="20.100000000000001" customHeight="1" x14ac:dyDescent="0.2"/>
    <row r="466" ht="20.100000000000001" customHeight="1" x14ac:dyDescent="0.2"/>
    <row r="467" ht="20.100000000000001" customHeight="1" x14ac:dyDescent="0.2"/>
    <row r="468" ht="20.100000000000001" customHeight="1" x14ac:dyDescent="0.2"/>
    <row r="469" ht="20.100000000000001" customHeight="1" x14ac:dyDescent="0.2"/>
    <row r="470" ht="20.100000000000001" customHeight="1" x14ac:dyDescent="0.2"/>
    <row r="471" ht="20.100000000000001" customHeight="1" x14ac:dyDescent="0.2"/>
    <row r="472" ht="20.100000000000001" customHeight="1" x14ac:dyDescent="0.2"/>
    <row r="473" ht="20.100000000000001" customHeight="1" x14ac:dyDescent="0.2"/>
    <row r="474" ht="20.100000000000001" customHeight="1" x14ac:dyDescent="0.2"/>
    <row r="475" ht="20.100000000000001" customHeight="1" x14ac:dyDescent="0.2"/>
    <row r="476" ht="20.100000000000001" customHeight="1" x14ac:dyDescent="0.2"/>
    <row r="477" ht="20.100000000000001" customHeight="1" x14ac:dyDescent="0.2"/>
    <row r="478" ht="20.100000000000001" customHeight="1" x14ac:dyDescent="0.2"/>
    <row r="479" ht="20.100000000000001" customHeight="1" x14ac:dyDescent="0.2"/>
    <row r="480" ht="20.100000000000001" customHeight="1" x14ac:dyDescent="0.2"/>
    <row r="481" ht="20.100000000000001" customHeight="1" x14ac:dyDescent="0.2"/>
    <row r="482" ht="20.100000000000001" customHeight="1" x14ac:dyDescent="0.2"/>
    <row r="483" ht="20.100000000000001" customHeight="1" x14ac:dyDescent="0.2"/>
    <row r="484" ht="20.100000000000001" customHeight="1" x14ac:dyDescent="0.2"/>
    <row r="485" ht="20.100000000000001" customHeight="1" x14ac:dyDescent="0.2"/>
    <row r="486" ht="20.100000000000001" customHeight="1" x14ac:dyDescent="0.2"/>
    <row r="487" ht="20.100000000000001" customHeight="1" x14ac:dyDescent="0.2"/>
    <row r="488" ht="20.100000000000001" customHeight="1" x14ac:dyDescent="0.2"/>
    <row r="489" ht="20.100000000000001" customHeight="1" x14ac:dyDescent="0.2"/>
    <row r="490" ht="20.100000000000001" customHeight="1" x14ac:dyDescent="0.2"/>
    <row r="491" ht="20.100000000000001" customHeight="1" x14ac:dyDescent="0.2"/>
    <row r="492" ht="15.95" customHeight="1" x14ac:dyDescent="0.2"/>
    <row r="493" ht="15.95" customHeight="1" x14ac:dyDescent="0.2"/>
    <row r="494" ht="15.95" customHeight="1" x14ac:dyDescent="0.2"/>
    <row r="495" ht="33.950000000000003" customHeight="1" x14ac:dyDescent="0.2"/>
    <row r="496" ht="20.100000000000001" customHeight="1" x14ac:dyDescent="0.2"/>
    <row r="497" spans="7:7" ht="20.100000000000001" customHeight="1" x14ac:dyDescent="0.2"/>
    <row r="498" spans="7:7" ht="20.100000000000001" customHeight="1" x14ac:dyDescent="0.2"/>
    <row r="499" spans="7:7" ht="20.100000000000001" customHeight="1" x14ac:dyDescent="0.2"/>
    <row r="500" spans="7:7" ht="20.100000000000001" customHeight="1" x14ac:dyDescent="0.2"/>
    <row r="501" spans="7:7" ht="20.100000000000001" customHeight="1" x14ac:dyDescent="0.2"/>
    <row r="502" spans="7:7" ht="20.100000000000001" customHeight="1" x14ac:dyDescent="0.2"/>
    <row r="503" spans="7:7" ht="20.100000000000001" customHeight="1" x14ac:dyDescent="0.2"/>
    <row r="504" spans="7:7" ht="20.100000000000001" customHeight="1" x14ac:dyDescent="0.2">
      <c r="G504" s="27"/>
    </row>
    <row r="505" spans="7:7" ht="20.100000000000001" customHeight="1" x14ac:dyDescent="0.2"/>
    <row r="506" spans="7:7" ht="20.100000000000001" customHeight="1" x14ac:dyDescent="0.2"/>
    <row r="507" spans="7:7" ht="20.100000000000001" customHeight="1" x14ac:dyDescent="0.2"/>
    <row r="508" spans="7:7" ht="20.100000000000001" customHeight="1" x14ac:dyDescent="0.2"/>
    <row r="509" spans="7:7" ht="20.100000000000001" customHeight="1" x14ac:dyDescent="0.2"/>
    <row r="510" spans="7:7" ht="20.100000000000001" customHeight="1" x14ac:dyDescent="0.2"/>
    <row r="511" spans="7:7" ht="20.100000000000001" customHeight="1" x14ac:dyDescent="0.2"/>
    <row r="512" spans="7:7" ht="20.100000000000001" customHeight="1" x14ac:dyDescent="0.2"/>
    <row r="513" ht="20.100000000000001" customHeight="1" x14ac:dyDescent="0.2"/>
    <row r="514" ht="20.100000000000001" customHeight="1" x14ac:dyDescent="0.2"/>
    <row r="515" ht="20.100000000000001" customHeight="1" x14ac:dyDescent="0.2"/>
    <row r="516" ht="20.100000000000001" customHeight="1" x14ac:dyDescent="0.2"/>
    <row r="517" ht="20.100000000000001" customHeight="1" x14ac:dyDescent="0.2"/>
    <row r="518" ht="20.100000000000001" customHeight="1" x14ac:dyDescent="0.2"/>
    <row r="519" ht="20.100000000000001" customHeight="1" x14ac:dyDescent="0.2"/>
    <row r="520" ht="20.100000000000001" customHeight="1" x14ac:dyDescent="0.2"/>
    <row r="521" ht="20.100000000000001" customHeight="1" x14ac:dyDescent="0.2"/>
    <row r="522" ht="20.100000000000001" customHeight="1" x14ac:dyDescent="0.2"/>
    <row r="523" ht="20.100000000000001" customHeight="1" x14ac:dyDescent="0.2"/>
    <row r="524" ht="20.100000000000001" customHeight="1" x14ac:dyDescent="0.2"/>
    <row r="525" ht="20.100000000000001" customHeight="1" x14ac:dyDescent="0.2"/>
    <row r="526" ht="20.100000000000001" customHeight="1" x14ac:dyDescent="0.2"/>
    <row r="527" ht="20.100000000000001" customHeight="1" x14ac:dyDescent="0.2"/>
    <row r="528" ht="20.100000000000001" customHeight="1" x14ac:dyDescent="0.2"/>
    <row r="529" ht="20.100000000000001" customHeight="1" x14ac:dyDescent="0.2"/>
    <row r="530" ht="20.100000000000001" customHeight="1" x14ac:dyDescent="0.2"/>
    <row r="531" ht="20.100000000000001" customHeight="1" x14ac:dyDescent="0.2"/>
    <row r="532" ht="20.100000000000001" customHeight="1" x14ac:dyDescent="0.2"/>
    <row r="533" ht="20.100000000000001" customHeight="1" x14ac:dyDescent="0.2"/>
    <row r="534" ht="20.100000000000001" customHeight="1" x14ac:dyDescent="0.2"/>
    <row r="535" ht="20.100000000000001" customHeight="1" x14ac:dyDescent="0.2"/>
    <row r="536" ht="20.100000000000001" customHeight="1" x14ac:dyDescent="0.2"/>
    <row r="537" ht="20.100000000000001" customHeight="1" x14ac:dyDescent="0.2"/>
    <row r="538" ht="20.100000000000001" customHeight="1" x14ac:dyDescent="0.2"/>
    <row r="539" ht="20.100000000000001" customHeight="1" x14ac:dyDescent="0.2"/>
    <row r="540" ht="20.100000000000001" customHeight="1" x14ac:dyDescent="0.2"/>
    <row r="541" ht="20.100000000000001" customHeight="1" x14ac:dyDescent="0.2"/>
    <row r="542" ht="20.100000000000001" customHeight="1" x14ac:dyDescent="0.2"/>
    <row r="543" ht="20.100000000000001" customHeight="1" x14ac:dyDescent="0.2"/>
    <row r="544" ht="20.100000000000001" customHeight="1" x14ac:dyDescent="0.2"/>
    <row r="545" ht="20.100000000000001" customHeight="1" x14ac:dyDescent="0.2"/>
    <row r="546" ht="20.100000000000001" customHeight="1" x14ac:dyDescent="0.2"/>
    <row r="547" ht="20.100000000000001" customHeight="1" x14ac:dyDescent="0.2"/>
    <row r="548" ht="20.100000000000001" customHeight="1" x14ac:dyDescent="0.2"/>
    <row r="549" ht="20.100000000000001" customHeight="1" x14ac:dyDescent="0.2"/>
    <row r="550" ht="20.100000000000001" customHeight="1" x14ac:dyDescent="0.2"/>
    <row r="551" ht="15.95" customHeight="1" x14ac:dyDescent="0.2"/>
    <row r="552" ht="20.100000000000001" customHeight="1" x14ac:dyDescent="0.2"/>
    <row r="553" ht="15.95" customHeight="1" x14ac:dyDescent="0.2"/>
    <row r="554" ht="33.950000000000003" customHeight="1" x14ac:dyDescent="0.2"/>
    <row r="555" ht="20.100000000000001" customHeight="1" x14ac:dyDescent="0.2"/>
    <row r="556" ht="33.950000000000003" customHeight="1" x14ac:dyDescent="0.2"/>
    <row r="557" ht="20.100000000000001" customHeight="1" x14ac:dyDescent="0.2"/>
    <row r="558" ht="20.100000000000001" customHeight="1" x14ac:dyDescent="0.2"/>
    <row r="559" ht="20.100000000000001" customHeight="1" x14ac:dyDescent="0.2"/>
    <row r="560" ht="20.100000000000001" customHeight="1" x14ac:dyDescent="0.2"/>
    <row r="561" spans="7:7" ht="20.100000000000001" customHeight="1" x14ac:dyDescent="0.2"/>
    <row r="562" spans="7:7" ht="20.100000000000001" customHeight="1" x14ac:dyDescent="0.2"/>
    <row r="563" spans="7:7" ht="20.100000000000001" customHeight="1" x14ac:dyDescent="0.2"/>
    <row r="564" spans="7:7" ht="15.95" customHeight="1" x14ac:dyDescent="0.2"/>
    <row r="565" spans="7:7" ht="33.950000000000003" customHeight="1" x14ac:dyDescent="0.2"/>
    <row r="566" spans="7:7" ht="15.95" customHeight="1" x14ac:dyDescent="0.2"/>
    <row r="567" spans="7:7" ht="33.950000000000003" customHeight="1" x14ac:dyDescent="0.2"/>
    <row r="568" spans="7:7" ht="20.100000000000001" customHeight="1" x14ac:dyDescent="0.2">
      <c r="G568" s="27"/>
    </row>
    <row r="569" spans="7:7" ht="33.950000000000003" customHeight="1" x14ac:dyDescent="0.2"/>
    <row r="570" spans="7:7" ht="20.100000000000001" customHeight="1" x14ac:dyDescent="0.2"/>
    <row r="571" spans="7:7" ht="20.100000000000001" customHeight="1" x14ac:dyDescent="0.2"/>
    <row r="572" spans="7:7" ht="20.100000000000001" customHeight="1" x14ac:dyDescent="0.2"/>
    <row r="573" spans="7:7" ht="20.100000000000001" customHeight="1" x14ac:dyDescent="0.2">
      <c r="G573" s="27"/>
    </row>
    <row r="574" spans="7:7" ht="20.100000000000001" customHeight="1" x14ac:dyDescent="0.2"/>
    <row r="575" spans="7:7" ht="20.100000000000001" customHeight="1" x14ac:dyDescent="0.2"/>
    <row r="576" spans="7:7" ht="20.100000000000001" customHeight="1" x14ac:dyDescent="0.2"/>
    <row r="577" spans="7:7" ht="20.100000000000001" customHeight="1" x14ac:dyDescent="0.2"/>
    <row r="578" spans="7:7" ht="20.100000000000001" customHeight="1" x14ac:dyDescent="0.2"/>
    <row r="579" spans="7:7" ht="20.100000000000001" customHeight="1" x14ac:dyDescent="0.2"/>
    <row r="580" spans="7:7" ht="20.100000000000001" customHeight="1" x14ac:dyDescent="0.2"/>
    <row r="581" spans="7:7" ht="20.100000000000001" customHeight="1" x14ac:dyDescent="0.2">
      <c r="G581" s="27"/>
    </row>
    <row r="582" spans="7:7" ht="20.100000000000001" customHeight="1" x14ac:dyDescent="0.2"/>
    <row r="583" spans="7:7" ht="20.100000000000001" customHeight="1" x14ac:dyDescent="0.2">
      <c r="G583" s="27"/>
    </row>
    <row r="584" spans="7:7" ht="20.100000000000001" customHeight="1" x14ac:dyDescent="0.2"/>
    <row r="585" spans="7:7" ht="20.100000000000001" customHeight="1" x14ac:dyDescent="0.2"/>
    <row r="586" spans="7:7" ht="20.100000000000001" customHeight="1" x14ac:dyDescent="0.2"/>
    <row r="587" spans="7:7" ht="20.100000000000001" customHeight="1" x14ac:dyDescent="0.2"/>
    <row r="588" spans="7:7" ht="20.100000000000001" customHeight="1" x14ac:dyDescent="0.2"/>
    <row r="589" spans="7:7" ht="20.100000000000001" customHeight="1" x14ac:dyDescent="0.2"/>
    <row r="590" spans="7:7" ht="20.100000000000001" customHeight="1" x14ac:dyDescent="0.2">
      <c r="G590" s="27"/>
    </row>
    <row r="591" spans="7:7" ht="20.100000000000001" customHeight="1" x14ac:dyDescent="0.2"/>
    <row r="592" spans="7:7" ht="20.100000000000001" customHeight="1" x14ac:dyDescent="0.2"/>
    <row r="593" spans="7:7" ht="20.100000000000001" customHeight="1" x14ac:dyDescent="0.2"/>
    <row r="594" spans="7:7" ht="20.100000000000001" customHeight="1" x14ac:dyDescent="0.2"/>
    <row r="595" spans="7:7" ht="20.100000000000001" customHeight="1" x14ac:dyDescent="0.2"/>
    <row r="596" spans="7:7" ht="20.100000000000001" customHeight="1" x14ac:dyDescent="0.2">
      <c r="G596" s="27"/>
    </row>
    <row r="597" spans="7:7" ht="20.100000000000001" customHeight="1" x14ac:dyDescent="0.2"/>
    <row r="598" spans="7:7" ht="20.100000000000001" customHeight="1" x14ac:dyDescent="0.2"/>
    <row r="599" spans="7:7" ht="20.100000000000001" customHeight="1" x14ac:dyDescent="0.2"/>
    <row r="600" spans="7:7" ht="20.100000000000001" customHeight="1" x14ac:dyDescent="0.2"/>
    <row r="601" spans="7:7" ht="20.100000000000001" customHeight="1" x14ac:dyDescent="0.2"/>
    <row r="602" spans="7:7" ht="20.100000000000001" customHeight="1" x14ac:dyDescent="0.2">
      <c r="G602" s="27"/>
    </row>
    <row r="603" spans="7:7" ht="20.100000000000001" customHeight="1" x14ac:dyDescent="0.2"/>
    <row r="604" spans="7:7" ht="20.100000000000001" customHeight="1" x14ac:dyDescent="0.2"/>
    <row r="605" spans="7:7" ht="20.100000000000001" customHeight="1" x14ac:dyDescent="0.2"/>
    <row r="606" spans="7:7" ht="20.100000000000001" customHeight="1" x14ac:dyDescent="0.2"/>
    <row r="607" spans="7:7" ht="20.100000000000001" customHeight="1" x14ac:dyDescent="0.2"/>
    <row r="608" spans="7:7" ht="20.100000000000001" customHeight="1" x14ac:dyDescent="0.2"/>
    <row r="609" spans="7:7" ht="20.100000000000001" customHeight="1" x14ac:dyDescent="0.2"/>
    <row r="610" spans="7:7" ht="20.100000000000001" customHeight="1" x14ac:dyDescent="0.2"/>
    <row r="611" spans="7:7" ht="20.100000000000001" customHeight="1" x14ac:dyDescent="0.2"/>
    <row r="612" spans="7:7" ht="20.100000000000001" customHeight="1" x14ac:dyDescent="0.2">
      <c r="G612" s="27"/>
    </row>
    <row r="613" spans="7:7" ht="20.100000000000001" customHeight="1" x14ac:dyDescent="0.2"/>
    <row r="614" spans="7:7" ht="20.100000000000001" customHeight="1" x14ac:dyDescent="0.2"/>
    <row r="615" spans="7:7" ht="20.100000000000001" customHeight="1" x14ac:dyDescent="0.2">
      <c r="G615" s="27"/>
    </row>
    <row r="616" spans="7:7" ht="20.100000000000001" customHeight="1" x14ac:dyDescent="0.2"/>
    <row r="617" spans="7:7" ht="20.100000000000001" customHeight="1" x14ac:dyDescent="0.2"/>
    <row r="618" spans="7:7" ht="20.100000000000001" customHeight="1" x14ac:dyDescent="0.2"/>
    <row r="619" spans="7:7" ht="20.100000000000001" customHeight="1" x14ac:dyDescent="0.2">
      <c r="G619" s="27"/>
    </row>
    <row r="620" spans="7:7" ht="20.100000000000001" customHeight="1" x14ac:dyDescent="0.2"/>
    <row r="621" spans="7:7" ht="20.100000000000001" customHeight="1" x14ac:dyDescent="0.2"/>
    <row r="622" spans="7:7" ht="20.100000000000001" customHeight="1" x14ac:dyDescent="0.2">
      <c r="G622" s="27"/>
    </row>
    <row r="623" spans="7:7" ht="20.100000000000001" customHeight="1" x14ac:dyDescent="0.2"/>
    <row r="624" spans="7:7" ht="20.100000000000001" customHeight="1" x14ac:dyDescent="0.2">
      <c r="G624" s="27"/>
    </row>
    <row r="625" spans="7:7" ht="20.100000000000001" customHeight="1" x14ac:dyDescent="0.2"/>
    <row r="626" spans="7:7" ht="20.100000000000001" customHeight="1" x14ac:dyDescent="0.2"/>
    <row r="627" spans="7:7" ht="20.100000000000001" customHeight="1" x14ac:dyDescent="0.2"/>
    <row r="628" spans="7:7" ht="15.95" customHeight="1" x14ac:dyDescent="0.2"/>
    <row r="629" spans="7:7" ht="20.100000000000001" customHeight="1" x14ac:dyDescent="0.2"/>
    <row r="630" spans="7:7" ht="15.95" customHeight="1" x14ac:dyDescent="0.2"/>
    <row r="631" spans="7:7" ht="33.950000000000003" customHeight="1" x14ac:dyDescent="0.2"/>
    <row r="632" spans="7:7" ht="20.100000000000001" customHeight="1" x14ac:dyDescent="0.2"/>
    <row r="633" spans="7:7" ht="15.95" customHeight="1" x14ac:dyDescent="0.2"/>
    <row r="634" spans="7:7" ht="33.950000000000003" customHeight="1" x14ac:dyDescent="0.2"/>
    <row r="635" spans="7:7" ht="20.100000000000001" customHeight="1" x14ac:dyDescent="0.2"/>
    <row r="636" spans="7:7" ht="20.100000000000001" customHeight="1" x14ac:dyDescent="0.2"/>
    <row r="637" spans="7:7" ht="20.100000000000001" customHeight="1" x14ac:dyDescent="0.2"/>
    <row r="638" spans="7:7" ht="20.100000000000001" customHeight="1" x14ac:dyDescent="0.2"/>
    <row r="639" spans="7:7" ht="20.100000000000001" customHeight="1" x14ac:dyDescent="0.2"/>
    <row r="640" spans="7:7" ht="20.100000000000001" customHeight="1" x14ac:dyDescent="0.2">
      <c r="G640" s="27"/>
    </row>
    <row r="641" ht="20.100000000000001" customHeight="1" x14ac:dyDescent="0.2"/>
    <row r="642" ht="20.100000000000001" customHeight="1" x14ac:dyDescent="0.2"/>
    <row r="643" ht="20.100000000000001" customHeight="1" x14ac:dyDescent="0.2"/>
    <row r="644" ht="20.100000000000001" customHeight="1" x14ac:dyDescent="0.2"/>
    <row r="645" ht="20.100000000000001" customHeight="1" x14ac:dyDescent="0.2"/>
    <row r="646" ht="15.95" customHeight="1" x14ac:dyDescent="0.2"/>
    <row r="647" ht="33.950000000000003" customHeight="1" x14ac:dyDescent="0.2"/>
    <row r="648" ht="15.95" customHeight="1" x14ac:dyDescent="0.2"/>
    <row r="649" ht="33.950000000000003" customHeight="1" x14ac:dyDescent="0.2"/>
    <row r="650" ht="15.95" customHeight="1" x14ac:dyDescent="0.2"/>
    <row r="651" ht="33.950000000000003" customHeight="1" x14ac:dyDescent="0.2"/>
    <row r="652" ht="20.100000000000001" customHeight="1" x14ac:dyDescent="0.2"/>
    <row r="653" ht="20.100000000000001" customHeight="1" x14ac:dyDescent="0.2"/>
    <row r="654" ht="20.100000000000001" customHeight="1" x14ac:dyDescent="0.2"/>
    <row r="655" ht="20.100000000000001" customHeight="1" x14ac:dyDescent="0.2"/>
    <row r="656" ht="20.100000000000001" customHeight="1" x14ac:dyDescent="0.2"/>
    <row r="657" ht="20.100000000000001" customHeight="1" x14ac:dyDescent="0.2"/>
    <row r="658" ht="20.100000000000001" customHeight="1" x14ac:dyDescent="0.2"/>
    <row r="659" ht="20.100000000000001" customHeight="1" x14ac:dyDescent="0.2"/>
    <row r="660" ht="20.100000000000001" customHeight="1" x14ac:dyDescent="0.2"/>
    <row r="661" ht="20.100000000000001" customHeight="1" x14ac:dyDescent="0.2"/>
    <row r="662" ht="20.100000000000001" customHeight="1" x14ac:dyDescent="0.2"/>
    <row r="663" ht="15.95" customHeight="1" x14ac:dyDescent="0.2"/>
    <row r="664" ht="20.100000000000001" customHeight="1" x14ac:dyDescent="0.2"/>
    <row r="665" ht="15.95" customHeight="1" x14ac:dyDescent="0.2"/>
    <row r="666" ht="33.950000000000003" customHeight="1" x14ac:dyDescent="0.2"/>
    <row r="667" ht="20.100000000000001" customHeight="1" x14ac:dyDescent="0.2"/>
    <row r="668" ht="20.100000000000001" customHeight="1" x14ac:dyDescent="0.2"/>
    <row r="669" ht="20.100000000000001" customHeight="1" x14ac:dyDescent="0.2"/>
    <row r="670" ht="20.100000000000001" customHeight="1" x14ac:dyDescent="0.2"/>
    <row r="671" ht="20.100000000000001" customHeight="1" x14ac:dyDescent="0.2"/>
    <row r="672" ht="15.95" customHeight="1" x14ac:dyDescent="0.2"/>
    <row r="673" ht="33.950000000000003" customHeight="1" x14ac:dyDescent="0.2"/>
    <row r="674" ht="20.100000000000001" customHeight="1" x14ac:dyDescent="0.2"/>
    <row r="675" ht="20.100000000000001" customHeight="1" x14ac:dyDescent="0.2"/>
    <row r="676" ht="20.100000000000001" customHeight="1" x14ac:dyDescent="0.2"/>
    <row r="677" ht="20.100000000000001" customHeight="1" x14ac:dyDescent="0.2"/>
    <row r="678" ht="15.95" customHeight="1" x14ac:dyDescent="0.2"/>
    <row r="679" ht="33.950000000000003" customHeight="1" x14ac:dyDescent="0.2"/>
    <row r="680" ht="20.100000000000001" customHeight="1" x14ac:dyDescent="0.2"/>
    <row r="681" ht="20.100000000000001" customHeight="1" x14ac:dyDescent="0.2"/>
    <row r="682" ht="20.100000000000001" customHeight="1" x14ac:dyDescent="0.2"/>
    <row r="683" ht="20.100000000000001" customHeight="1" x14ac:dyDescent="0.2"/>
    <row r="684" ht="15.95" customHeight="1" x14ac:dyDescent="0.2"/>
    <row r="685" ht="33.950000000000003" customHeight="1" x14ac:dyDescent="0.2"/>
    <row r="686" ht="20.100000000000001" customHeight="1" x14ac:dyDescent="0.2"/>
    <row r="687" ht="20.100000000000001" customHeight="1" x14ac:dyDescent="0.2"/>
    <row r="688" ht="20.100000000000001" customHeight="1" x14ac:dyDescent="0.2"/>
    <row r="689" spans="7:7" ht="20.100000000000001" customHeight="1" x14ac:dyDescent="0.2"/>
    <row r="690" spans="7:7" ht="20.100000000000001" customHeight="1" x14ac:dyDescent="0.2"/>
    <row r="691" spans="7:7" ht="20.100000000000001" customHeight="1" x14ac:dyDescent="0.2"/>
    <row r="692" spans="7:7" ht="20.100000000000001" customHeight="1" x14ac:dyDescent="0.2"/>
    <row r="693" spans="7:7" ht="20.100000000000001" customHeight="1" x14ac:dyDescent="0.2"/>
    <row r="694" spans="7:7" ht="20.100000000000001" customHeight="1" x14ac:dyDescent="0.2">
      <c r="G694" s="27"/>
    </row>
    <row r="695" spans="7:7" ht="20.100000000000001" customHeight="1" x14ac:dyDescent="0.2"/>
    <row r="696" spans="7:7" ht="20.100000000000001" customHeight="1" x14ac:dyDescent="0.2"/>
    <row r="697" spans="7:7" ht="20.100000000000001" customHeight="1" x14ac:dyDescent="0.2"/>
    <row r="698" spans="7:7" ht="20.100000000000001" customHeight="1" x14ac:dyDescent="0.2"/>
    <row r="699" spans="7:7" ht="20.100000000000001" customHeight="1" x14ac:dyDescent="0.2"/>
    <row r="700" spans="7:7" ht="20.100000000000001" customHeight="1" x14ac:dyDescent="0.2"/>
    <row r="701" spans="7:7" ht="15.95" customHeight="1" x14ac:dyDescent="0.2"/>
    <row r="702" spans="7:7" ht="33.950000000000003" customHeight="1" x14ac:dyDescent="0.2"/>
    <row r="703" spans="7:7" ht="20.100000000000001" customHeight="1" x14ac:dyDescent="0.2"/>
    <row r="704" spans="7:7" ht="15.95" customHeight="1" x14ac:dyDescent="0.2"/>
    <row r="705" spans="7:7" ht="20.100000000000001" customHeight="1" x14ac:dyDescent="0.2"/>
    <row r="706" spans="7:7" ht="15.95" customHeight="1" x14ac:dyDescent="0.2"/>
    <row r="707" spans="7:7" ht="33.950000000000003" customHeight="1" x14ac:dyDescent="0.2"/>
    <row r="708" spans="7:7" ht="20.100000000000001" customHeight="1" x14ac:dyDescent="0.2"/>
    <row r="709" spans="7:7" ht="20.100000000000001" customHeight="1" x14ac:dyDescent="0.2"/>
    <row r="710" spans="7:7" ht="20.100000000000001" customHeight="1" x14ac:dyDescent="0.2"/>
    <row r="711" spans="7:7" ht="20.100000000000001" customHeight="1" x14ac:dyDescent="0.2">
      <c r="G711" s="27"/>
    </row>
    <row r="712" spans="7:7" ht="20.100000000000001" customHeight="1" x14ac:dyDescent="0.2"/>
    <row r="713" spans="7:7" ht="20.100000000000001" customHeight="1" x14ac:dyDescent="0.2"/>
    <row r="714" spans="7:7" ht="20.100000000000001" customHeight="1" x14ac:dyDescent="0.2"/>
    <row r="715" spans="7:7" ht="20.100000000000001" customHeight="1" x14ac:dyDescent="0.2"/>
    <row r="716" spans="7:7" ht="20.100000000000001" customHeight="1" x14ac:dyDescent="0.2"/>
    <row r="717" spans="7:7" ht="20.100000000000001" customHeight="1" x14ac:dyDescent="0.2"/>
    <row r="718" spans="7:7" ht="15.95" customHeight="1" x14ac:dyDescent="0.2"/>
    <row r="719" spans="7:7" ht="20.100000000000001" customHeight="1" x14ac:dyDescent="0.2">
      <c r="G719" s="27"/>
    </row>
    <row r="720" spans="7:7" ht="15.95" customHeight="1" x14ac:dyDescent="0.2"/>
    <row r="721" spans="7:7" ht="33.950000000000003" customHeight="1" x14ac:dyDescent="0.2"/>
    <row r="722" spans="7:7" ht="15.95" customHeight="1" x14ac:dyDescent="0.2"/>
    <row r="723" spans="7:7" ht="36" customHeight="1" x14ac:dyDescent="0.2"/>
    <row r="724" spans="7:7" ht="20.100000000000001" customHeight="1" x14ac:dyDescent="0.2"/>
    <row r="725" spans="7:7" ht="20.100000000000001" customHeight="1" x14ac:dyDescent="0.2">
      <c r="G725" s="27"/>
    </row>
    <row r="726" spans="7:7" ht="20.100000000000001" customHeight="1" x14ac:dyDescent="0.2"/>
    <row r="727" spans="7:7" ht="20.100000000000001" customHeight="1" x14ac:dyDescent="0.2"/>
    <row r="728" spans="7:7" ht="20.100000000000001" customHeight="1" x14ac:dyDescent="0.2"/>
    <row r="729" spans="7:7" ht="20.100000000000001" customHeight="1" x14ac:dyDescent="0.2">
      <c r="G729" s="27"/>
    </row>
    <row r="730" spans="7:7" ht="20.100000000000001" customHeight="1" x14ac:dyDescent="0.2"/>
    <row r="731" spans="7:7" ht="20.100000000000001" customHeight="1" x14ac:dyDescent="0.2"/>
    <row r="732" spans="7:7" ht="20.100000000000001" customHeight="1" x14ac:dyDescent="0.2"/>
    <row r="733" spans="7:7" ht="20.100000000000001" customHeight="1" x14ac:dyDescent="0.2"/>
    <row r="734" spans="7:7" ht="20.100000000000001" customHeight="1" x14ac:dyDescent="0.2"/>
    <row r="735" spans="7:7" ht="20.100000000000001" customHeight="1" x14ac:dyDescent="0.2"/>
    <row r="736" spans="7:7" ht="20.100000000000001" customHeight="1" x14ac:dyDescent="0.2">
      <c r="G736" s="27"/>
    </row>
    <row r="737" spans="7:7" ht="20.100000000000001" customHeight="1" x14ac:dyDescent="0.2"/>
    <row r="738" spans="7:7" ht="20.100000000000001" customHeight="1" x14ac:dyDescent="0.2"/>
    <row r="739" spans="7:7" ht="20.100000000000001" customHeight="1" x14ac:dyDescent="0.2"/>
    <row r="740" spans="7:7" ht="20.100000000000001" customHeight="1" x14ac:dyDescent="0.2"/>
    <row r="741" spans="7:7" ht="20.100000000000001" customHeight="1" x14ac:dyDescent="0.2"/>
    <row r="742" spans="7:7" ht="20.100000000000001" customHeight="1" x14ac:dyDescent="0.2"/>
    <row r="743" spans="7:7" ht="20.100000000000001" customHeight="1" x14ac:dyDescent="0.2">
      <c r="G743" s="27"/>
    </row>
    <row r="744" spans="7:7" ht="20.100000000000001" customHeight="1" x14ac:dyDescent="0.2"/>
    <row r="745" spans="7:7" ht="20.100000000000001" customHeight="1" x14ac:dyDescent="0.2"/>
    <row r="746" spans="7:7" ht="20.100000000000001" customHeight="1" x14ac:dyDescent="0.2"/>
    <row r="747" spans="7:7" ht="20.100000000000001" customHeight="1" x14ac:dyDescent="0.2"/>
    <row r="748" spans="7:7" ht="20.100000000000001" customHeight="1" x14ac:dyDescent="0.2"/>
    <row r="749" spans="7:7" ht="20.100000000000001" customHeight="1" x14ac:dyDescent="0.2"/>
    <row r="750" spans="7:7" ht="20.100000000000001" customHeight="1" x14ac:dyDescent="0.2"/>
    <row r="751" spans="7:7" ht="20.100000000000001" customHeight="1" x14ac:dyDescent="0.2"/>
    <row r="752" spans="7:7" ht="20.100000000000001" customHeight="1" x14ac:dyDescent="0.2">
      <c r="G752" s="27"/>
    </row>
    <row r="753" spans="7:7" ht="20.100000000000001" customHeight="1" x14ac:dyDescent="0.2"/>
    <row r="754" spans="7:7" ht="20.100000000000001" customHeight="1" x14ac:dyDescent="0.2"/>
    <row r="755" spans="7:7" ht="20.100000000000001" customHeight="1" x14ac:dyDescent="0.2"/>
    <row r="756" spans="7:7" ht="20.100000000000001" customHeight="1" x14ac:dyDescent="0.2"/>
    <row r="757" spans="7:7" ht="20.100000000000001" customHeight="1" x14ac:dyDescent="0.2">
      <c r="G757" s="27"/>
    </row>
    <row r="758" spans="7:7" ht="20.100000000000001" customHeight="1" x14ac:dyDescent="0.2"/>
    <row r="759" spans="7:7" ht="20.100000000000001" customHeight="1" x14ac:dyDescent="0.2"/>
    <row r="760" spans="7:7" ht="20.100000000000001" customHeight="1" x14ac:dyDescent="0.2"/>
    <row r="761" spans="7:7" ht="20.100000000000001" customHeight="1" x14ac:dyDescent="0.2"/>
    <row r="762" spans="7:7" ht="20.100000000000001" customHeight="1" x14ac:dyDescent="0.2"/>
    <row r="763" spans="7:7" ht="20.100000000000001" customHeight="1" x14ac:dyDescent="0.2"/>
    <row r="764" spans="7:7" ht="20.100000000000001" customHeight="1" x14ac:dyDescent="0.2"/>
    <row r="765" spans="7:7" ht="20.100000000000001" customHeight="1" x14ac:dyDescent="0.2"/>
    <row r="766" spans="7:7" ht="20.100000000000001" customHeight="1" x14ac:dyDescent="0.2"/>
    <row r="767" spans="7:7" ht="20.100000000000001" customHeight="1" x14ac:dyDescent="0.2"/>
    <row r="768" spans="7:7" ht="20.100000000000001" customHeight="1" x14ac:dyDescent="0.2">
      <c r="G768" s="27"/>
    </row>
    <row r="769" spans="7:7" ht="20.100000000000001" customHeight="1" x14ac:dyDescent="0.2"/>
    <row r="770" spans="7:7" ht="20.100000000000001" customHeight="1" x14ac:dyDescent="0.2"/>
    <row r="771" spans="7:7" ht="20.100000000000001" customHeight="1" x14ac:dyDescent="0.2"/>
    <row r="772" spans="7:7" ht="20.100000000000001" customHeight="1" x14ac:dyDescent="0.2"/>
    <row r="773" spans="7:7" ht="15.95" customHeight="1" x14ac:dyDescent="0.2"/>
    <row r="774" spans="7:7" ht="33.950000000000003" customHeight="1" x14ac:dyDescent="0.2"/>
    <row r="775" spans="7:7" ht="15.95" customHeight="1" x14ac:dyDescent="0.2"/>
    <row r="776" spans="7:7" ht="33.950000000000003" customHeight="1" x14ac:dyDescent="0.2"/>
    <row r="777" spans="7:7" ht="20.100000000000001" customHeight="1" x14ac:dyDescent="0.2"/>
    <row r="778" spans="7:7" ht="20.100000000000001" customHeight="1" x14ac:dyDescent="0.2"/>
    <row r="779" spans="7:7" ht="20.100000000000001" customHeight="1" x14ac:dyDescent="0.2"/>
    <row r="780" spans="7:7" ht="20.100000000000001" customHeight="1" x14ac:dyDescent="0.2"/>
    <row r="781" spans="7:7" ht="20.100000000000001" customHeight="1" x14ac:dyDescent="0.2"/>
    <row r="782" spans="7:7" ht="20.100000000000001" customHeight="1" x14ac:dyDescent="0.2"/>
    <row r="783" spans="7:7" ht="20.100000000000001" customHeight="1" x14ac:dyDescent="0.2">
      <c r="G783" s="27"/>
    </row>
    <row r="784" spans="7:7" ht="20.100000000000001" customHeight="1" x14ac:dyDescent="0.2"/>
    <row r="785" spans="7:7" ht="20.100000000000001" customHeight="1" x14ac:dyDescent="0.2"/>
    <row r="786" spans="7:7" ht="20.100000000000001" customHeight="1" x14ac:dyDescent="0.2"/>
    <row r="787" spans="7:7" ht="20.100000000000001" customHeight="1" x14ac:dyDescent="0.2"/>
    <row r="788" spans="7:7" ht="20.100000000000001" customHeight="1" x14ac:dyDescent="0.2"/>
    <row r="789" spans="7:7" ht="20.100000000000001" customHeight="1" x14ac:dyDescent="0.2"/>
    <row r="790" spans="7:7" ht="20.100000000000001" customHeight="1" x14ac:dyDescent="0.2"/>
    <row r="791" spans="7:7" ht="15.95" customHeight="1" x14ac:dyDescent="0.2">
      <c r="G791" s="27"/>
    </row>
    <row r="792" spans="7:7" ht="20.100000000000001" customHeight="1" x14ac:dyDescent="0.2"/>
    <row r="793" spans="7:7" ht="15.95" customHeight="1" x14ac:dyDescent="0.2"/>
    <row r="794" spans="7:7" ht="33.950000000000003" customHeight="1" x14ac:dyDescent="0.2"/>
    <row r="795" spans="7:7" ht="20.100000000000001" customHeight="1" x14ac:dyDescent="0.2"/>
    <row r="796" spans="7:7" ht="20.100000000000001" customHeight="1" x14ac:dyDescent="0.2"/>
    <row r="797" spans="7:7" ht="20.100000000000001" customHeight="1" x14ac:dyDescent="0.2">
      <c r="G797" s="27"/>
    </row>
    <row r="798" spans="7:7" ht="20.100000000000001" customHeight="1" x14ac:dyDescent="0.2"/>
    <row r="799" spans="7:7" ht="15.95" customHeight="1" x14ac:dyDescent="0.2"/>
    <row r="800" spans="7:7" ht="20.100000000000001" customHeight="1" x14ac:dyDescent="0.2"/>
    <row r="801" ht="15.95" customHeight="1" x14ac:dyDescent="0.2"/>
    <row r="802" ht="33.950000000000003" customHeight="1" x14ac:dyDescent="0.2"/>
    <row r="803" ht="20.100000000000001" customHeight="1" x14ac:dyDescent="0.2"/>
    <row r="804" ht="20.100000000000001" customHeight="1" x14ac:dyDescent="0.2"/>
    <row r="805" ht="15.95" customHeight="1" x14ac:dyDescent="0.2"/>
    <row r="806" ht="20.100000000000001" customHeight="1" x14ac:dyDescent="0.2"/>
    <row r="807" ht="15.95" customHeight="1" x14ac:dyDescent="0.2"/>
    <row r="808" ht="33.950000000000003" customHeight="1" x14ac:dyDescent="0.2"/>
    <row r="809" ht="15.95" customHeight="1" x14ac:dyDescent="0.2"/>
    <row r="810" ht="20.100000000000001" customHeight="1" x14ac:dyDescent="0.2"/>
    <row r="811" ht="15.95" customHeight="1" x14ac:dyDescent="0.2"/>
    <row r="812" ht="33.950000000000003" customHeight="1" x14ac:dyDescent="0.2"/>
    <row r="813" ht="20.100000000000001" customHeight="1" x14ac:dyDescent="0.2"/>
    <row r="814" ht="20.100000000000001" customHeight="1" x14ac:dyDescent="0.2"/>
    <row r="815" ht="20.100000000000001" customHeight="1" x14ac:dyDescent="0.2"/>
    <row r="816" ht="20.100000000000001" customHeight="1" x14ac:dyDescent="0.2"/>
    <row r="817" ht="20.100000000000001" customHeight="1" x14ac:dyDescent="0.2"/>
    <row r="818" ht="15.95" customHeight="1" x14ac:dyDescent="0.2"/>
    <row r="819" ht="33.950000000000003" customHeight="1" x14ac:dyDescent="0.2"/>
    <row r="820" ht="20.100000000000001" customHeight="1" x14ac:dyDescent="0.2"/>
    <row r="821" ht="20.100000000000001" customHeight="1" x14ac:dyDescent="0.2"/>
    <row r="822" ht="20.100000000000001" customHeight="1" x14ac:dyDescent="0.2"/>
    <row r="823" ht="15.95" customHeight="1" x14ac:dyDescent="0.2"/>
    <row r="824" ht="20.100000000000001" customHeight="1" x14ac:dyDescent="0.2"/>
    <row r="825" ht="20.100000000000001" customHeight="1" x14ac:dyDescent="0.2"/>
    <row r="826" ht="20.100000000000001" customHeight="1" x14ac:dyDescent="0.2"/>
    <row r="827" ht="20.100000000000001" customHeight="1" x14ac:dyDescent="0.2"/>
    <row r="828" ht="20.100000000000001" customHeight="1" x14ac:dyDescent="0.2"/>
    <row r="829" ht="20.100000000000001" customHeight="1" x14ac:dyDescent="0.2"/>
    <row r="830" ht="20.100000000000001" customHeight="1" x14ac:dyDescent="0.2"/>
    <row r="831" ht="20.100000000000001" customHeight="1" x14ac:dyDescent="0.2"/>
    <row r="832" ht="15.95" customHeight="1" x14ac:dyDescent="0.2"/>
    <row r="833" spans="7:7" ht="20.100000000000001" customHeight="1" x14ac:dyDescent="0.2"/>
    <row r="834" spans="7:7" ht="15.95" customHeight="1" x14ac:dyDescent="0.2"/>
    <row r="835" spans="7:7" ht="33.950000000000003" customHeight="1" x14ac:dyDescent="0.2"/>
    <row r="836" spans="7:7" ht="20.100000000000001" customHeight="1" x14ac:dyDescent="0.2"/>
    <row r="837" spans="7:7" ht="15.95" customHeight="1" x14ac:dyDescent="0.2"/>
    <row r="838" spans="7:7" ht="20.100000000000001" customHeight="1" x14ac:dyDescent="0.2"/>
    <row r="839" spans="7:7" ht="15.95" customHeight="1" x14ac:dyDescent="0.2"/>
    <row r="840" spans="7:7" ht="33.950000000000003" customHeight="1" x14ac:dyDescent="0.2">
      <c r="G840" s="27"/>
    </row>
    <row r="841" spans="7:7" ht="20.100000000000001" customHeight="1" x14ac:dyDescent="0.2"/>
    <row r="842" spans="7:7" ht="20.100000000000001" customHeight="1" x14ac:dyDescent="0.2"/>
    <row r="843" spans="7:7" ht="20.100000000000001" customHeight="1" x14ac:dyDescent="0.2"/>
    <row r="844" spans="7:7" ht="20.100000000000001" customHeight="1" x14ac:dyDescent="0.2"/>
    <row r="845" spans="7:7" ht="20.100000000000001" customHeight="1" x14ac:dyDescent="0.2"/>
    <row r="846" spans="7:7" ht="20.100000000000001" customHeight="1" x14ac:dyDescent="0.2">
      <c r="G846" s="27"/>
    </row>
    <row r="847" spans="7:7" ht="20.100000000000001" customHeight="1" x14ac:dyDescent="0.2"/>
    <row r="848" spans="7:7" ht="15.95" customHeight="1" x14ac:dyDescent="0.2"/>
    <row r="849" ht="20.100000000000001" customHeight="1" x14ac:dyDescent="0.2"/>
    <row r="850" ht="15.95" customHeight="1" x14ac:dyDescent="0.2"/>
    <row r="851" ht="33.950000000000003" customHeight="1" x14ac:dyDescent="0.2"/>
    <row r="852" ht="20.100000000000001" customHeight="1" x14ac:dyDescent="0.2"/>
    <row r="853" ht="20.100000000000001" customHeight="1" x14ac:dyDescent="0.2"/>
    <row r="854" ht="20.100000000000001" customHeight="1" x14ac:dyDescent="0.2"/>
    <row r="855" ht="20.100000000000001" customHeight="1" x14ac:dyDescent="0.2"/>
    <row r="856" ht="20.100000000000001" customHeight="1" x14ac:dyDescent="0.2"/>
    <row r="857" ht="20.100000000000001" customHeight="1" x14ac:dyDescent="0.2"/>
    <row r="858" ht="20.100000000000001" customHeight="1" x14ac:dyDescent="0.2"/>
    <row r="859" ht="20.100000000000001" customHeight="1" x14ac:dyDescent="0.2"/>
    <row r="860" ht="20.100000000000001" customHeight="1" x14ac:dyDescent="0.2"/>
    <row r="861" ht="20.100000000000001" customHeight="1" x14ac:dyDescent="0.2"/>
    <row r="862" ht="20.100000000000001" customHeight="1" x14ac:dyDescent="0.2"/>
    <row r="863" ht="15.95" customHeight="1" x14ac:dyDescent="0.2"/>
    <row r="864" ht="20.100000000000001" customHeight="1" x14ac:dyDescent="0.2"/>
    <row r="865" ht="15.95" customHeight="1" x14ac:dyDescent="0.2"/>
    <row r="866" ht="33.950000000000003" customHeight="1" x14ac:dyDescent="0.2"/>
    <row r="867" ht="20.100000000000001" customHeight="1" x14ac:dyDescent="0.2"/>
    <row r="868" ht="20.100000000000001" customHeight="1" x14ac:dyDescent="0.2"/>
    <row r="869" ht="20.100000000000001" customHeight="1" x14ac:dyDescent="0.2"/>
    <row r="870" ht="20.100000000000001" customHeight="1" x14ac:dyDescent="0.2"/>
    <row r="871" ht="15.95" customHeight="1" x14ac:dyDescent="0.2"/>
    <row r="872" ht="20.100000000000001" customHeight="1" x14ac:dyDescent="0.2"/>
    <row r="873" ht="15.95" customHeight="1" x14ac:dyDescent="0.2"/>
    <row r="874" ht="33.950000000000003" customHeight="1" x14ac:dyDescent="0.2"/>
    <row r="875" ht="20.100000000000001" customHeight="1" x14ac:dyDescent="0.2"/>
    <row r="876" ht="20.100000000000001" customHeight="1" x14ac:dyDescent="0.2"/>
    <row r="877" ht="15.95" customHeight="1" x14ac:dyDescent="0.2"/>
    <row r="878" ht="20.100000000000001" customHeight="1" x14ac:dyDescent="0.2"/>
    <row r="879" ht="15.95" customHeight="1" x14ac:dyDescent="0.2"/>
    <row r="880" ht="33.950000000000003" customHeight="1" x14ac:dyDescent="0.2"/>
    <row r="881" ht="20.100000000000001" customHeight="1" x14ac:dyDescent="0.2"/>
    <row r="882" ht="20.100000000000001" customHeight="1" x14ac:dyDescent="0.2"/>
    <row r="883" ht="20.100000000000001" customHeight="1" x14ac:dyDescent="0.2"/>
    <row r="884" ht="20.100000000000001" customHeight="1" x14ac:dyDescent="0.2"/>
    <row r="885" ht="20.100000000000001" customHeight="1" x14ac:dyDescent="0.2"/>
    <row r="886" ht="20.100000000000001" customHeight="1" x14ac:dyDescent="0.2"/>
    <row r="887" ht="20.100000000000001" customHeight="1" x14ac:dyDescent="0.2"/>
    <row r="888" ht="20.100000000000001" customHeight="1" x14ac:dyDescent="0.2"/>
    <row r="889" ht="20.100000000000001" customHeight="1" x14ac:dyDescent="0.2"/>
    <row r="890" ht="20.100000000000001" customHeight="1" x14ac:dyDescent="0.2"/>
    <row r="891" ht="20.100000000000001" customHeight="1" x14ac:dyDescent="0.2"/>
    <row r="892" ht="20.100000000000001" customHeight="1" x14ac:dyDescent="0.2"/>
    <row r="893" ht="20.100000000000001" customHeight="1" x14ac:dyDescent="0.2"/>
    <row r="894" ht="20.100000000000001" customHeight="1" x14ac:dyDescent="0.2"/>
    <row r="895" ht="20.100000000000001" customHeight="1" x14ac:dyDescent="0.2"/>
    <row r="896" ht="20.100000000000001" customHeight="1" x14ac:dyDescent="0.2"/>
    <row r="897" ht="20.100000000000001" customHeight="1" x14ac:dyDescent="0.2"/>
    <row r="898" ht="20.100000000000001" customHeight="1" x14ac:dyDescent="0.2"/>
    <row r="899" ht="20.100000000000001" customHeight="1" x14ac:dyDescent="0.2"/>
    <row r="900" ht="20.100000000000001" customHeight="1" x14ac:dyDescent="0.2"/>
    <row r="901" ht="20.100000000000001" customHeight="1" x14ac:dyDescent="0.2"/>
    <row r="902" ht="20.100000000000001" customHeight="1" x14ac:dyDescent="0.2"/>
    <row r="903" ht="20.100000000000001" customHeight="1" x14ac:dyDescent="0.2"/>
    <row r="904" ht="20.100000000000001" customHeight="1" x14ac:dyDescent="0.2"/>
    <row r="905" ht="20.100000000000001" customHeight="1" x14ac:dyDescent="0.2"/>
    <row r="906" ht="20.100000000000001" customHeight="1" x14ac:dyDescent="0.2"/>
    <row r="907" ht="20.100000000000001" customHeight="1" x14ac:dyDescent="0.2"/>
    <row r="908" ht="20.100000000000001" customHeight="1" x14ac:dyDescent="0.2"/>
    <row r="909" ht="20.100000000000001" customHeight="1" x14ac:dyDescent="0.2"/>
    <row r="910" ht="20.100000000000001" customHeight="1" x14ac:dyDescent="0.2"/>
    <row r="911" ht="20.100000000000001" customHeight="1" x14ac:dyDescent="0.2"/>
    <row r="912" ht="20.100000000000001" customHeight="1" x14ac:dyDescent="0.2"/>
    <row r="913" ht="20.100000000000001" customHeight="1" x14ac:dyDescent="0.2"/>
    <row r="914" ht="20.100000000000001" customHeight="1" x14ac:dyDescent="0.2"/>
    <row r="915" ht="20.100000000000001" customHeight="1" x14ac:dyDescent="0.2"/>
    <row r="916" ht="20.100000000000001" customHeight="1" x14ac:dyDescent="0.2"/>
    <row r="917" ht="20.100000000000001" customHeight="1" x14ac:dyDescent="0.2"/>
    <row r="918" ht="20.100000000000001" customHeight="1" x14ac:dyDescent="0.2"/>
    <row r="919" ht="20.100000000000001" customHeight="1" x14ac:dyDescent="0.2"/>
    <row r="920" ht="20.100000000000001" customHeight="1" x14ac:dyDescent="0.2"/>
    <row r="921" ht="20.100000000000001" customHeight="1" x14ac:dyDescent="0.2"/>
    <row r="922" ht="15.95" customHeight="1" x14ac:dyDescent="0.2"/>
    <row r="923" ht="33.950000000000003" customHeight="1" x14ac:dyDescent="0.2"/>
    <row r="924" ht="20.100000000000001" customHeight="1" x14ac:dyDescent="0.2"/>
    <row r="925" ht="20.100000000000001" customHeight="1" x14ac:dyDescent="0.2"/>
    <row r="926" ht="20.100000000000001" customHeight="1" x14ac:dyDescent="0.2"/>
    <row r="927" ht="20.100000000000001" customHeight="1" x14ac:dyDescent="0.2"/>
    <row r="928" ht="15.95" customHeight="1" x14ac:dyDescent="0.2"/>
    <row r="929" ht="33.950000000000003" customHeight="1" x14ac:dyDescent="0.2"/>
    <row r="930" ht="20.100000000000001" customHeight="1" x14ac:dyDescent="0.2"/>
    <row r="931" ht="20.100000000000001" customHeight="1" x14ac:dyDescent="0.2"/>
    <row r="932" ht="20.100000000000001" customHeight="1" x14ac:dyDescent="0.2"/>
    <row r="933" ht="20.100000000000001" customHeight="1" x14ac:dyDescent="0.2"/>
    <row r="934" ht="20.100000000000001" customHeight="1" x14ac:dyDescent="0.2"/>
  </sheetData>
  <sheetProtection algorithmName="SHA-512" hashValue="+P7QY0EvQugv5SzPk4vGWVdTsiyEwevO4e/V5arVAW+SPH6EL1IEcBfD1L/l6IsAUt6hBZ41MyTqZKPkI2il2w==" saltValue="FnsTPxUZUAGrwmEFrzkjug==" spinCount="100000" sheet="1" selectLockedCells="1"/>
  <mergeCells count="55">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 ref="B100:E100"/>
    <mergeCell ref="B54:E54"/>
    <mergeCell ref="B55:E55"/>
    <mergeCell ref="B81:E81"/>
    <mergeCell ref="B57:E57"/>
    <mergeCell ref="B84:E84"/>
    <mergeCell ref="B108:E108"/>
    <mergeCell ref="B249:E249"/>
    <mergeCell ref="B231:E231"/>
    <mergeCell ref="B211:E211"/>
    <mergeCell ref="B210:E210"/>
    <mergeCell ref="B198:E198"/>
    <mergeCell ref="B197:E197"/>
    <mergeCell ref="B230:E230"/>
    <mergeCell ref="B192:E192"/>
    <mergeCell ref="B191:E191"/>
    <mergeCell ref="B154:E154"/>
    <mergeCell ref="B143:E143"/>
    <mergeCell ref="B117:E117"/>
    <mergeCell ref="B118:E118"/>
    <mergeCell ref="B161:E161"/>
    <mergeCell ref="B146:E146"/>
    <mergeCell ref="B325:E325"/>
    <mergeCell ref="B323:E323"/>
    <mergeCell ref="B345:E345"/>
    <mergeCell ref="B357:E357"/>
    <mergeCell ref="B301:E301"/>
    <mergeCell ref="B371:E371"/>
    <mergeCell ref="B364:E364"/>
    <mergeCell ref="B350:E350"/>
    <mergeCell ref="B340:E340"/>
    <mergeCell ref="B330:E330"/>
    <mergeCell ref="B155:E155"/>
    <mergeCell ref="B160:E160"/>
    <mergeCell ref="B145:E145"/>
    <mergeCell ref="B313:E313"/>
    <mergeCell ref="B166:E166"/>
    <mergeCell ref="B296:E296"/>
    <mergeCell ref="B260:E260"/>
  </mergeCells>
  <phoneticPr fontId="9" type="noConversion"/>
  <conditionalFormatting sqref="B10">
    <cfRule type="expression" dxfId="1401" priority="293" stopIfTrue="1">
      <formula>wld_domain_chosen="Exclude"</formula>
    </cfRule>
    <cfRule type="expression" dxfId="1400" priority="292">
      <formula>OR((wld_domain_chosen="Deploy Workload Domain with a Single-Rack / Multi-Rack Layer 2 Cluster"),(wld_domain_chosen="Deploy Workload Domain with a Multi-Rack Layer 3 Cluster"),(wld_domain_chosen="Import Workload Domain"))</formula>
    </cfRule>
    <cfRule type="expression" dxfId="1399" priority="203">
      <formula>vcf_granular_option_chosen="VVF Deployment"</formula>
    </cfRule>
  </conditionalFormatting>
  <conditionalFormatting sqref="B11 D11">
    <cfRule type="expression" dxfId="1398" priority="171" stopIfTrue="1">
      <formula>(wld_compute_hosts_per_rack_chosen="Exclude")</formula>
    </cfRule>
    <cfRule type="expression" dxfId="1397" priority="173">
      <formula>(vcf_version_result="Excluded")</formula>
    </cfRule>
    <cfRule type="expression" dxfId="1396" priority="233">
      <formula>(vcf_version_chosen&lt;&gt;"Exclude")</formula>
    </cfRule>
  </conditionalFormatting>
  <conditionalFormatting sqref="B11 D11:E11">
    <cfRule type="expression" dxfId="1395" priority="168">
      <formula>wld_compute_total_number_hosts&gt;64</formula>
    </cfRule>
  </conditionalFormatting>
  <conditionalFormatting sqref="B11">
    <cfRule type="expression" dxfId="1394" priority="68">
      <formula>$E$11="Required: Minimum Number of hosts must be selected"</formula>
    </cfRule>
  </conditionalFormatting>
  <conditionalFormatting sqref="B12 D12">
    <cfRule type="expression" dxfId="1393" priority="67">
      <formula>(vcf_version_result="Excluded")</formula>
    </cfRule>
    <cfRule type="expression" dxfId="1392" priority="65">
      <formula>wld_multi_rack_count_chosen="Exclude"</formula>
    </cfRule>
    <cfRule type="expression" dxfId="1391" priority="169">
      <formula>(vcf_version_chosen&lt;&gt;"Exclude")</formula>
    </cfRule>
  </conditionalFormatting>
  <conditionalFormatting sqref="B12 D12:E12">
    <cfRule type="expression" dxfId="1390" priority="63">
      <formula>AND((wld_multi_rack_count_chosen&lt;&gt;"Exclude"),(wld_multi_rack_count_result="Excluded"))</formula>
    </cfRule>
  </conditionalFormatting>
  <conditionalFormatting sqref="B12">
    <cfRule type="expression" dxfId="1389" priority="62">
      <formula>AND((wld_domain_chosen="Deploy Workload Domain with a Multi-Rack Layer 3 Cluster"),(wld_multi_rack_count_chosen="Exclude"))</formula>
    </cfRule>
  </conditionalFormatting>
  <conditionalFormatting sqref="B13 D13:E13">
    <cfRule type="expression" dxfId="1388" priority="221">
      <formula>AND((wld_dpg_separation_chosen&lt;&gt;"Exclude"),(wld_dpg_separation_result="Excluded"))</formula>
    </cfRule>
  </conditionalFormatting>
  <conditionalFormatting sqref="B13">
    <cfRule type="expression" dxfId="1387" priority="291">
      <formula>wld_dpg_separation_chosen="Exclude"</formula>
    </cfRule>
    <cfRule type="expression" dxfId="1386" priority="290">
      <formula>wld_dpg_separation_chosen="Include"</formula>
    </cfRule>
  </conditionalFormatting>
  <conditionalFormatting sqref="B13:B18 D15">
    <cfRule type="expression" dxfId="1385" priority="283" stopIfTrue="1">
      <formula>wld_domain_result="Excluded"</formula>
    </cfRule>
  </conditionalFormatting>
  <conditionalFormatting sqref="B14 D14:E14">
    <cfRule type="expression" dxfId="1384" priority="21">
      <formula>$E$14="Cause: Multi Rack Configuration is only supported with vSAN as Principal Storage or with vSAN Compute Clusters"</formula>
    </cfRule>
  </conditionalFormatting>
  <conditionalFormatting sqref="B15 D15">
    <cfRule type="expression" dxfId="1383" priority="64">
      <formula>wld_az1_reuse_vcf_networkpool_result="Excluded"</formula>
    </cfRule>
  </conditionalFormatting>
  <conditionalFormatting sqref="B16 D16:E16">
    <cfRule type="expression" dxfId="1382" priority="204">
      <formula>AND((wld_secondary_storage_chosen&lt;&gt;"Exclude"),(wld_secondary_storage_result="Excluded"))</formula>
    </cfRule>
  </conditionalFormatting>
  <conditionalFormatting sqref="B16">
    <cfRule type="expression" dxfId="1381" priority="288" stopIfTrue="1">
      <formula>wld_secondary_storage_chosen="Exclude"</formula>
    </cfRule>
    <cfRule type="expression" dxfId="1380" priority="286" stopIfTrue="1">
      <formula>wld_secondary_storage_chosen&lt;&gt;"Exclude"</formula>
    </cfRule>
  </conditionalFormatting>
  <conditionalFormatting sqref="B16:B18 B13:B14">
    <cfRule type="expression" dxfId="1379" priority="287">
      <formula>wld_domain_chosen="Exclude"</formula>
    </cfRule>
  </conditionalFormatting>
  <conditionalFormatting sqref="B17 D17:E17">
    <cfRule type="expression" dxfId="1378" priority="284">
      <formula>AND((wld_esxi_external_certs_chosen&lt;&gt;"Exclude"),(wld_esxi_external_certs_result="Excluded"))</formula>
    </cfRule>
  </conditionalFormatting>
  <conditionalFormatting sqref="B17">
    <cfRule type="expression" dxfId="1377" priority="285">
      <formula>wld_esxi_external_certs_chosen="Exclude"</formula>
    </cfRule>
    <cfRule type="expression" dxfId="1376" priority="798">
      <formula>wld_esxi_external_certs_chosen="Include"</formula>
    </cfRule>
  </conditionalFormatting>
  <conditionalFormatting sqref="B18 D18">
    <cfRule type="expression" dxfId="1375" priority="268">
      <formula>wld_iaas_result="Excluded"</formula>
    </cfRule>
    <cfRule type="expression" dxfId="1374" priority="282">
      <formula>wld_iaas_chosen="Include"</formula>
    </cfRule>
  </conditionalFormatting>
  <conditionalFormatting sqref="B18 D18:E18">
    <cfRule type="expression" dxfId="1373" priority="26">
      <formula>$E$18="Cause: vSphere Supervisor should be enabled after the you completed the stretched cluster configuration"</formula>
    </cfRule>
  </conditionalFormatting>
  <conditionalFormatting sqref="D10">
    <cfRule type="expression" dxfId="1372" priority="372">
      <formula>(wld_domain_result="Excluded")</formula>
    </cfRule>
    <cfRule type="expression" dxfId="1371" priority="814">
      <formula>AND((wld_domain_chosen&lt;&gt;"Exclude"),(wld_domain_result="Included"))</formula>
    </cfRule>
  </conditionalFormatting>
  <conditionalFormatting sqref="D13">
    <cfRule type="expression" dxfId="1370" priority="1">
      <formula>wld_domain_result="Excluded"</formula>
    </cfRule>
    <cfRule type="expression" dxfId="1369" priority="781">
      <formula>(wld_dpg_separation_result="Included")</formula>
    </cfRule>
    <cfRule type="expression" dxfId="1368" priority="780" stopIfTrue="1">
      <formula>(wld_dpg_separation_result="Excluded")</formula>
    </cfRule>
  </conditionalFormatting>
  <conditionalFormatting sqref="D13:D14 D16">
    <cfRule type="expression" dxfId="1367" priority="736">
      <formula>(vcf_version_result="Excluded")</formula>
    </cfRule>
  </conditionalFormatting>
  <conditionalFormatting sqref="D14">
    <cfRule type="expression" dxfId="1366" priority="289">
      <formula>wld_principal_storage_result="Excluded"</formula>
    </cfRule>
    <cfRule type="expression" dxfId="1365" priority="750">
      <formula>wld_principal_storage_result="Included"</formula>
    </cfRule>
  </conditionalFormatting>
  <conditionalFormatting sqref="D16">
    <cfRule type="expression" dxfId="1364" priority="793">
      <formula>(wld_secondary_storage_chosen="Exclude")</formula>
    </cfRule>
    <cfRule type="expression" dxfId="1363" priority="794">
      <formula>AND((wld_secondary_storage_chosen&lt;&gt;"Exclude"),(wld_secondary_storage_result="Included"))</formula>
    </cfRule>
  </conditionalFormatting>
  <conditionalFormatting sqref="D17">
    <cfRule type="expression" dxfId="1362" priority="799">
      <formula>(wld_esxi_external_certs_chosen="Exclude")</formula>
    </cfRule>
    <cfRule type="expression" dxfId="1361" priority="800">
      <formula>wld_esxi_external_certs_result="Included"</formula>
    </cfRule>
  </conditionalFormatting>
  <conditionalFormatting sqref="D18 D16">
    <cfRule type="expression" dxfId="1360" priority="792">
      <formula>(wld_domain_chosen="Exclude")</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notContainsBlanks" dxfId="1358" priority="4942">
      <formula>LEN(TRIM(D23))&gt;0</formula>
    </cfRule>
  </conditionalFormatting>
  <conditionalFormatting sqref="D23 D28:D33 D38:D50">
    <cfRule type="expression" dxfId="1357" priority="211">
      <formula>wld_domain_chosen&lt;&gt;"Import Workload Domain"</formula>
    </cfRule>
  </conditionalFormatting>
  <conditionalFormatting sqref="D38:D43 D47">
    <cfRule type="expression" dxfId="1356" priority="208">
      <formula>wld_bf_nsx_existing_chosen="Selected"</formula>
    </cfRule>
  </conditionalFormatting>
  <conditionalFormatting sqref="D39:D43 D47">
    <cfRule type="expression" dxfId="1355" priority="209">
      <formula>wld_bf_nsx_join_manager_chosen="Join existing NSX Manager Instance"</formula>
    </cfRule>
  </conditionalFormatting>
  <conditionalFormatting sqref="D42:D43">
    <cfRule type="expression" dxfId="1354" priority="210">
      <formula>wld_bf_nsx_ha_mode_chosen="Single NSX Manager Appliance"</formula>
    </cfRule>
  </conditionalFormatting>
  <conditionalFormatting sqref="D45">
    <cfRule type="expression" dxfId="1353" priority="207">
      <formula>wld_bf_nsx_existing_chosen="Unselected"</formula>
    </cfRule>
  </conditionalFormatting>
  <conditionalFormatting sqref="D48:D50">
    <cfRule type="expression" dxfId="1352" priority="205">
      <formula>wld_bf_nsx_create_passwords_chosen="Selected"</formula>
    </cfRule>
  </conditionalFormatting>
  <conditionalFormatting sqref="D58:D61 D85:D89">
    <cfRule type="expression" dxfId="1351" priority="515">
      <formula>wld_domain_result="Excluded"</formula>
    </cfRule>
  </conditionalFormatting>
  <conditionalFormatting sqref="D63:D78">
    <cfRule type="expression" dxfId="1350" priority="563">
      <formula>wld_domain_result="Excluded"</formula>
    </cfRule>
  </conditionalFormatting>
  <conditionalFormatting sqref="D64">
    <cfRule type="expression" dxfId="1349" priority="151">
      <formula>AND((wld_domain_chosen="Deploy Workload Domain with a Multi-Rack Layer 3 Cluster"),(wld_compute_hosts_per_rack_chosen&lt;2))</formula>
    </cfRule>
  </conditionalFormatting>
  <conditionalFormatting sqref="D65">
    <cfRule type="expression" dxfId="1348" priority="152">
      <formula>wld_compute_hosts_per_rack_chosen&lt;3</formula>
    </cfRule>
  </conditionalFormatting>
  <conditionalFormatting sqref="D66">
    <cfRule type="expression" dxfId="1347" priority="153">
      <formula>wld_compute_hosts_per_rack_chosen&lt;4</formula>
    </cfRule>
  </conditionalFormatting>
  <conditionalFormatting sqref="D67">
    <cfRule type="expression" dxfId="1346" priority="154">
      <formula>wld_compute_hosts_per_rack_chosen&lt;5</formula>
    </cfRule>
  </conditionalFormatting>
  <conditionalFormatting sqref="D68">
    <cfRule type="expression" dxfId="1345" priority="155">
      <formula>wld_compute_hosts_per_rack_chosen&lt;6</formula>
    </cfRule>
  </conditionalFormatting>
  <conditionalFormatting sqref="D69">
    <cfRule type="expression" dxfId="1344" priority="156">
      <formula>wld_compute_hosts_per_rack_chosen&lt;7</formula>
    </cfRule>
  </conditionalFormatting>
  <conditionalFormatting sqref="D70">
    <cfRule type="expression" dxfId="1343" priority="157">
      <formula>wld_compute_hosts_per_rack_chosen&lt;8</formula>
    </cfRule>
  </conditionalFormatting>
  <conditionalFormatting sqref="D71">
    <cfRule type="expression" dxfId="1342" priority="158">
      <formula>wld_compute_hosts_per_rack_chosen&lt;9</formula>
    </cfRule>
  </conditionalFormatting>
  <conditionalFormatting sqref="D72">
    <cfRule type="expression" dxfId="1341" priority="159">
      <formula>wld_compute_hosts_per_rack_chosen&lt;10</formula>
    </cfRule>
  </conditionalFormatting>
  <conditionalFormatting sqref="D73">
    <cfRule type="expression" dxfId="1340" priority="160">
      <formula>wld_compute_hosts_per_rack_chosen&lt;11</formula>
    </cfRule>
  </conditionalFormatting>
  <conditionalFormatting sqref="D74">
    <cfRule type="expression" dxfId="1339" priority="161">
      <formula>wld_compute_hosts_per_rack_chosen&lt;12</formula>
    </cfRule>
  </conditionalFormatting>
  <conditionalFormatting sqref="D75">
    <cfRule type="expression" dxfId="1338" priority="162">
      <formula>wld_compute_hosts_per_rack_chosen&lt;13</formula>
    </cfRule>
  </conditionalFormatting>
  <conditionalFormatting sqref="D76">
    <cfRule type="expression" dxfId="1337" priority="163">
      <formula>wld_compute_hosts_per_rack_chosen&lt;14</formula>
    </cfRule>
  </conditionalFormatting>
  <conditionalFormatting sqref="D77">
    <cfRule type="expression" dxfId="1336" priority="164">
      <formula>wld_compute_hosts_per_rack_chosen&lt;15</formula>
    </cfRule>
  </conditionalFormatting>
  <conditionalFormatting sqref="D78">
    <cfRule type="expression" dxfId="1335" priority="165">
      <formula>wld_compute_hosts_per_rack_chosen&lt;16</formula>
    </cfRule>
  </conditionalFormatting>
  <conditionalFormatting sqref="D85:D91 D93:D99 D101:D107 D109:D115 D58:D61 D63:D78 D83 D120:D141 D148:D152 D157:D158 D163:D164 D168 D173:D189 D194:D195 D200:D208 D213:D228 D233:D234 D239:D270 D277:D280 D341:D344 D346:D349 D351:D356 D358:D363 D365:D370 D373 D375:D378 D326:D329 D331:D336">
    <cfRule type="expression" dxfId="1334" priority="25" stopIfTrue="1">
      <formula>wld_domain_result="Excluded"</formula>
    </cfRule>
  </conditionalFormatting>
  <conditionalFormatting sqref="D85:D91 D93:D99 D101:D107 D109:D115">
    <cfRule type="expression" dxfId="1333" priority="24">
      <formula>wld_az1_reuse_vcf_networkpool_chosen="Re-use an existing VCF Network Pool"</formula>
    </cfRule>
  </conditionalFormatting>
  <conditionalFormatting sqref="D92">
    <cfRule type="containsBlanks" dxfId="1332" priority="465">
      <formula>LEN(TRIM(D92))=0</formula>
    </cfRule>
    <cfRule type="notContainsBlanks" dxfId="1331" priority="466">
      <formula>LEN(TRIM(D92))&gt;0</formula>
    </cfRule>
    <cfRule type="expression" dxfId="1330" priority="463">
      <formula>mgmt_domain_existing_vcenter_chosen="Selected"</formula>
    </cfRule>
    <cfRule type="expression" dxfId="1329" priority="462">
      <formula>input_mgmt_principal_storage_chosen="VMFS on Fibre Channel (FC)"</formula>
    </cfRule>
  </conditionalFormatting>
  <conditionalFormatting sqref="D93:D97">
    <cfRule type="expression" dxfId="1327" priority="476">
      <formula>wld_domain_result="Excluded"</formula>
    </cfRule>
  </conditionalFormatting>
  <conditionalFormatting sqref="D93:D99">
    <cfRule type="expression" dxfId="1326" priority="477">
      <formula>OR((wld_principal_storage_chosen="VMFS on Fibre Channel (FC)"),(wld_principal_storage_chosen="vSAN Storage Cluster"))</formula>
    </cfRule>
  </conditionalFormatting>
  <conditionalFormatting sqref="D98:D99">
    <cfRule type="expression" dxfId="1325" priority="331">
      <formula>wld_domain_result="Excluded"</formula>
    </cfRule>
  </conditionalFormatting>
  <conditionalFormatting sqref="D101:D107">
    <cfRule type="expression" dxfId="1324" priority="350" stopIfTrue="1">
      <formula>OR((wld_domain_result="Excluded"),(wld_secondary_storage_result="Excluded"))</formula>
    </cfRule>
  </conditionalFormatting>
  <conditionalFormatting sqref="D109:D115">
    <cfRule type="expression" dxfId="1323" priority="23">
      <formula>wld_principal_storage_chosen&lt;&gt;"vSAN Storage Cluster"</formula>
    </cfRule>
    <cfRule type="containsBlanks" dxfId="1322" priority="50">
      <formula>LEN(TRIM(D109))=0</formula>
    </cfRule>
    <cfRule type="notContainsBlanks" dxfId="1321" priority="4940">
      <formula>LEN(TRIM(D109))&gt;0</formula>
    </cfRule>
  </conditionalFormatting>
  <conditionalFormatting sqref="D120:D135">
    <cfRule type="expression" dxfId="1319" priority="117">
      <formula>wld_domain_result="Excluded"</formula>
    </cfRule>
    <cfRule type="expression" dxfId="1318" priority="679">
      <formula>wld_domain_result="Excluded"</formula>
    </cfRule>
  </conditionalFormatting>
  <conditionalFormatting sqref="D120:D141 D213:D228 D292:D295 D349 D58:D61 D63:D78 D83 D85:D91 D93:D99 D101:D107 D148:D152 D157:D158 D163:D164 D168 D173:D189 D194:D195 D200:D208 D233:D234 D239:D270 D277:D280 D326:D329 D331:D336 D341:D344 D351:D356 D358:D363 D365:D370 D373 D375:D378 D287:D290 D272:D275 D282:D285 D314:D321 D23 D28:D33 D38:D50 D297:D300 D302:D312 B373 B375:B378 B380:B395 D380:D395">
    <cfRule type="expression" dxfId="1317" priority="179">
      <formula>mgmt_domain_deployment_type_chosen="VMware vSphere Foundation"</formula>
    </cfRule>
  </conditionalFormatting>
  <conditionalFormatting sqref="D121">
    <cfRule type="expression" dxfId="1316" priority="102">
      <formula>AND((wld_domain_chosen="Deploy Workload Domain with a Multi-Rack Layer 3 Cluster"),(wld_compute_hosts_per_rack_chosen&lt;2))</formula>
    </cfRule>
  </conditionalFormatting>
  <conditionalFormatting sqref="D122">
    <cfRule type="expression" dxfId="1315" priority="103">
      <formula>wld_compute_hosts_per_rack_chosen&lt;3</formula>
    </cfRule>
  </conditionalFormatting>
  <conditionalFormatting sqref="D123">
    <cfRule type="expression" dxfId="1314" priority="104">
      <formula>wld_compute_hosts_per_rack_chosen&lt;4</formula>
    </cfRule>
  </conditionalFormatting>
  <conditionalFormatting sqref="D124">
    <cfRule type="expression" dxfId="1313" priority="105">
      <formula>wld_compute_hosts_per_rack_chosen&lt;5</formula>
    </cfRule>
  </conditionalFormatting>
  <conditionalFormatting sqref="D125">
    <cfRule type="expression" dxfId="1312" priority="106">
      <formula>wld_compute_hosts_per_rack_chosen&lt;6</formula>
    </cfRule>
  </conditionalFormatting>
  <conditionalFormatting sqref="D126">
    <cfRule type="expression" dxfId="1311" priority="107">
      <formula>wld_compute_hosts_per_rack_chosen&lt;7</formula>
    </cfRule>
  </conditionalFormatting>
  <conditionalFormatting sqref="D127">
    <cfRule type="expression" dxfId="1310" priority="108">
      <formula>wld_compute_hosts_per_rack_chosen&lt;8</formula>
    </cfRule>
  </conditionalFormatting>
  <conditionalFormatting sqref="D128">
    <cfRule type="expression" dxfId="1309" priority="109">
      <formula>wld_compute_hosts_per_rack_chosen&lt;9</formula>
    </cfRule>
  </conditionalFormatting>
  <conditionalFormatting sqref="D129">
    <cfRule type="expression" dxfId="1308" priority="110">
      <formula>wld_compute_hosts_per_rack_chosen&lt;10</formula>
    </cfRule>
  </conditionalFormatting>
  <conditionalFormatting sqref="D130">
    <cfRule type="expression" dxfId="1307" priority="111">
      <formula>wld_compute_hosts_per_rack_chosen&lt;11</formula>
    </cfRule>
  </conditionalFormatting>
  <conditionalFormatting sqref="D131">
    <cfRule type="expression" dxfId="1306" priority="112">
      <formula>wld_compute_hosts_per_rack_chosen&lt;12</formula>
    </cfRule>
  </conditionalFormatting>
  <conditionalFormatting sqref="D132">
    <cfRule type="expression" dxfId="1305" priority="113">
      <formula>wld_compute_hosts_per_rack_chosen&lt;13</formula>
    </cfRule>
  </conditionalFormatting>
  <conditionalFormatting sqref="D133">
    <cfRule type="expression" dxfId="1304" priority="114">
      <formula>wld_compute_hosts_per_rack_chosen&lt;14</formula>
    </cfRule>
  </conditionalFormatting>
  <conditionalFormatting sqref="D134">
    <cfRule type="expression" dxfId="1303" priority="115">
      <formula>wld_compute_hosts_per_rack_chosen&lt;15</formula>
    </cfRule>
  </conditionalFormatting>
  <conditionalFormatting sqref="D135">
    <cfRule type="expression" dxfId="1302" priority="116">
      <formula>wld_compute_hosts_per_rack_chosen&lt;16</formula>
    </cfRule>
  </conditionalFormatting>
  <conditionalFormatting sqref="D137:D138">
    <cfRule type="expression" dxfId="1301" priority="174">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300" priority="438">
      <formula>wld_domain_password_creation_chosen="Selected"</formula>
    </cfRule>
  </conditionalFormatting>
  <conditionalFormatting sqref="D164 D326:D329 D331:D336">
    <cfRule type="expression" dxfId="1299" priority="191">
      <formula>wld_iaas_result="Excluded"</formula>
    </cfRule>
  </conditionalFormatting>
  <conditionalFormatting sqref="D177:D180">
    <cfRule type="expression" dxfId="1298" priority="437">
      <formula>wld_nsx_ha_mode_chosen="Standard"</formula>
    </cfRule>
  </conditionalFormatting>
  <conditionalFormatting sqref="D186:D189">
    <cfRule type="expression" dxfId="1297" priority="567">
      <formula>wld_centralized_connectivity_chosen="Centralized Connectivity"</formula>
    </cfRule>
  </conditionalFormatting>
  <conditionalFormatting sqref="D195 D200">
    <cfRule type="expression" dxfId="1296" priority="177">
      <formula>AND((wld_principal_storage_chosen&lt;&gt;"vSAN-ESA"),(wld_principal_storage_chosen&lt;&gt;"vSAN Storage Cluster"))</formula>
    </cfRule>
  </conditionalFormatting>
  <conditionalFormatting sqref="D200:D208 D239:D270 D233:D234 D168 D173:D189 D194:D195 D297:D300 D302:D312 D314:D321 D120:D141 D326:D329 D331:D336 D63:D78 D58:D61 D85:D91 D93:D99 D148:D152 D157:D158 D101:D107 D278:D280 D23 D28:D33 D38:D50 D163:D164 D83 D213:D228 D341:D344 D349 D351:D356 D358:D363 D365:D370 D373 D375:D378">
    <cfRule type="containsBlanks" dxfId="1295" priority="1189">
      <formula>LEN(TRIM(D23))=0</formula>
    </cfRule>
  </conditionalFormatting>
  <conditionalFormatting sqref="D201">
    <cfRule type="expression" dxfId="1294" priority="568">
      <formula>AND((wld_principal_storage_chosen&lt;&gt;"vSAN-ESA"),(wld_principal_storage_chosen&lt;&gt;"vSAN-OSA"),(wld_principal_storage_chosen&lt;&gt;"vSAN Storage Cluster"))</formula>
    </cfRule>
  </conditionalFormatting>
  <conditionalFormatting sqref="D202">
    <cfRule type="expression" dxfId="1293" priority="269">
      <formula>$B$16&lt;&gt;"vSAN Storage Client Network"</formula>
    </cfRule>
  </conditionalFormatting>
  <conditionalFormatting sqref="D204">
    <cfRule type="expression" dxfId="1291" priority="694">
      <formula>(wld_principal_storage_chosen&lt;&gt;"vSAN-OSA")</formula>
    </cfRule>
  </conditionalFormatting>
  <conditionalFormatting sqref="D205">
    <cfRule type="expression" dxfId="1290" priority="689">
      <formula>OR((wld_domain_result="Excluded"),(wld_principal_storage_chosen&lt;&gt;"VMFS on Fibre Channel (FC)"))</formula>
    </cfRule>
  </conditionalFormatting>
  <conditionalFormatting sqref="D206:D208">
    <cfRule type="expression" dxfId="1289" priority="681">
      <formula>OR((wld_domain_result="Excluded"),(wld_principal_storage_chosen&lt;&gt;"NFSv3"))</formula>
    </cfRule>
  </conditionalFormatting>
  <conditionalFormatting sqref="D213:D228">
    <cfRule type="expression" dxfId="1288" priority="84">
      <formula>wld_domain_result="Excluded"</formula>
    </cfRule>
  </conditionalFormatting>
  <conditionalFormatting sqref="D214">
    <cfRule type="expression" dxfId="1287" priority="69">
      <formula>AND((wld_domain_chosen="Deploy Workload Domain with a Multi-Rack Layer 3 Cluster"),(wld_compute_hosts_per_rack_chosen&lt;2))</formula>
    </cfRule>
  </conditionalFormatting>
  <conditionalFormatting sqref="D215">
    <cfRule type="expression" dxfId="1286" priority="70">
      <formula>wld_compute_hosts_per_rack_chosen&lt;3</formula>
    </cfRule>
  </conditionalFormatting>
  <conditionalFormatting sqref="D216">
    <cfRule type="expression" dxfId="1285" priority="71">
      <formula>wld_compute_hosts_per_rack_chosen&lt;4</formula>
    </cfRule>
  </conditionalFormatting>
  <conditionalFormatting sqref="D217">
    <cfRule type="expression" dxfId="1284" priority="72">
      <formula>wld_compute_hosts_per_rack_chosen&lt;5</formula>
    </cfRule>
  </conditionalFormatting>
  <conditionalFormatting sqref="D218">
    <cfRule type="expression" dxfId="1283" priority="73">
      <formula>wld_compute_hosts_per_rack_chosen&lt;6</formula>
    </cfRule>
  </conditionalFormatting>
  <conditionalFormatting sqref="D219">
    <cfRule type="expression" dxfId="1282" priority="74">
      <formula>wld_compute_hosts_per_rack_chosen&lt;7</formula>
    </cfRule>
  </conditionalFormatting>
  <conditionalFormatting sqref="D220">
    <cfRule type="expression" dxfId="1281" priority="75">
      <formula>wld_compute_hosts_per_rack_chosen&lt;8</formula>
    </cfRule>
  </conditionalFormatting>
  <conditionalFormatting sqref="D221">
    <cfRule type="expression" dxfId="1280" priority="76">
      <formula>wld_compute_hosts_per_rack_chosen&lt;9</formula>
    </cfRule>
  </conditionalFormatting>
  <conditionalFormatting sqref="D222">
    <cfRule type="expression" dxfId="1279" priority="77">
      <formula>wld_compute_hosts_per_rack_chosen&lt;10</formula>
    </cfRule>
  </conditionalFormatting>
  <conditionalFormatting sqref="D223">
    <cfRule type="expression" dxfId="1278" priority="78">
      <formula>wld_compute_hosts_per_rack_chosen&lt;11</formula>
    </cfRule>
  </conditionalFormatting>
  <conditionalFormatting sqref="D224">
    <cfRule type="expression" dxfId="1277" priority="79">
      <formula>wld_compute_hosts_per_rack_chosen&lt;12</formula>
    </cfRule>
  </conditionalFormatting>
  <conditionalFormatting sqref="D225">
    <cfRule type="expression" dxfId="1276" priority="80">
      <formula>wld_compute_hosts_per_rack_chosen&lt;13</formula>
    </cfRule>
  </conditionalFormatting>
  <conditionalFormatting sqref="D226">
    <cfRule type="expression" dxfId="1275" priority="81">
      <formula>wld_compute_hosts_per_rack_chosen&lt;14</formula>
    </cfRule>
  </conditionalFormatting>
  <conditionalFormatting sqref="D227">
    <cfRule type="expression" dxfId="1274" priority="82">
      <formula>wld_compute_hosts_per_rack_chosen&lt;15</formula>
    </cfRule>
  </conditionalFormatting>
  <conditionalFormatting sqref="D228">
    <cfRule type="expression" dxfId="1273" priority="83">
      <formula>wld_compute_hosts_per_rack_chosen&lt;16</formula>
    </cfRule>
  </conditionalFormatting>
  <conditionalFormatting sqref="D239:D248 D250:D259">
    <cfRule type="expression" dxfId="1272" priority="637">
      <formula>wld_cl01_vds_profile_chosen="Custom Switch Configuration"</formula>
    </cfRule>
  </conditionalFormatting>
  <conditionalFormatting sqref="D239:D270 D287:D290 D272:D275 D277:D280 D282:D285 D314:D321 D11:D18 B11:B18 D58:D61 D63:D78 D83 D85:D91 D93:D99 D120:D141 D148:D152 D157:D158 D163:D164 D168 D173:D189 D194:D195 D200:D208 D213:D228 D233:D234 D292:D295 D297:D300 D302:D312 D341:D344 D349 D351:D356 D358:D363 D365:D370 B373 D373 B375:B378 D375:D378 B380:B395 D380:D395">
    <cfRule type="expression" dxfId="1271" priority="15">
      <formula>wld_domain_chosen="Import Workload Domain"</formula>
    </cfRule>
  </conditionalFormatting>
  <conditionalFormatting sqref="D242:D245">
    <cfRule type="expression" dxfId="1270" priority="14">
      <formula>wld_cl01_vds01_link_type_chosen="VDS Uplinks"</formula>
    </cfRule>
  </conditionalFormatting>
  <conditionalFormatting sqref="D248:D270 D234">
    <cfRule type="expression" dxfId="1269" priority="827">
      <formula>wld_domain_result="Excluded"</formula>
    </cfRule>
  </conditionalFormatting>
  <conditionalFormatting sqref="D248:D270 D297:D300 D304:D305 D168 D173:D180 D183:D189 D194:D195 D234">
    <cfRule type="expression" dxfId="1268" priority="826">
      <formula>wld_multirack_result="Included"</formula>
    </cfRule>
  </conditionalFormatting>
  <conditionalFormatting sqref="D249">
    <cfRule type="notContainsBlanks" dxfId="1267" priority="224" stopIfTrue="1">
      <formula>LEN(TRIM(D249))&gt;0</formula>
    </cfRule>
    <cfRule type="expression" dxfId="1266" priority="223">
      <formula>mgmt_host_overlay_addressing_chosen&lt;&gt;"IP Pool"</formula>
    </cfRule>
    <cfRule type="containsBlanks" dxfId="1265" priority="225">
      <formula>LEN(TRIM(D249))=0</formula>
    </cfRule>
  </conditionalFormatting>
  <conditionalFormatting sqref="D250:D258">
    <cfRule type="expression" dxfId="1264" priority="638" stopIfTrue="1">
      <formula>wld_cl01_vds_profile_chosen="Default"</formula>
    </cfRule>
  </conditionalFormatting>
  <conditionalFormatting sqref="D253:D256">
    <cfRule type="expression" dxfId="1263" priority="13">
      <formula>wld_cl01_vds02_link_type_chosen="VDS Uplinks"</formula>
    </cfRule>
  </conditionalFormatting>
  <conditionalFormatting sqref="D261:D269">
    <cfRule type="expression" dxfId="1262" priority="635">
      <formula>wld_cl01_vds_profile_chosen="Default"</formula>
    </cfRule>
    <cfRule type="expression" dxfId="1261" priority="634">
      <formula>wld_cl01_vds_profile_chosen="Storage Traffic Separation"</formula>
    </cfRule>
    <cfRule type="expression" dxfId="1260" priority="631">
      <formula>wld_cl01_vds_profile_chosen="NSX Traffic Separation"</formula>
    </cfRule>
  </conditionalFormatting>
  <conditionalFormatting sqref="D261:D270">
    <cfRule type="expression" dxfId="1259" priority="183">
      <formula>wld_cl01_vds_profile_chosen="vSAN Max Storage Traffic Separation"</formula>
    </cfRule>
    <cfRule type="expression" dxfId="1258" priority="630">
      <formula>wld_cl01_vds_profile_chosen="Custom Switch Configuration"</formula>
    </cfRule>
  </conditionalFormatting>
  <conditionalFormatting sqref="D264:D267">
    <cfRule type="expression" dxfId="1257" priority="12">
      <formula>wld_cl01_vds03_link_type_chosen="VDS Uplinks"</formula>
    </cfRule>
  </conditionalFormatting>
  <conditionalFormatting sqref="D270 D259">
    <cfRule type="expression" dxfId="1256" priority="1132">
      <formula>wld_cl01_vds_profile_chosen="Default"</formula>
    </cfRule>
  </conditionalFormatting>
  <conditionalFormatting sqref="D270 D297:D300 D304:D305 D316:D321 D203:D208">
    <cfRule type="expression" dxfId="1255" priority="680" stopIfTrue="1">
      <formula>wld_domain_result="Excluded"</formula>
    </cfRule>
  </conditionalFormatting>
  <conditionalFormatting sqref="D270">
    <cfRule type="expression" dxfId="1254" priority="1164">
      <formula xml:space="preserve"> wld_cl01_vds_profile_chosen ="NSX Traffic Separation"</formula>
    </cfRule>
    <cfRule type="expression" dxfId="1253" priority="1182">
      <formula xml:space="preserve"> wld_cl01_vds_profile_chosen ="Storage Traffic Separation"</formula>
    </cfRule>
  </conditionalFormatting>
  <conditionalFormatting sqref="D272:D275">
    <cfRule type="expression" dxfId="1252" priority="236" stopIfTrue="1">
      <formula>wld_domain_result="Excluded"</formula>
    </cfRule>
    <cfRule type="containsBlanks" dxfId="1251" priority="245">
      <formula>LEN(TRIM(D272))=0</formula>
    </cfRule>
    <cfRule type="notContainsBlanks" dxfId="1249" priority="647">
      <formula>LEN(TRIM(D272))&gt;0</formula>
    </cfRule>
  </conditionalFormatting>
  <conditionalFormatting sqref="D273:D275 D278:D280 D283:D285">
    <cfRule type="expression" dxfId="1248" priority="7">
      <formula>wld_cl01_vds01_link_type_chosen="VDS Lag"</formula>
    </cfRule>
  </conditionalFormatting>
  <conditionalFormatting sqref="D277">
    <cfRule type="notContainsBlanks" dxfId="1246" priority="270">
      <formula>LEN(TRIM(D277))&gt;0</formula>
    </cfRule>
    <cfRule type="containsBlanks" dxfId="1245" priority="267">
      <formula>LEN(TRIM(D277))=0</formula>
    </cfRule>
  </conditionalFormatting>
  <conditionalFormatting sqref="D282">
    <cfRule type="expression" dxfId="1244" priority="235">
      <formula>wld_cl01_vds_profile_chosen="custom"</formula>
    </cfRule>
  </conditionalFormatting>
  <conditionalFormatting sqref="D282:D285">
    <cfRule type="expression" dxfId="1243" priority="234" stopIfTrue="1">
      <formula>wld_domain_result="Excluded"</formula>
    </cfRule>
    <cfRule type="notContainsBlanks" dxfId="1242" priority="244">
      <formula>LEN(TRIM(D282))&gt;0</formula>
    </cfRule>
    <cfRule type="containsBlanks" dxfId="1240" priority="242">
      <formula>LEN(TRIM(D282))=0</formula>
    </cfRule>
  </conditionalFormatting>
  <conditionalFormatting sqref="D287">
    <cfRule type="expression" dxfId="1239" priority="232">
      <formula>wld_cl01_vds_profile_chosen="custom"</formula>
    </cfRule>
  </conditionalFormatting>
  <conditionalFormatting sqref="D287:D290 D292:D295">
    <cfRule type="expression" dxfId="1238" priority="231" stopIfTrue="1">
      <formula>wld_domain_result="Excluded"</formula>
    </cfRule>
    <cfRule type="notContainsBlanks" dxfId="1237" priority="241">
      <formula>LEN(TRIM(D287))&gt;0</formula>
    </cfRule>
    <cfRule type="containsBlanks" dxfId="1236" priority="239">
      <formula>LEN(TRIM(D287))=0</formula>
    </cfRule>
  </conditionalFormatting>
  <conditionalFormatting sqref="D288:D290">
    <cfRule type="expression" dxfId="1234" priority="8">
      <formula>AND((wld_cl01_vds_profile_chosen="Default"),(wld_cl01_vds01_link_type_chosen="VDS Lag"))</formula>
    </cfRule>
    <cfRule type="expression" dxfId="1233" priority="9">
      <formula>AND((wld_cl01_vds_profile_chosen="NSX Traffic Separation"),(wld_cl01_vds01_link_type_chosen="VDS Lag"))</formula>
    </cfRule>
    <cfRule type="expression" dxfId="1232" priority="10">
      <formula>AND((wld_cl01_vds_profile_chosen="Storage Traffic and NSX Traffic Separation"),(wld_cl01_vds02_link_type_chosen="VDS Lag"))</formula>
    </cfRule>
    <cfRule type="expression" dxfId="1231" priority="11">
      <formula>AND((wld_cl01_vds_profile_chosen="Storage Traffic Separation"),(wld_cl01_vds02_link_type_chosen="VDS Lag"))</formula>
    </cfRule>
  </conditionalFormatting>
  <conditionalFormatting sqref="D292">
    <cfRule type="expression" dxfId="1230" priority="182">
      <formula>wld_cl01_vds_profile_chosen="custom"</formula>
    </cfRule>
  </conditionalFormatting>
  <conditionalFormatting sqref="D292:D295">
    <cfRule type="expression" dxfId="1229" priority="48">
      <formula>OR((wld_domain_result="Excluded"),(wld_secondary_storage_result="Excluded"))</formula>
    </cfRule>
  </conditionalFormatting>
  <conditionalFormatting sqref="D297:D300 D302:D312 D314:D321 B373 B375:B378 B380:B395 D380:D395">
    <cfRule type="expression" dxfId="1228" priority="260" stopIfTrue="1">
      <formula>wld_domain_result="Excluded"</formula>
    </cfRule>
  </conditionalFormatting>
  <conditionalFormatting sqref="D298:D300">
    <cfRule type="expression" dxfId="1227" priority="436">
      <formula>wld_nsx_default_operation_mode_chosen="Selected"</formula>
    </cfRule>
  </conditionalFormatting>
  <conditionalFormatting sqref="D302">
    <cfRule type="expression" dxfId="1226" priority="226">
      <formula>wld_domain_result="Excluded"</formula>
    </cfRule>
  </conditionalFormatting>
  <conditionalFormatting sqref="D302:D311">
    <cfRule type="expression" dxfId="1225" priority="19">
      <formula>wld_nsx_overlay_transport_zone_chosen="Unselected"</formula>
    </cfRule>
  </conditionalFormatting>
  <conditionalFormatting sqref="D304">
    <cfRule type="expression" dxfId="1224" priority="17">
      <formula>wld_cl01_vds_copy_profile_chosen="Unselected"</formula>
    </cfRule>
  </conditionalFormatting>
  <conditionalFormatting sqref="D305">
    <cfRule type="expression" dxfId="1223" priority="200" stopIfTrue="1">
      <formula>wld_domain_result="Excluded"</formula>
    </cfRule>
  </conditionalFormatting>
  <conditionalFormatting sqref="D305:D312 D314:D321 D240:D247 D251:D252 D257:D258 D262:D263 D268:D269 D273:D275 D278:D280 D283:D285 D288:D290 D293:D295 D297 D302">
    <cfRule type="expression" dxfId="1222" priority="227">
      <formula>wld_cl01_vds_copy_profile_chosen="Unselected"</formula>
    </cfRule>
  </conditionalFormatting>
  <conditionalFormatting sqref="D305:D312 D314:D321">
    <cfRule type="expression" dxfId="1221" priority="435">
      <formula>wld_host_overlay_addressing_chosen="DHCP"</formula>
    </cfRule>
  </conditionalFormatting>
  <conditionalFormatting sqref="D309:D310">
    <cfRule type="expression" dxfId="1220" priority="569">
      <formula>wld_domain_result="Excluded"</formula>
    </cfRule>
  </conditionalFormatting>
  <conditionalFormatting sqref="D312">
    <cfRule type="expression" dxfId="1219" priority="20">
      <formula>wld_nsx_vlan_transport_zone_chosen="Unselected"</formula>
    </cfRule>
  </conditionalFormatting>
  <conditionalFormatting sqref="D314:D321 D307:D312">
    <cfRule type="expression" dxfId="1218" priority="181">
      <formula>input_wld_az1_host_overlay_new_pool_chosen="Re-use an existing Pool"</formula>
    </cfRule>
  </conditionalFormatting>
  <conditionalFormatting sqref="D319:D321">
    <cfRule type="expression" dxfId="1217" priority="4">
      <formula>AND((wld_cl01_vds_profile_chosen="Storage Traffic and NSX Traffic Separation"),(wld_cl01_vds03_link_type_chosen="VDS Lag"))</formula>
    </cfRule>
    <cfRule type="expression" dxfId="1216" priority="5">
      <formula>AND((wld_cl01_vds_profile_chosen="Storage Traffic Separation"),(wld_cl01_vds01_link_type_chosen="VDS Lag"))</formula>
    </cfRule>
    <cfRule type="expression" dxfId="1215" priority="2">
      <formula>AND((wld_cl01_vds_profile_chosen="Default"),(wld_cl01_vds01_link_type_chosen="VDS Lag"))</formula>
    </cfRule>
    <cfRule type="expression" dxfId="1214" priority="3">
      <formula>AND((wld_cl01_vds_profile_chosen="NSX Traffic Separation"),(wld_cl01_vds02_link_type_chosen="VDS Lag"))</formula>
    </cfRule>
  </conditionalFormatting>
  <conditionalFormatting sqref="D321">
    <cfRule type="expression" dxfId="1213" priority="192" stopIfTrue="1">
      <formula>wld_domain_result="Excluded"</formula>
    </cfRule>
  </conditionalFormatting>
  <conditionalFormatting sqref="D326:D329 D331:D336">
    <cfRule type="expression" dxfId="1212" priority="606">
      <formula>wld_domain_result="Excluded"</formula>
    </cfRule>
  </conditionalFormatting>
  <conditionalFormatting sqref="D330">
    <cfRule type="expression" dxfId="1211" priority="265">
      <formula>mgmt_domain_existing_vcenter_chosen="Selected"</formula>
    </cfRule>
  </conditionalFormatting>
  <conditionalFormatting sqref="D346">
    <cfRule type="notContainsBlanks" dxfId="1209" priority="42">
      <formula>LEN(TRIM(D346))&gt;0</formula>
    </cfRule>
    <cfRule type="containsBlanks" dxfId="1208" priority="40">
      <formula>LEN(TRIM(D346))=0</formula>
    </cfRule>
  </conditionalFormatting>
  <conditionalFormatting sqref="D347">
    <cfRule type="notContainsBlanks" dxfId="1207" priority="34">
      <formula>LEN(TRIM(D347))&gt;0</formula>
    </cfRule>
    <cfRule type="expression" dxfId="1206" priority="28">
      <formula>mgmt_domain_deployment_type_chosen="VMware vSphere Foundation"</formula>
    </cfRule>
    <cfRule type="containsBlanks" dxfId="1205" priority="33">
      <formula>LEN(TRIM(D347))=0</formula>
    </cfRule>
  </conditionalFormatting>
  <conditionalFormatting sqref="D348:D349">
    <cfRule type="notContainsBlanks" dxfId="1203" priority="38">
      <formula>LEN(TRIM(D348))&gt;0</formula>
    </cfRule>
    <cfRule type="containsBlanks" dxfId="1201" priority="36">
      <formula>LEN(TRIM(D348))=0</formula>
    </cfRule>
  </conditionalFormatting>
  <conditionalFormatting sqref="D357">
    <cfRule type="expression" dxfId="1200" priority="511">
      <formula>input_mgmt_principal_storage_chosen="VMFS on Fibre Channel (FC)"</formula>
    </cfRule>
    <cfRule type="expression" dxfId="1199" priority="512">
      <formula>mgmt_domain_existing_vcenter_chosen="Selected"</formula>
    </cfRule>
    <cfRule type="containsBlanks" dxfId="1197" priority="514">
      <formula>LEN(TRIM(D357))=0</formula>
    </cfRule>
  </conditionalFormatting>
  <conditionalFormatting sqref="D364 D340">
    <cfRule type="expression" dxfId="1196" priority="541">
      <formula>mgmt_domain_existing_vcenter_chosen="Selected"</formula>
    </cfRule>
  </conditionalFormatting>
  <conditionalFormatting sqref="D364 D357">
    <cfRule type="notContainsBlanks" dxfId="1195" priority="543">
      <formula>LEN(TRIM(D357))&gt;0</formula>
    </cfRule>
  </conditionalFormatting>
  <conditionalFormatting sqref="D364">
    <cfRule type="containsBlanks" dxfId="1194" priority="544">
      <formula>LEN(TRIM(D364))=0</formula>
    </cfRule>
    <cfRule type="expression" dxfId="1192" priority="540">
      <formula>input_mgmt_principal_storage_chosen="VMFS on Fibre Channel (FC)"</formula>
    </cfRule>
  </conditionalFormatting>
  <conditionalFormatting sqref="D380:D395">
    <cfRule type="notContainsBlanks" dxfId="1191" priority="263">
      <formula>LEN(TRIM(D380))&gt;0</formula>
    </cfRule>
    <cfRule type="containsBlanks" dxfId="1190" priority="261">
      <formula>LEN(TRIM(D380))=0</formula>
    </cfRule>
  </conditionalFormatting>
  <conditionalFormatting sqref="D10:E10">
    <cfRule type="expression" dxfId="1188" priority="180">
      <formula>AND((wld_domain_chosen&lt;&gt;"Exclude"),(wld_domain_result="Excluded"))</formula>
    </cfRule>
  </conditionalFormatting>
  <conditionalFormatting sqref="D11:E11 B11">
    <cfRule type="expression" dxfId="1187" priority="49">
      <formula>$E$11="Cause: Minimum number of hosts for storage type not selected"</formula>
    </cfRule>
  </conditionalFormatting>
  <conditionalFormatting sqref="D11:E11">
    <cfRule type="expression" dxfId="1186" priority="16">
      <formula>$E$11="Cause Number of Racks not selected"</formula>
    </cfRule>
  </conditionalFormatting>
  <conditionalFormatting sqref="E11">
    <cfRule type="expression" dxfId="1183" priority="172">
      <formula>vcf_version_result="Excluded"</formula>
    </cfRule>
  </conditionalFormatting>
  <conditionalFormatting sqref="E15">
    <cfRule type="expression" dxfId="1182" priority="58">
      <formula>AND((cluster_secondary_storage_chosen&lt;&gt;"Exclude"),(cluster_secondary_storage_result="Excluded"))</formula>
    </cfRule>
  </conditionalFormatting>
  <conditionalFormatting sqref="E120:E135">
    <cfRule type="expression" dxfId="1180" priority="1196">
      <formula>OR((wld_vlcm_model_result="Excluded"),(wld_vlcm_model_chosen="Baselines"))</formula>
    </cfRule>
  </conditionalFormatting>
  <dataValidations count="29">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04"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97 D234 D320:D321 D328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98" xr:uid="{BE00C3CF-0EC7-3747-924D-1005FFC1B4A5}">
      <formula1>"Standard,Enhanced Datapath Standard,Enhanced Datapath Dedicated"</formula1>
    </dataValidation>
    <dataValidation type="list" allowBlank="1" showInputMessage="1" showErrorMessage="1" sqref="D319" xr:uid="{F83EFE87-B6BC-5B43-B9E6-363D1FF8D82A}">
      <formula1>"Load Balance Source,Failover Order,Load Balance Source MAC Address"</formula1>
    </dataValidation>
    <dataValidation type="list" allowBlank="1" showInputMessage="1" showErrorMessage="1" sqref="D273 D278 D283 D288 D293"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74:D275 D279:D280 D284:D285 D289:D290 D294:D295" xr:uid="{BB7A99B6-B8E2-294A-94C3-B85D84BE5402}">
      <formula1>"Active,Standby,Unused"</formula1>
    </dataValidation>
    <dataValidation type="list" allowBlank="1" showInputMessage="1" showErrorMessage="1" sqref="C278"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05"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99:D300"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 type="list" allowBlank="1" showInputMessage="1" showErrorMessage="1" sqref="D241 D252 D263" xr:uid="{3BD18319-FA0D-AE40-8167-7F1880082CD2}">
      <formula1>"VDS Uplinks, VDS LAG"</formula1>
    </dataValidation>
    <dataValidation type="list" allowBlank="1" showInputMessage="1" showErrorMessage="1" sqref="D244 D255 D266" xr:uid="{12A1A6EA-2AB4-2E49-A69A-2230A1640E6A}">
      <formula1>lag_load_balancing</formula1>
    </dataValidation>
    <dataValidation type="list" allowBlank="1" showInputMessage="1" showErrorMessage="1" sqref="D243 D254 D265" xr:uid="{C087399E-F9C0-604F-BD5E-2F7DC58E9CD7}">
      <formula1>"Active,Passive"</formula1>
    </dataValidation>
    <dataValidation type="list" allowBlank="1" showInputMessage="1" showErrorMessage="1" sqref="D245 D256 D267" xr:uid="{4AB0891C-451C-E744-9F77-65F0EB53197F}">
      <formula1>"Slow,Fast"</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71"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D239:D270 D278:D280 D297:D300 D302:D312 D314:D321 D326:D329 D331:D336 D341:D344 D349 D351:D356 D358:D363 D365:D370 D373 D375:D378</xm:sqref>
        </x14:conditionalFormatting>
        <x14:conditionalFormatting xmlns:xm="http://schemas.microsoft.com/office/excel/2006/main">
          <x14:cfRule type="containsText" priority="464"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48"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88"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47" operator="containsText" id="{35D48073-BC1D-5F4B-9122-E2D774E9C5F2}">
            <xm:f>NOT(ISERROR(SEARCH("Value Missing",D272)))</xm:f>
            <xm:f>"Value Missing"</xm:f>
            <x14:dxf>
              <fill>
                <patternFill>
                  <bgColor rgb="FFFFBE29"/>
                </patternFill>
              </fill>
            </x14:dxf>
          </x14:cfRule>
          <xm:sqref>D272:D275</xm:sqref>
        </x14:conditionalFormatting>
        <x14:conditionalFormatting xmlns:xm="http://schemas.microsoft.com/office/excel/2006/main">
          <x14:cfRule type="containsText" priority="249" operator="containsText" id="{BA044D7F-9E71-9240-BF31-C51D76291FCF}">
            <xm:f>NOT(ISERROR(SEARCH("Value Missing",D277)))</xm:f>
            <xm:f>"Value Missing"</xm:f>
            <x14:dxf>
              <font>
                <color theme="1"/>
              </font>
              <fill>
                <patternFill>
                  <bgColor rgb="FFFFBE29"/>
                </patternFill>
              </fill>
            </x14:dxf>
          </x14:cfRule>
          <xm:sqref>D277</xm:sqref>
        </x14:conditionalFormatting>
        <x14:conditionalFormatting xmlns:xm="http://schemas.microsoft.com/office/excel/2006/main">
          <x14:cfRule type="containsText" priority="243" operator="containsText" id="{A00CB58A-0D87-E848-9778-9AB37B5B2B62}">
            <xm:f>NOT(ISERROR(SEARCH("Value Missing",D282)))</xm:f>
            <xm:f>"Value Missing"</xm:f>
            <x14:dxf>
              <fill>
                <patternFill>
                  <bgColor rgb="FFFFBE29"/>
                </patternFill>
              </fill>
            </x14:dxf>
          </x14:cfRule>
          <xm:sqref>D282:D285</xm:sqref>
        </x14:conditionalFormatting>
        <x14:conditionalFormatting xmlns:xm="http://schemas.microsoft.com/office/excel/2006/main">
          <x14:cfRule type="containsText" priority="240" operator="containsText" id="{6FFD0C25-8BE2-5347-9C99-40B2ED3B1F3C}">
            <xm:f>NOT(ISERROR(SEARCH("Value Missing",D287)))</xm:f>
            <xm:f>"Value Missing"</xm:f>
            <x14:dxf>
              <fill>
                <patternFill>
                  <bgColor rgb="FFFFBE29"/>
                </patternFill>
              </fill>
            </x14:dxf>
          </x14:cfRule>
          <xm:sqref>D287:D290 D292:D295</xm:sqref>
        </x14:conditionalFormatting>
        <x14:conditionalFormatting xmlns:xm="http://schemas.microsoft.com/office/excel/2006/main">
          <x14:cfRule type="containsText" priority="41" operator="containsText" id="{79E1736D-9BD8-F749-92AA-E3FB2D10062E}">
            <xm:f>NOT(ISERROR(SEARCH("Value Missing",D346)))</xm:f>
            <xm:f>"Value Missing"</xm:f>
            <x14:dxf>
              <font>
                <color theme="1"/>
              </font>
              <fill>
                <patternFill>
                  <bgColor rgb="FFFFBE29"/>
                </patternFill>
              </fill>
            </x14:dxf>
          </x14:cfRule>
          <xm:sqref>D346</xm:sqref>
        </x14:conditionalFormatting>
        <x14:conditionalFormatting xmlns:xm="http://schemas.microsoft.com/office/excel/2006/main">
          <x14:cfRule type="containsText" priority="32" operator="containsText" id="{0D9B1FEE-ADF1-274D-9B0B-A60A5D72D714}">
            <xm:f>NOT(ISERROR(SEARCH("Value Missing",D347)))</xm:f>
            <xm:f>"Value Missing"</xm:f>
            <x14:dxf>
              <font>
                <color theme="1"/>
              </font>
              <fill>
                <patternFill>
                  <bgColor rgb="FFFFBE29"/>
                </patternFill>
              </fill>
            </x14:dxf>
          </x14:cfRule>
          <xm:sqref>D347</xm:sqref>
        </x14:conditionalFormatting>
        <x14:conditionalFormatting xmlns:xm="http://schemas.microsoft.com/office/excel/2006/main">
          <x14:cfRule type="containsText" priority="37" operator="containsText" id="{3CFB8FD4-19FE-014B-8F2C-336C95E92B0B}">
            <xm:f>NOT(ISERROR(SEARCH("Value Missing",D348)))</xm:f>
            <xm:f>"Value Missing"</xm:f>
            <x14:dxf>
              <font>
                <color theme="1"/>
              </font>
              <fill>
                <patternFill>
                  <bgColor rgb="FFFFBE29"/>
                </patternFill>
              </fill>
            </x14:dxf>
          </x14:cfRule>
          <xm:sqref>D348:D349</xm:sqref>
        </x14:conditionalFormatting>
        <x14:conditionalFormatting xmlns:xm="http://schemas.microsoft.com/office/excel/2006/main">
          <x14:cfRule type="containsText" priority="513" stopIfTrue="1" operator="containsText" id="{90F7590E-4447-E241-8E55-3945C5247009}">
            <xm:f>NOT(ISERROR(SEARCH("Value Missing",D357)))</xm:f>
            <xm:f>"Value Missing"</xm:f>
            <x14:dxf>
              <font>
                <color rgb="FF0E223A"/>
              </font>
              <fill>
                <patternFill>
                  <bgColor rgb="FFFFBE29"/>
                </patternFill>
              </fill>
            </x14:dxf>
          </x14:cfRule>
          <xm:sqref>D357</xm:sqref>
        </x14:conditionalFormatting>
        <x14:conditionalFormatting xmlns:xm="http://schemas.microsoft.com/office/excel/2006/main">
          <x14:cfRule type="containsText" priority="542" stopIfTrue="1" operator="containsText" id="{179192EE-6811-0D4C-A396-53C1717ABC7F}">
            <xm:f>NOT(ISERROR(SEARCH("Value Missing",D364)))</xm:f>
            <xm:f>"Value Missing"</xm:f>
            <x14:dxf>
              <font>
                <color rgb="FF0E223A"/>
              </font>
              <fill>
                <patternFill>
                  <bgColor rgb="FFFFBE29"/>
                </patternFill>
              </fill>
            </x14:dxf>
          </x14:cfRule>
          <xm:sqref>D364</xm:sqref>
        </x14:conditionalFormatting>
        <x14:conditionalFormatting xmlns:xm="http://schemas.microsoft.com/office/excel/2006/main">
          <x14:cfRule type="containsText" priority="262" operator="containsText" id="{5FFCC205-222C-C24B-B5F6-082C59B24C76}">
            <xm:f>NOT(ISERROR(SEARCH("Value Missing",D380)))</xm:f>
            <xm:f>"Value Missing"</xm:f>
            <x14:dxf>
              <fill>
                <patternFill>
                  <bgColor rgb="FFFFBE29"/>
                </patternFill>
              </fill>
            </x14:dxf>
          </x14:cfRule>
          <xm:sqref>D380:D395</xm:sqref>
        </x14:conditionalFormatting>
        <x14:conditionalFormatting xmlns:xm="http://schemas.microsoft.com/office/excel/2006/main">
          <x14:cfRule type="containsText" priority="18"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76"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27"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U82"/>
  <sheetViews>
    <sheetView workbookViewId="0">
      <selection activeCell="E19" sqref="E19"/>
    </sheetView>
  </sheetViews>
  <sheetFormatPr defaultColWidth="10.875" defaultRowHeight="15" x14ac:dyDescent="0.2"/>
  <cols>
    <col min="1" max="1" width="45.875" style="8" bestFit="1" customWidth="1"/>
    <col min="2" max="2" width="25.125" style="8" bestFit="1" customWidth="1"/>
    <col min="3" max="3" width="15.5" style="8" bestFit="1" customWidth="1"/>
    <col min="4" max="4" width="11.875" style="8" bestFit="1" customWidth="1"/>
    <col min="5" max="15" width="10.875" style="8" customWidth="1"/>
    <col min="16" max="16" width="26.125" style="8" customWidth="1"/>
    <col min="17" max="17" width="14.375" style="8" bestFit="1" customWidth="1"/>
    <col min="18" max="18" width="15.5" style="8" bestFit="1" customWidth="1"/>
    <col min="19" max="19" width="21.125" style="8" bestFit="1" customWidth="1"/>
    <col min="20" max="21" width="10.875" style="8" customWidth="1"/>
    <col min="22" max="16384" width="10.875" style="8"/>
  </cols>
  <sheetData>
    <row r="1" spans="1:19" ht="15.75" x14ac:dyDescent="0.25">
      <c r="A1" s="323" t="s">
        <v>1347</v>
      </c>
    </row>
    <row r="2" spans="1:19" x14ac:dyDescent="0.2">
      <c r="A2" s="8" t="s">
        <v>1348</v>
      </c>
      <c r="B2" s="329">
        <v>1822</v>
      </c>
    </row>
    <row r="3" spans="1:19" x14ac:dyDescent="0.2">
      <c r="A3" s="8" t="s">
        <v>1349</v>
      </c>
      <c r="B3" s="8"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19" x14ac:dyDescent="0.2">
      <c r="A4" s="8" t="s">
        <v>1350</v>
      </c>
      <c r="B4" s="8" t="str">
        <f>IF(flt_custom_network_chosen="Shared Management Network",IF(mgmt_dpg_reuse_result="Included",CONCATENATE(prefix_mgmt_az1_cidr,"10.0"),CONCATENATE(prefix_mgmt_az1_cidr,"11.0")),IF(flt_custom_network_chosen="Overlay",CONCATENATE(prefix_xreg_cidr,".0"),CONCATENATE(prefix_flt_shared_cidr,".0")))</f>
        <v>10.11.10.0</v>
      </c>
    </row>
    <row r="5" spans="1:19" x14ac:dyDescent="0.2">
      <c r="A5" s="8" t="s">
        <v>1351</v>
      </c>
      <c r="B5" s="8" t="str">
        <f>IF(flt_custom_network_chosen="Shared Management Network",IF(mgmt_dpg_reuse_result="Included",CONCATENATE(prefix_mgmt_az1_cidr,"10.1"),CONCATENATE(prefix_mgmt_az1_cidr,"11.1")),IF(flt_custom_network_chosen="Overlay",CONCATENATE(prefix_xreg_cidr,".1"),CONCATENATE(prefix_flt_shared_cidr,".1")))</f>
        <v>10.11.10.1</v>
      </c>
      <c r="P5" s="8" t="s">
        <v>1352</v>
      </c>
    </row>
    <row r="6" spans="1:19" x14ac:dyDescent="0.2">
      <c r="A6" s="8" t="s">
        <v>1353</v>
      </c>
      <c r="B6" s="8" t="s">
        <v>612</v>
      </c>
      <c r="P6" s="8" t="s">
        <v>1354</v>
      </c>
      <c r="Q6" s="8" t="s">
        <v>1355</v>
      </c>
      <c r="R6" s="8" t="s">
        <v>1356</v>
      </c>
    </row>
    <row r="7" spans="1:19" ht="18" x14ac:dyDescent="0.2">
      <c r="A7" s="8" t="s">
        <v>1357</v>
      </c>
      <c r="B7" s="8">
        <v>1500</v>
      </c>
      <c r="P7" s="408" t="s">
        <v>1358</v>
      </c>
      <c r="Q7" s="409"/>
      <c r="R7" s="409"/>
      <c r="S7" s="410"/>
    </row>
    <row r="8" spans="1:19" x14ac:dyDescent="0.2">
      <c r="A8" s="8" t="s">
        <v>1359</v>
      </c>
      <c r="B8" s="8" t="str">
        <f>CONCATENATE(MID(B5, FIND(".",B5)+1, FIND(".",B5,FIND(".",B5)+1) - FIND(".",B5) - 1),MID(B5, FIND(".", B5, FIND(".", B5)+1)+1, FIND(".", B5, FIND(".", B5, FIND(".", B5)+1)+1) - (FIND(".", B5, FIND(".", B5)+1)+1) ))</f>
        <v>1110</v>
      </c>
      <c r="P8" s="80" t="str">
        <f>IF(mgmt_vcf_management_network_chosen="Use VM management network",IF(mgmt_dpg_reuse_result="Included",CONCATENATE(prefix_mgmt_az1_cidr,"10.50"),CONCATENATE(prefix_mgmt_az1_cidr,"11.50")),CONCATENATE(prefix_flt_shared_cidr,".50"))</f>
        <v>10.11.10.50</v>
      </c>
      <c r="Q8" s="347"/>
      <c r="R8" s="241" t="str">
        <f>IF(ISBLANK(input_xreg_vra_nodee_ip),"Value Missing",input_xreg_vra_nodee_ip)</f>
        <v>Value Missing</v>
      </c>
    </row>
    <row r="9" spans="1:19" x14ac:dyDescent="0.2">
      <c r="A9" s="8" t="str">
        <f>CONCATENATE(this_instance,"-m01-cl01-vds01-pg-vcf-mgmt")</f>
        <v>sfo-m01-cl01-vds01-pg-vcf-mgmt</v>
      </c>
      <c r="B9" s="347"/>
      <c r="C9" s="241" t="str">
        <f>IF(ISBLANK(input_mgmt_cl01_az1_vcf_mgmt_pg),"Value Missing",input_mgmt_cl01_az1_vcf_mgmt_pg)</f>
        <v>Value Missing</v>
      </c>
      <c r="P9" s="80" t="str">
        <f>IF(mgmt_vcf_management_network_chosen="Use VM management network",IF(mgmt_dpg_reuse_result="Included",CONCATENATE(prefix_mgmt_az1_cidr,"10.51"),CONCATENATE(prefix_mgmt_az1_cidr,"11.51")),CONCATENATE(prefix_flt_shared_cidr,".51"))</f>
        <v>10.11.10.51</v>
      </c>
      <c r="Q9" s="347"/>
      <c r="R9" s="241" t="str">
        <f>IF(ISBLANK(input_xreg_vra_nodef_ip),"Value Missing",input_xreg_vra_nodef_ip)</f>
        <v>Value Missing</v>
      </c>
    </row>
    <row r="10" spans="1:19" ht="18" x14ac:dyDescent="0.25">
      <c r="A10" s="323" t="s">
        <v>1360</v>
      </c>
      <c r="P10" s="408" t="s">
        <v>1361</v>
      </c>
      <c r="Q10" s="409"/>
      <c r="R10" s="409"/>
      <c r="S10" s="410"/>
    </row>
    <row r="11" spans="1:19" ht="15.75" x14ac:dyDescent="0.2">
      <c r="A11" s="4" t="s">
        <v>1362</v>
      </c>
      <c r="B11" s="80" t="str">
        <f>CONCATENATE(this_instance,".rainpole.io")</f>
        <v>sfo.rainpole.io</v>
      </c>
      <c r="C11" s="347"/>
      <c r="P11"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1" s="347"/>
      <c r="R11" s="241" t="str">
        <f>IF(ISBLANK(input_flt_custom_network_auto_nodee_ip),"Value Missing",input_flt_custom_network_auto_nodee_ip)</f>
        <v>Value Missing</v>
      </c>
    </row>
    <row r="12" spans="1:19" ht="15.75" x14ac:dyDescent="0.2">
      <c r="A12" s="4" t="s">
        <v>1363</v>
      </c>
      <c r="B12" s="80" t="str">
        <f>CONCATENATE(other_instance,".rainpole.io")</f>
        <v>lax.rainpole.io</v>
      </c>
      <c r="C12" s="347"/>
      <c r="P12"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2" s="347"/>
      <c r="R12" s="241" t="str">
        <f>IF(ISBLANK(input_flt_custom_network_auto_nodef_ip),"Value Missing",input_flt_custom_network_auto_nodef_ip)</f>
        <v>Value Missing</v>
      </c>
    </row>
    <row r="13" spans="1:19" ht="18" x14ac:dyDescent="0.2">
      <c r="A13" s="4" t="s">
        <v>1364</v>
      </c>
      <c r="B13" s="80" t="str">
        <f>IF(mgmt_dpg_reuse_result="Included",CONCATENATE(prefix_mgmt_az1_cidr,"10.4"),CONCATENATE(prefix_mgmt_az1_cidr,"11.4"))</f>
        <v>10.11.10.4</v>
      </c>
      <c r="C13" s="347"/>
      <c r="P13" s="408" t="s">
        <v>1013</v>
      </c>
      <c r="Q13" s="409"/>
      <c r="R13" s="409"/>
      <c r="S13" s="410"/>
    </row>
    <row r="14" spans="1:19" ht="15.75" x14ac:dyDescent="0.2">
      <c r="A14" s="4" t="s">
        <v>1365</v>
      </c>
      <c r="B14" s="80" t="str">
        <f>IF(mgmt_dpg_reuse_result="Included",CONCATENATE(prefix_mgmt_az1_cidr,"10.5"),CONCATENATE(prefix_mgmt_az1_cidr,"11.5"))</f>
        <v>10.11.10.5</v>
      </c>
      <c r="C14" s="347"/>
      <c r="P14"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4" s="347"/>
      <c r="R14" s="241" t="str">
        <f>IF(ISBLANK(input_vcf_automation_nodee_ip),"Value Missing",input_vcf_automation_nodee_ip)</f>
        <v>Value Missing</v>
      </c>
    </row>
    <row r="15" spans="1:19" ht="15.75" x14ac:dyDescent="0.2">
      <c r="A15" s="4" t="s">
        <v>1366</v>
      </c>
      <c r="B15" s="80" t="str">
        <f>CONCATENATE(this_instance,"-ad01")</f>
        <v>sfo-ad01</v>
      </c>
      <c r="C15" s="347"/>
      <c r="P15"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5" s="347"/>
      <c r="R15" s="241" t="str">
        <f>IF(ISBLANK(input_vcf_automation_nodef_ip),"Value Missing",input_vcf_automation_nodef_ip)</f>
        <v>Value Missing</v>
      </c>
    </row>
    <row r="16" spans="1:19" ht="18" x14ac:dyDescent="0.2">
      <c r="A16" s="4" t="s">
        <v>1367</v>
      </c>
      <c r="B16" s="80" t="s">
        <v>1368</v>
      </c>
      <c r="C16" s="347"/>
      <c r="P16" s="408" t="s">
        <v>1369</v>
      </c>
      <c r="Q16" s="409"/>
      <c r="R16" s="409"/>
      <c r="S16" s="410"/>
    </row>
    <row r="17" spans="1:20" ht="15.75" x14ac:dyDescent="0.2">
      <c r="A17" s="4" t="s">
        <v>1370</v>
      </c>
      <c r="B17" s="80">
        <v>25</v>
      </c>
      <c r="C17" s="347"/>
      <c r="P17" s="80" t="str">
        <f>IF(mgmt_dpg_reuse_result="Included",CONCATENATE(prefix_mgmt_az1_cidr,"10.75"),CONCATENATE(prefix_mgmt_az1_cidr,"11.75"))</f>
        <v>10.11.10.75</v>
      </c>
      <c r="Q17" s="347"/>
      <c r="R17" s="241" t="str">
        <f>IF(ISBLANK(input_mgmt_az1_en1_mgmt_ip),"Value Missing",input_mgmt_az1_en1_mgmt_ip)</f>
        <v>Value Missing</v>
      </c>
    </row>
    <row r="18" spans="1:20" ht="15.75" x14ac:dyDescent="0.2">
      <c r="A18" s="4" t="s">
        <v>1371</v>
      </c>
      <c r="B18" s="80" t="str">
        <f>CONCATENATE("ntp.",this_instance,".rainpole.io")</f>
        <v>ntp.sfo.rainpole.io</v>
      </c>
      <c r="C18" s="347"/>
      <c r="P18" s="80" t="str">
        <f>IF(mgmt_dpg_reuse_result="Included",CONCATENATE(prefix_mgmt_az1_cidr,"10.76"),CONCATENATE(prefix_mgmt_az1_cidr,"11.76"))</f>
        <v>10.11.10.76</v>
      </c>
      <c r="Q18" s="347"/>
      <c r="R18" s="241" t="str">
        <f>IF(ISBLANK(input_mgmt_az1_en2_mgmt_ip),"Value Missing",input_mgmt_az1_en2_mgmt_ip)</f>
        <v>Value Missing</v>
      </c>
    </row>
    <row r="19" spans="1:20" ht="15.75" x14ac:dyDescent="0.2">
      <c r="A19" s="4" t="s">
        <v>1372</v>
      </c>
      <c r="B19" s="80" t="str">
        <f>CONCATENATE("ntp.",other_instance,".rainpole.io")</f>
        <v>ntp.lax.rainpole.io</v>
      </c>
      <c r="C19" s="241"/>
      <c r="P19" s="80" t="str">
        <f>IF(wld_dpg_separation_result="Included",CONCATENATE(prefix_wld_az1_cidr,"10.135"),CONCATENATE(prefix_wld_az1_cidr,"11.135"))</f>
        <v>10.13.10.135</v>
      </c>
      <c r="Q19" s="347"/>
      <c r="R19" s="241" t="str">
        <f>IF(ISBLANK(input_wld_az1_en1_mgmt_ip),"Value Missing",input_wld_az1_en1_mgmt_ip)</f>
        <v>Value Missing</v>
      </c>
    </row>
    <row r="20" spans="1:20" x14ac:dyDescent="0.2">
      <c r="A20" s="2"/>
      <c r="B20" s="9" t="str">
        <f>CONCATENATE(prefix_wld_az1_rack_cidr,"23.0/24")</f>
        <v>10.13.23.0/24</v>
      </c>
      <c r="C20" s="347"/>
      <c r="P20" s="80" t="str">
        <f>IF(wld_dpg_separation_result="Included",CONCATENATE(prefix_wld_az1_cidr,"10.136"),CONCATENATE(prefix_wld_az1_cidr,"11.136"))</f>
        <v>10.13.10.136</v>
      </c>
      <c r="Q20" s="347"/>
      <c r="R20" s="241" t="str">
        <f>IF(ISBLANK(input_wld_az1_en2_mgmt_ip),"Value Missing",input_wld_az1_en2_mgmt_ip)</f>
        <v>Value Missing</v>
      </c>
    </row>
    <row r="21" spans="1:20" ht="18" x14ac:dyDescent="0.2">
      <c r="A21" s="2"/>
      <c r="B21" s="9" t="str">
        <f>CONCATENATE(prefix_wld_az1_rack_cidr,"24.0/24")</f>
        <v>10.13.24.0/24</v>
      </c>
      <c r="C21" s="347"/>
      <c r="P21" s="408" t="s">
        <v>1373</v>
      </c>
      <c r="Q21" s="409"/>
      <c r="R21" s="409"/>
      <c r="S21" s="410"/>
    </row>
    <row r="22" spans="1:20" x14ac:dyDescent="0.2">
      <c r="A22" s="2"/>
      <c r="B22" s="9" t="str">
        <f>CONCATENATE(prefix_wld_az1_rack_cidr,"26.0/24")</f>
        <v>10.13.26.0/24</v>
      </c>
      <c r="C22" s="347"/>
      <c r="P22" s="33" t="str">
        <f>IF(mgmt_vcf_management_network_chosen="Use VM management network",IF(mgmt_dpg_reuse_result="Included",CONCATENATE(prefix_mgmt_az1_cidr,"10.22"),CONCATENATE(prefix_mgmt_az1_cidr,"11.22")),CONCATENATE(prefix_flt_shared_cidr,".22"))</f>
        <v>10.11.10.22</v>
      </c>
      <c r="Q22" s="347"/>
      <c r="R22" s="241" t="str">
        <f>IF(ISBLANK(input_flt_lc_ip),"Value Missing",input_flt_lc_ip)</f>
        <v>Value Missing</v>
      </c>
      <c r="S22" s="8" t="s">
        <v>1374</v>
      </c>
    </row>
    <row r="23" spans="1:20" x14ac:dyDescent="0.2">
      <c r="A23" s="2"/>
      <c r="B23" s="9" t="str">
        <f>CONCATENATE(prefix_wld_az1_rack_cidr,"25.0/24")</f>
        <v>10.13.25.0/24</v>
      </c>
      <c r="C23" s="347"/>
      <c r="P23" s="33" t="str">
        <f>IF(mgmt_vcf_management_network_chosen="Use VM management network",IF(mgmt_dpg_reuse_result="Included",CONCATENATE(prefix_mgmt_az1_cidr,"10.10"),CONCATENATE(prefix_mgmt_az1_cidr,"11.10")),CONCATENATE(prefix_flt_shared_cidr,".10"))</f>
        <v>10.11.10.10</v>
      </c>
      <c r="Q23" s="347"/>
      <c r="R23" s="241" t="str">
        <f>IF(ISBLANK(input_flt_sr_ip),"Value Missing",input_flt_sr_ip)</f>
        <v>Value Missing</v>
      </c>
      <c r="S23" s="8" t="s">
        <v>1375</v>
      </c>
    </row>
    <row r="24" spans="1:20" x14ac:dyDescent="0.2">
      <c r="A24" s="2"/>
      <c r="B24" s="9" t="str">
        <f>CONCATENATE(prefix_wld_az1_rack_cidr,"34.0/24")</f>
        <v>10.13.34.0/24</v>
      </c>
      <c r="C24" s="347"/>
      <c r="P24" s="33" t="str">
        <f>IF(mgmt_vcf_management_network_chosen="Use VM management network",IF(mgmt_dpg_reuse_result="Included",CONCATENATE(prefix_mgmt_az1_cidr,"10.11"),CONCATENATE(prefix_mgmt_az1_cidr,"11.11")),CONCATENATE(prefix_flt_shared_cidr,".11"))</f>
        <v>10.11.10.11</v>
      </c>
      <c r="Q24" s="347"/>
      <c r="R24" s="241" t="str">
        <f>IF(ISBLANK(input_flt_ic_ip),"Value Missing",input_flt_ic_ip)</f>
        <v>Value Missing</v>
      </c>
      <c r="S24" s="8" t="s">
        <v>1376</v>
      </c>
    </row>
    <row r="25" spans="1:20" x14ac:dyDescent="0.2">
      <c r="A25" s="2"/>
      <c r="B25" s="9" t="str">
        <f>CONCATENATE(prefix_wld_az1_rack_cidr,"35.0/24")</f>
        <v>10.13.35.0/24</v>
      </c>
      <c r="C25" s="347"/>
      <c r="P25" s="33" t="str">
        <f>IF(mgmt_vcf_management_network_chosen="Use VM management network",IF(mgmt_dpg_reuse_result="Included",CONCATENATE(prefix_mgmt_az1_cidr,"10.20"),CONCATENATE(prefix_mgmt_az1_cidr,"11.20")),CONCATENATE(prefix_flt_shared_cidr,".20"))</f>
        <v>10.11.10.20</v>
      </c>
      <c r="Q25" s="347"/>
      <c r="R25" s="241" t="str">
        <f>IF(ISBLANK(input_flt_auto_sr_ip),"Value Missing",input_flt_auto_sr_ip)</f>
        <v>Value Missing</v>
      </c>
      <c r="S25" s="8" t="s">
        <v>1377</v>
      </c>
    </row>
    <row r="26" spans="1:20" x14ac:dyDescent="0.2">
      <c r="A26" s="2"/>
      <c r="B26" s="9" t="str">
        <f>CONCATENATE(prefix_wld_az1_rack_cidr,"37.0/24")</f>
        <v>10.13.37.0/24</v>
      </c>
      <c r="C26" s="347"/>
      <c r="P26" s="33" t="str">
        <f>IF(AND(mgmt_domain_ops_automation_later_chosen="Unselected",mgmt_vcf_management_network_chosen="Use VM management network"),IF(mgmt_dpg_reuse_result="Included",CONCATENATE(prefix_mgmt_az1_cidr,"10.24"),CONCATENATE(prefix_mgmt_az1_cidr,"11.24")),IF(flt_custom_network_chosen="Shared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Q26" s="347"/>
      <c r="R26" s="241" t="str">
        <f>IF(ISBLANK(input_flt_auto_sr_ip),"Value Missing",input_flt_auto_sr_ip)</f>
        <v>Value Missing</v>
      </c>
      <c r="S26" s="8" t="s">
        <v>1378</v>
      </c>
      <c r="T26" s="8" t="s">
        <v>1379</v>
      </c>
    </row>
    <row r="27" spans="1:20" ht="18" x14ac:dyDescent="0.2">
      <c r="A27" s="2"/>
      <c r="B27" s="9" t="str">
        <f>CONCATENATE(prefix_wld_az1_rack_cidr,"36.0/24")</f>
        <v>10.13.36.0/24</v>
      </c>
      <c r="C27" s="347"/>
      <c r="P27" s="340" t="s">
        <v>1380</v>
      </c>
      <c r="Q27" s="341"/>
      <c r="R27" s="341"/>
      <c r="S27" s="342"/>
    </row>
    <row r="28" spans="1:20" x14ac:dyDescent="0.2">
      <c r="A28" s="2"/>
      <c r="B28" s="9" t="str">
        <f>CONCATENATE(prefix_wld_az1_rack_cidr,"45.0/24")</f>
        <v>10.13.45.0/24</v>
      </c>
      <c r="C28" s="347"/>
      <c r="P28" s="33" t="str">
        <f>CONCATENATE(prefix_portable_component,"-lc01.",sample_parent_dns_zone)</f>
        <v>flt-lc01.rainpole.io</v>
      </c>
      <c r="Q28" s="347"/>
      <c r="R28" s="241" t="str">
        <f>IF(ISBLANK(input_flt_lc_fqdn),"Value Missing",input_flt_lc_fqdn)</f>
        <v>Value Missing</v>
      </c>
      <c r="S28" s="8" t="s">
        <v>1374</v>
      </c>
    </row>
    <row r="29" spans="1:20" x14ac:dyDescent="0.2">
      <c r="A29" s="2"/>
      <c r="B29" s="9" t="str">
        <f>CONCATENATE(prefix_wld_az1_rack_cidr,"46.0/24")</f>
        <v>10.13.46.0/24</v>
      </c>
      <c r="C29" s="347"/>
      <c r="P29" s="33" t="str">
        <f>CONCATENATE(this_instance,"-sr01.",sample_child_dns_zone)</f>
        <v>sfo-sr01.sfo.rainpole.io</v>
      </c>
      <c r="Q29" s="347"/>
      <c r="R29" s="241" t="str">
        <f>IF(ISBLANK(input_flt_sr_fqdn),"Value Missing",input_flt_sr_fqdn)</f>
        <v>Value Missing</v>
      </c>
      <c r="S29" s="8" t="s">
        <v>1375</v>
      </c>
    </row>
    <row r="30" spans="1:20" x14ac:dyDescent="0.2">
      <c r="A30" s="2"/>
      <c r="B30" s="9" t="str">
        <f>CONCATENATE(prefix_wld_az1_rack_cidr,"48.0/24")</f>
        <v>10.13.48.0/24</v>
      </c>
      <c r="C30" s="347"/>
      <c r="P30" s="33" t="str">
        <f>CONCATENATE(this_instance,"-ic01.",sample_child_dns_zone)</f>
        <v>sfo-ic01.sfo.rainpole.io</v>
      </c>
      <c r="Q30" s="347"/>
      <c r="R30" s="241" t="str">
        <f>IF(ISBLANK(input_flt_ic_fqdn),"Value Missing",input_flt_ic_fqdn)</f>
        <v>Value Missing</v>
      </c>
      <c r="S30" s="8" t="s">
        <v>1376</v>
      </c>
    </row>
    <row r="31" spans="1:20" x14ac:dyDescent="0.2">
      <c r="A31" s="2"/>
      <c r="B31" s="9" t="str">
        <f>CONCATENATE(prefix_wld_az1_rack_cidr,"47.0/24")</f>
        <v>10.13.47.0/24</v>
      </c>
      <c r="C31" s="347"/>
      <c r="P31" s="33" t="str">
        <f>CONCATENATE(prefix_portable_component,"-fc01.",sample_parent_dns_zone)</f>
        <v>flt-fc01.rainpole.io</v>
      </c>
      <c r="Q31" s="347"/>
      <c r="R31" s="241" t="str">
        <f>IF(ISBLANK(input_flt_fc_fqdn),"Value Missing",input_flt_fc_fqdn)</f>
        <v>Value Missing</v>
      </c>
      <c r="S31" s="8" t="s">
        <v>1377</v>
      </c>
    </row>
    <row r="32" spans="1:20" x14ac:dyDescent="0.2">
      <c r="A32" s="2"/>
      <c r="B32" s="9" t="str">
        <f>CONCATENATE(prefix_wld_az1_rack_cidr,"56.0/24")</f>
        <v>10.13.56.0/24</v>
      </c>
      <c r="C32" s="347"/>
      <c r="P32" s="33" t="s">
        <v>1381</v>
      </c>
      <c r="Q32" s="347"/>
      <c r="R32" s="241" t="str">
        <f>IF(ISBLANK(input_flt_auto_sr_fqdn),"Value Missing",input_flt_auto_sr_fqdn)</f>
        <v>Value Missing</v>
      </c>
      <c r="S32" s="8" t="s">
        <v>1378</v>
      </c>
    </row>
    <row r="33" spans="1:19" ht="18" x14ac:dyDescent="0.2">
      <c r="A33" s="2"/>
      <c r="B33" s="9" t="str">
        <f>CONCATENATE(prefix_wld_az1_rack_cidr,"57.0/24")</f>
        <v>10.13.57.0/24</v>
      </c>
      <c r="C33" s="347"/>
      <c r="P33" s="357" t="s">
        <v>1382</v>
      </c>
      <c r="Q33" s="357"/>
      <c r="R33" s="357"/>
      <c r="S33" s="357"/>
    </row>
    <row r="34" spans="1:19" ht="15.75" x14ac:dyDescent="0.2">
      <c r="A34" s="2"/>
      <c r="B34" s="9" t="str">
        <f>CONCATENATE(prefix_wld_az1_rack_cidr,"59.0/24")</f>
        <v>10.13.59.0/24</v>
      </c>
      <c r="C34" s="347"/>
      <c r="P34"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4" s="347"/>
      <c r="R34" s="241" t="str">
        <f>IF(ISBLANK(input_flt_auto_node_pool_start_ip),"Value Missing",input_flt_auto_node_pool_start_ip)</f>
        <v>Value Missing</v>
      </c>
      <c r="S34" s="4" t="s">
        <v>1383</v>
      </c>
    </row>
    <row r="35" spans="1:19" ht="15.75" x14ac:dyDescent="0.2">
      <c r="A35" s="2"/>
      <c r="B35" s="9" t="str">
        <f>CONCATENATE(prefix_wld_az1_rack_cidr,"58.0/24")</f>
        <v>10.13.58.0/24</v>
      </c>
      <c r="C35" s="347"/>
      <c r="P35"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5" s="347"/>
      <c r="R35" s="241" t="str">
        <f>IF(ISBLANK(input_flt_auto_node_pool_end_ip),"Value Missing",input_flt_auto_node_pool_end_ip)</f>
        <v>Value Missing</v>
      </c>
      <c r="S35" s="4" t="s">
        <v>1384</v>
      </c>
    </row>
    <row r="36" spans="1:19" ht="18" x14ac:dyDescent="0.2">
      <c r="A36" s="2"/>
      <c r="B36" s="9" t="str">
        <f>CONCATENATE(prefix_wld_az1_rack_cidr,"67.0/24")</f>
        <v>10.13.67.0/24</v>
      </c>
      <c r="C36" s="347"/>
      <c r="P36" s="357" t="s">
        <v>1382</v>
      </c>
      <c r="Q36" s="357"/>
      <c r="R36" s="357"/>
      <c r="S36" s="357"/>
    </row>
    <row r="37" spans="1:19" ht="15.75" x14ac:dyDescent="0.2">
      <c r="A37" s="2"/>
      <c r="B37" s="9" t="str">
        <f>CONCATENATE(prefix_wld_az1_rack_cidr,"68.0/24")</f>
        <v>10.13.68.0/24</v>
      </c>
      <c r="C37" s="347"/>
      <c r="P37"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7" s="347"/>
      <c r="R37" s="241" t="str">
        <f>IF(ISBLANK(input_xreg_vra_node_pool_start_ip),"Value Missing",input_xreg_vra_node_pool_start_ip)</f>
        <v>Value Missing</v>
      </c>
      <c r="S37" s="4" t="s">
        <v>1383</v>
      </c>
    </row>
    <row r="38" spans="1:19" ht="15.75" x14ac:dyDescent="0.2">
      <c r="A38" s="2"/>
      <c r="B38" s="9" t="str">
        <f>CONCATENATE(prefix_wld_az1_rack_cidr,"70.0/24")</f>
        <v>10.13.70.0/24</v>
      </c>
      <c r="C38" s="347"/>
      <c r="P38"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8" s="347"/>
      <c r="R38" s="241" t="str">
        <f>IF(ISBLANK(input_xreg_vra_node_pool_end_ip),"Value Missing",input_xreg_vra_node_pool_end_ip)</f>
        <v>Value Missing</v>
      </c>
      <c r="S38" s="4" t="s">
        <v>1384</v>
      </c>
    </row>
    <row r="39" spans="1:19" ht="18" x14ac:dyDescent="0.2">
      <c r="A39" s="2"/>
      <c r="B39" s="9" t="str">
        <f>CONCATENATE(prefix_wld_az1_rack_cidr,"69.0/24")</f>
        <v>10.13.69.0/24</v>
      </c>
      <c r="C39" s="347"/>
      <c r="P39" s="357" t="s">
        <v>1385</v>
      </c>
      <c r="Q39" s="357"/>
      <c r="R39" s="357"/>
      <c r="S39" s="357"/>
    </row>
    <row r="40" spans="1:19" ht="15.75" x14ac:dyDescent="0.2">
      <c r="A40" s="2"/>
      <c r="B40" s="9" t="str">
        <f>CONCATENATE(prefix_wld_az1_rack_cidr,"78.0/24")</f>
        <v>10.13.78.0/24</v>
      </c>
      <c r="C40" s="347"/>
      <c r="P40" s="33" t="str">
        <f>IF(mgmt_vcf_management_network_chosen="Use VM management network",IF(mgmt_dpg_reuse_result="Included",CONCATENATE(prefix_mgmt_az1_cidr,"10.31"),CONCATENATE(prefix_mgmt_az1_cidr,"11.31")),CONCATENATE(prefix_flt_shared_cidr,".31"))</f>
        <v>10.11.10.31</v>
      </c>
      <c r="Q40" s="347"/>
      <c r="R40" s="241" t="str">
        <f>IF(ISBLANK(input_flt_vcfms_node_pool_start_ip),"Value Missing",input_flt_vcfms_node_pool_start_ip)</f>
        <v>Value Missing</v>
      </c>
      <c r="S40" s="4" t="s">
        <v>1383</v>
      </c>
    </row>
    <row r="41" spans="1:19" ht="15.75" x14ac:dyDescent="0.2">
      <c r="A41" s="2"/>
      <c r="B41" s="9" t="str">
        <f>CONCATENATE(prefix_wld_az1_rack_cidr,"79.0/24")</f>
        <v>10.13.79.0/24</v>
      </c>
      <c r="C41" s="347"/>
      <c r="P41" s="33" t="str">
        <f>IF(mgmt_vcf_management_network_chosen="Use VM management network",IF(mgmt_dpg_reuse_result="Included",CONCATENATE(prefix_mgmt_az1_cidr,"10.45"),CONCATENATE(prefix_mgmt_az1_cidr,"11.45")),CONCATENATE(prefix_flt_shared_cidr,".45"))</f>
        <v>10.11.10.45</v>
      </c>
      <c r="Q41" s="347"/>
      <c r="R41" s="241" t="str">
        <f>IF(ISBLANK(input_flt_vcfms_node_pool_end_ip),"Value Missing",input_flt_vcfms_node_pool_end_ip)</f>
        <v>Value Missing</v>
      </c>
      <c r="S41" s="4" t="s">
        <v>1384</v>
      </c>
    </row>
    <row r="42" spans="1:19" x14ac:dyDescent="0.2">
      <c r="A42" s="2"/>
      <c r="B42" s="9" t="str">
        <f>CONCATENATE(prefix_wld_az1_rack_cidr,"81.0/24")</f>
        <v>10.13.81.0/24</v>
      </c>
      <c r="C42" s="347"/>
    </row>
    <row r="43" spans="1:19" x14ac:dyDescent="0.2">
      <c r="A43" s="2"/>
      <c r="B43" s="9" t="str">
        <f>CONCATENATE(prefix_wld_az1_rack_cidr,"80.0/24")</f>
        <v>10.13.80.0/24</v>
      </c>
      <c r="C43" s="347"/>
    </row>
    <row r="44" spans="1:19" x14ac:dyDescent="0.2">
      <c r="A44" s="2"/>
      <c r="B44" s="9" t="str">
        <f>CONCATENATE(prefix_wld_az1_rack_cidr,"89.0/24")</f>
        <v>10.13.89.0/24</v>
      </c>
      <c r="C44" s="347"/>
    </row>
    <row r="45" spans="1:19" x14ac:dyDescent="0.2">
      <c r="A45" s="2"/>
      <c r="B45" s="9" t="str">
        <f>CONCATENATE(prefix_wld_az1_rack_cidr,"90.0/24")</f>
        <v>10.13.90.0/24</v>
      </c>
      <c r="C45" s="347"/>
    </row>
    <row r="46" spans="1:19" x14ac:dyDescent="0.2">
      <c r="A46" s="2"/>
      <c r="B46" s="9" t="str">
        <f>CONCATENATE(prefix_wld_az1_rack_cidr,"92.0/24")</f>
        <v>10.13.92.0/24</v>
      </c>
      <c r="C46" s="347"/>
    </row>
    <row r="47" spans="1:19" x14ac:dyDescent="0.2">
      <c r="A47" s="2"/>
      <c r="B47" s="9" t="str">
        <f>CONCATENATE(prefix_wld_az1_rack_cidr,"91.0/24")</f>
        <v>10.13.91.0/24</v>
      </c>
      <c r="C47" s="347"/>
    </row>
    <row r="48" spans="1:19" x14ac:dyDescent="0.2">
      <c r="A48" s="2"/>
      <c r="B48" s="2"/>
      <c r="C48" s="2"/>
    </row>
    <row r="49" spans="1:21" x14ac:dyDescent="0.2">
      <c r="A49" s="2"/>
      <c r="B49" s="2" t="s">
        <v>1386</v>
      </c>
      <c r="C49" s="2" t="str">
        <f>IF(ISBLANK(input_mgmt_existing_active_nsx_gm),"Value Missing",input_mgmt_existing_active_nsx_gm)</f>
        <v>Value Missing</v>
      </c>
    </row>
    <row r="50" spans="1:21" x14ac:dyDescent="0.2">
      <c r="A50" s="2"/>
      <c r="B50" s="2" t="s">
        <v>1387</v>
      </c>
      <c r="C50" s="2" t="str">
        <f>IF(ISBLANK(input_mgmt_existing_cross_instance_t0_name),"Value Missing",input_mgmt_existing_cross_instance_t0_name)</f>
        <v>Value Missing</v>
      </c>
    </row>
    <row r="55" spans="1:21" ht="15.75" x14ac:dyDescent="0.25">
      <c r="B55" s="8" t="s">
        <v>1388</v>
      </c>
      <c r="C55" s="8" t="s">
        <v>1389</v>
      </c>
      <c r="E55" s="8" t="s">
        <v>1390</v>
      </c>
      <c r="F55" s="8" t="s">
        <v>1389</v>
      </c>
      <c r="H55" s="324" t="s">
        <v>1391</v>
      </c>
      <c r="I55" s="8" t="s">
        <v>1389</v>
      </c>
      <c r="K55" s="324" t="s">
        <v>1392</v>
      </c>
      <c r="L55" s="8" t="s">
        <v>1389</v>
      </c>
      <c r="N55" s="324" t="s">
        <v>1393</v>
      </c>
      <c r="O55" s="8" t="s">
        <v>1389</v>
      </c>
      <c r="T55" s="324" t="s">
        <v>1394</v>
      </c>
      <c r="U55" s="8" t="s">
        <v>1389</v>
      </c>
    </row>
    <row r="56" spans="1:21" x14ac:dyDescent="0.2">
      <c r="A56" s="8" t="s">
        <v>1395</v>
      </c>
      <c r="B56" s="8" t="str">
        <f>IF(cluster_wld_domain_chosen="VI Workload Domain",(CONCATENATE(prefix_wld_az1_vlan,"28")),(CONCATENATE(prefix_mgmt_az1_vlan,"28")))</f>
        <v>1328</v>
      </c>
      <c r="E56" s="8" t="str">
        <f>IF(cluster_wld_domain_chosen="VI Workload Domain",(CONCATENATE(prefix_wld_az1_vlan,"39")),(CONCATENATE(prefix_mgmt_az1_vlan,"39")))</f>
        <v>1339</v>
      </c>
      <c r="H56" s="8" t="str">
        <f>IF(cluster_wld_domain_chosen="VI Workload Domain",(CONCATENATE(prefix_wld_az1_vlan,"50")),(CONCATENATE(prefix_mgmt_az1_vlan,"50")))</f>
        <v>1350</v>
      </c>
      <c r="K56" s="8" t="str">
        <f>IF(cluster_wld_domain_chosen="VI Workload Domain",(CONCATENATE(prefix_wld_az1_vlan,"61")),(CONCATENATE(prefix_mgmt_az1_vlan,"61")))</f>
        <v>1361</v>
      </c>
      <c r="N56" s="8" t="str">
        <f>IF(cluster_wld_domain_chosen="VI Workload Domain",(CONCATENATE(prefix_wld_az1_vlan,"72")),(CONCATENATE(prefix_mgmt_az1_vlan,"72")))</f>
        <v>1372</v>
      </c>
      <c r="T56" s="8" t="str">
        <f>IF(cluster_wld_domain_chosen="VI Workload Domain",(CONCATENATE(prefix_wld_az1_vlan,"94")),(CONCATENATE(prefix_mgmt_az1_vlan,"94")))</f>
        <v>1394</v>
      </c>
    </row>
    <row r="57" spans="1:21" x14ac:dyDescent="0.2">
      <c r="A57" s="8" t="s">
        <v>1396</v>
      </c>
      <c r="B57" s="8" t="str">
        <f>IF(cluster_wld_domain_chosen="VI Workload Domain",(CONCATENATE(prefix_wld_az1_vlan,"29")),(CONCATENATE(prefix_mgmt_az1_vlan,"29")))</f>
        <v>1329</v>
      </c>
      <c r="E57" s="8" t="str">
        <f>IF(cluster_wld_domain_chosen="VI Workload Domain",(CONCATENATE(prefix_wld_az1_vlan,"40")),(CONCATENATE(prefix_mgmt_az1_vlan,"40")))</f>
        <v>1340</v>
      </c>
      <c r="H57" s="8" t="str">
        <f>IF(cluster_wld_domain_chosen="VI Workload Domain",(CONCATENATE(prefix_wld_az1_vlan,"51")),(CONCATENATE(prefix_mgmt_az1_vlan,"51")))</f>
        <v>1351</v>
      </c>
      <c r="K57" s="8" t="str">
        <f>IF(cluster_wld_domain_chosen="VI Workload Domain",(CONCATENATE(prefix_wld_az1_vlan,"62")),(CONCATENATE(prefix_mgmt_az1_vlan,"62")))</f>
        <v>1362</v>
      </c>
      <c r="N57" s="8" t="str">
        <f>IF(cluster_wld_domain_chosen="VI Workload Domain",(CONCATENATE(prefix_wld_az1_vlan,"73")),(CONCATENATE(prefix_mgmt_az1_vlan,"73")))</f>
        <v>1373</v>
      </c>
      <c r="T57" s="8" t="str">
        <f>IF(cluster_wld_domain_chosen="VI Workload Domain",(CONCATENATE(prefix_wld_az1_vlan,"95")),(CONCATENATE(prefix_mgmt_az1_vlan,"95")))</f>
        <v>1395</v>
      </c>
    </row>
    <row r="58" spans="1:21" ht="15.75" x14ac:dyDescent="0.25">
      <c r="A58" s="8" t="s">
        <v>1397</v>
      </c>
      <c r="B58" s="8" t="str">
        <f>IF(cluster_wld_domain_chosen="VI Workload Domain",(CONCATENATE(prefix_wld_az1_vlan,"30")),(CONCATENATE(prefix_mgmt_az1_vlan,"30")))</f>
        <v>1330</v>
      </c>
      <c r="E58" s="8" t="str">
        <f>IF(cluster_wld_domain_chosen="VI Workload Domain",(CONCATENATE(prefix_wld_az1_vlan,"41")),(CONCATENATE(prefix_mgmt_az1_vlan,"41")))</f>
        <v>1341</v>
      </c>
      <c r="H58" s="8" t="str">
        <f>IF(cluster_wld_domain_chosen="VI Workload Domain",(CONCATENATE(prefix_wld_az1_vlan,"52")),(CONCATENATE(prefix_mgmt_az1_vlan,"52")))</f>
        <v>1352</v>
      </c>
      <c r="K58" s="8" t="str">
        <f>IF(cluster_wld_domain_chosen="VI Workload Domain",(CONCATENATE(prefix_wld_az1_vlan,"63")),(CONCATENATE(prefix_mgmt_az1_vlan,"63")))</f>
        <v>1363</v>
      </c>
      <c r="N58" s="8" t="str">
        <f>IF(cluster_wld_domain_chosen="VI Workload Domain",(CONCATENATE(prefix_wld_az1_vlan,"74")),(CONCATENATE(prefix_mgmt_az1_vlan,"74")))</f>
        <v>1374</v>
      </c>
      <c r="Q58" s="324" t="s">
        <v>1398</v>
      </c>
      <c r="R58" s="8" t="s">
        <v>1389</v>
      </c>
      <c r="T58" s="8" t="str">
        <f>IF(cluster_wld_domain_chosen="VI Workload Domain",(CONCATENATE(prefix_wld_az1_vlan,"96")),(CONCATENATE(prefix_mgmt_az1_vlan,"96")))</f>
        <v>1396</v>
      </c>
    </row>
    <row r="59" spans="1:21" x14ac:dyDescent="0.2">
      <c r="A59" s="8" t="s">
        <v>1399</v>
      </c>
      <c r="B59" s="8" t="str">
        <f>IF(cluster_wld_domain_chosen="VI Workload Domain",CONCATENATE(prefix_wld_az1_cidr,"28.0"),CONCATENATE(prefix_mgmt_az1_cidr,"28.0"))</f>
        <v>10.13.28.0</v>
      </c>
      <c r="E59" s="8" t="str">
        <f>IF(cluster_wld_domain_chosen="VI Workload Domain",CONCATENATE(prefix_wld_az1_cidr,"39.0"),CONCATENATE(prefix_mgmt_az1_cidr,"39.0"))</f>
        <v>10.13.39.0</v>
      </c>
      <c r="H59" s="8" t="str">
        <f>IF(cluster_wld_domain_chosen="VI Workload Domain",CONCATENATE(prefix_wld_az1_cidr,"50.0"),CONCATENATE(prefix_mgmt_az1_cidr,"50.0"))</f>
        <v>10.13.50.0</v>
      </c>
      <c r="K59" s="8" t="str">
        <f>IF(cluster_wld_domain_chosen="VI Workload Domain",CONCATENATE(prefix_wld_az1_cidr,"61.0"),CONCATENATE(prefix_mgmt_az1_cidr,"61.0"))</f>
        <v>10.13.61.0</v>
      </c>
      <c r="N59" s="8" t="str">
        <f>IF(cluster_wld_domain_chosen="VI Workload Domain",CONCATENATE(prefix_wld_az1_cidr,"72.0"),CONCATENATE(prefix_mgmt_az1_cidr,"72.0"))</f>
        <v>10.13.72.0</v>
      </c>
      <c r="Q59" s="8" t="str">
        <f>IF(cluster_wld_domain_chosen="VI Workload Domain",(CONCATENATE(prefix_wld_az1_vlan,"83")),(CONCATENATE(prefix_mgmt_az1_vlan,"83")))</f>
        <v>1383</v>
      </c>
      <c r="T59" s="8" t="str">
        <f>IF(cluster_wld_domain_chosen="VI Workload Domain",CONCATENATE(prefix_wld_az1_cidr,"94.0"),CONCATENATE(prefix_mgmt_az1_cidr,"94.0"))</f>
        <v>10.13.94.0</v>
      </c>
    </row>
    <row r="60" spans="1:21" x14ac:dyDescent="0.2">
      <c r="A60" s="8" t="s">
        <v>1400</v>
      </c>
      <c r="B60" s="8" t="str">
        <f>IF(cluster_wld_domain_chosen="VI Workload Domain",CONCATENATE(prefix_wld_az1_cidr,"29.0"),CONCATENATE(prefix_mgmt_az1_cidr,"29.0"))</f>
        <v>10.13.29.0</v>
      </c>
      <c r="E60" s="8" t="str">
        <f>IF(cluster_wld_domain_chosen="VI Workload Domain",CONCATENATE(prefix_wld_az1_cidr,"40.0"),CONCATENATE(prefix_mgmt_az1_cidr,"40.0"))</f>
        <v>10.13.40.0</v>
      </c>
      <c r="H60" s="8" t="str">
        <f>IF(cluster_wld_domain_chosen="VI Workload Domain",CONCATENATE(prefix_wld_az1_cidr,"51.0"),CONCATENATE(prefix_mgmt_az1_cidr,"51.0"))</f>
        <v>10.13.51.0</v>
      </c>
      <c r="K60" s="8" t="str">
        <f>IF(cluster_wld_domain_chosen="VI Workload Domain",CONCATENATE(prefix_wld_az1_cidr,"62.0"),CONCATENATE(prefix_mgmt_az1_cidr,"62.0"))</f>
        <v>10.13.62.0</v>
      </c>
      <c r="N60" s="8" t="str">
        <f>IF(cluster_wld_domain_chosen="VI Workload Domain",CONCATENATE(prefix_wld_az1_cidr,"73.0"),CONCATENATE(prefix_mgmt_az1_cidr,"73.0"))</f>
        <v>10.13.73.0</v>
      </c>
      <c r="Q60" s="8" t="str">
        <f>IF(cluster_wld_domain_chosen="VI Workload Domain",(CONCATENATE(prefix_wld_az1_vlan,"84")),(CONCATENATE(prefix_mgmt_az1_vlan,"84")))</f>
        <v>1384</v>
      </c>
      <c r="T60" s="8" t="str">
        <f>IF(cluster_wld_domain_chosen="VI Workload Domain",CONCATENATE(prefix_wld_az1_cidr,"95.0"),CONCATENATE(prefix_mgmt_az1_cidr,"95.0"))</f>
        <v>10.13.95.0</v>
      </c>
    </row>
    <row r="61" spans="1:21" x14ac:dyDescent="0.2">
      <c r="A61" s="8" t="s">
        <v>1401</v>
      </c>
      <c r="B61" s="8" t="str">
        <f>IF(cluster_wld_domain_chosen="VI Workload Domain",CONCATENATE(prefix_wld_az1_cidr,"30.0"),CONCATENATE(prefix_mgmt_az1_cidr,"30.0"))</f>
        <v>10.13.30.0</v>
      </c>
      <c r="E61" s="8" t="str">
        <f>IF(cluster_wld_domain_chosen="VI Workload Domain",CONCATENATE(prefix_wld_az1_cidr,"41.0"),CONCATENATE(prefix_mgmt_az1_cidr,"41.0"))</f>
        <v>10.13.41.0</v>
      </c>
      <c r="H61" s="8" t="str">
        <f>IF(cluster_wld_domain_chosen="VI Workload Domain",CONCATENATE(prefix_wld_az1_cidr,"52.0"),CONCATENATE(prefix_mgmt_az1_cidr,"52.0"))</f>
        <v>10.13.52.0</v>
      </c>
      <c r="K61" s="8" t="str">
        <f>IF(cluster_wld_domain_chosen="VI Workload Domain",CONCATENATE(prefix_wld_az1_cidr,"63.0"),CONCATENATE(prefix_mgmt_az1_cidr,"63.0"))</f>
        <v>10.13.63.0</v>
      </c>
      <c r="N61" s="8" t="str">
        <f>IF(cluster_wld_domain_chosen="VI Workload Domain",CONCATENATE(prefix_wld_az1_cidr,"74.0"),CONCATENATE(prefix_mgmt_az1_cidr,"74.0"))</f>
        <v>10.13.74.0</v>
      </c>
      <c r="Q61" s="8" t="str">
        <f>IF(cluster_wld_domain_chosen="VI Workload Domain",(CONCATENATE(prefix_wld_az1_vlan,"85")),(CONCATENATE(prefix_mgmt_az1_vlan,"85")))</f>
        <v>1385</v>
      </c>
      <c r="T61" s="8" t="str">
        <f>IF(cluster_wld_domain_chosen="VI Workload Domain",CONCATENATE(prefix_wld_az1_cidr,"96.0"),CONCATENATE(prefix_mgmt_az1_cidr,"96.0"))</f>
        <v>10.13.96.0</v>
      </c>
    </row>
    <row r="62" spans="1:21" x14ac:dyDescent="0.2">
      <c r="A62" s="8" t="s">
        <v>1402</v>
      </c>
      <c r="B62" s="8" t="str">
        <f>IF(cluster_wld_domain_chosen="VI Workload Domain",CONCATENATE(prefix_wld_az1_cidr,"28.1"),CONCATENATE(prefix_mgmt_az1_cidr,"28.1"))</f>
        <v>10.13.28.1</v>
      </c>
      <c r="E62" s="8" t="str">
        <f>IF(cluster_wld_domain_chosen="VI Workload Domain",CONCATENATE(prefix_wld_az1_cidr,"39.1"),CONCATENATE(prefix_mgmt_az1_cidr,"39.1"))</f>
        <v>10.13.39.1</v>
      </c>
      <c r="H62" s="8" t="str">
        <f>IF(cluster_wld_domain_chosen="VI Workload Domain",CONCATENATE(prefix_wld_az1_cidr,"50.1"),CONCATENATE(prefix_mgmt_az1_cidr,"50.1"))</f>
        <v>10.13.50.1</v>
      </c>
      <c r="K62" s="8" t="str">
        <f>IF(cluster_wld_domain_chosen="VI Workload Domain",CONCATENATE(prefix_wld_az1_cidr,"61.1"),CONCATENATE(prefix_mgmt_az1_cidr,"61.1"))</f>
        <v>10.13.61.1</v>
      </c>
      <c r="N62" s="8" t="str">
        <f>IF(cluster_wld_domain_chosen="VI Workload Domain",CONCATENATE(prefix_wld_az1_cidr,"72.1"),CONCATENATE(prefix_mgmt_az1_cidr,"72.1"))</f>
        <v>10.13.72.1</v>
      </c>
      <c r="Q62" s="8" t="str">
        <f>IF(cluster_wld_domain_chosen="VI Workload Domain",CONCATENATE(prefix_wld_az1_cidr,"83.0"),CONCATENATE(prefix_mgmt_az1_cidr,"83.0"))</f>
        <v>10.13.83.0</v>
      </c>
      <c r="T62" s="8" t="str">
        <f>IF(cluster_wld_domain_chosen="VI Workload Domain",CONCATENATE(prefix_wld_az1_cidr,"94.1"),CONCATENATE(prefix_mgmt_az1_cidr,"94.1"))</f>
        <v>10.13.94.1</v>
      </c>
    </row>
    <row r="63" spans="1:21" x14ac:dyDescent="0.2">
      <c r="A63" s="8" t="s">
        <v>1403</v>
      </c>
      <c r="B63" s="8" t="str">
        <f>IF(cluster_wld_domain_chosen="VI Workload Domain",CONCATENATE(prefix_wld_az1_cidr,"29.1"),CONCATENATE(prefix_mgmt_az1_cidr,"29.1"))</f>
        <v>10.13.29.1</v>
      </c>
      <c r="E63" s="8" t="str">
        <f>IF(cluster_wld_domain_chosen="VI Workload Domain",CONCATENATE(prefix_wld_az1_cidr,"40.1"),CONCATENATE(prefix_mgmt_az1_cidr,"40.1"))</f>
        <v>10.13.40.1</v>
      </c>
      <c r="H63" s="8" t="str">
        <f>IF(cluster_wld_domain_chosen="VI Workload Domain",CONCATENATE(prefix_wld_az1_cidr,"51.1"),CONCATENATE(prefix_mgmt_az1_cidr,"51.1"))</f>
        <v>10.13.51.1</v>
      </c>
      <c r="K63" s="8" t="str">
        <f>IF(cluster_wld_domain_chosen="VI Workload Domain",CONCATENATE(prefix_wld_az1_cidr,"62.1"),CONCATENATE(prefix_mgmt_az1_cidr,"62.1"))</f>
        <v>10.13.62.1</v>
      </c>
      <c r="N63" s="8" t="str">
        <f>IF(cluster_wld_domain_chosen="VI Workload Domain",CONCATENATE(prefix_wld_az1_cidr,"73.1"),CONCATENATE(prefix_mgmt_az1_cidr,"73.1"))</f>
        <v>10.13.73.1</v>
      </c>
      <c r="Q63" s="8" t="str">
        <f>IF(cluster_wld_domain_chosen="VI Workload Domain",CONCATENATE(prefix_wld_az1_cidr,"84.0"),CONCATENATE(prefix_mgmt_az1_cidr,"84.0"))</f>
        <v>10.13.84.0</v>
      </c>
      <c r="T63" s="8" t="str">
        <f>IF(cluster_wld_domain_chosen="VI Workload Domain",CONCATENATE(prefix_wld_az1_cidr,"95.1"),CONCATENATE(prefix_mgmt_az1_cidr,"95.1"))</f>
        <v>10.13.95.1</v>
      </c>
    </row>
    <row r="64" spans="1:21" x14ac:dyDescent="0.2">
      <c r="A64" s="8" t="s">
        <v>1404</v>
      </c>
      <c r="B64" s="8" t="str">
        <f>IF(cluster_wld_domain_chosen="VI Workload Domain",CONCATENATE(prefix_wld_az1_cidr,"30.1"),CONCATENATE(prefix_mgmt_az1_cidr,"30.1"))</f>
        <v>10.13.30.1</v>
      </c>
      <c r="E64" s="8" t="str">
        <f>IF(cluster_wld_domain_chosen="VI Workload Domain",CONCATENATE(prefix_wld_az1_cidr,"41.1"),CONCATENATE(prefix_mgmt_az1_cidr,"41.1"))</f>
        <v>10.13.41.1</v>
      </c>
      <c r="H64" s="8" t="str">
        <f>IF(cluster_wld_domain_chosen="VI Workload Domain",CONCATENATE(prefix_wld_az1_cidr,"52.1"),CONCATENATE(prefix_mgmt_az1_cidr,"52.1"))</f>
        <v>10.13.52.1</v>
      </c>
      <c r="K64" s="8" t="str">
        <f>IF(cluster_wld_domain_chosen="VI Workload Domain",CONCATENATE(prefix_wld_az1_cidr,"63.1"),CONCATENATE(prefix_mgmt_az1_cidr,"63.1"))</f>
        <v>10.13.63.1</v>
      </c>
      <c r="N64" s="8" t="str">
        <f>IF(cluster_wld_domain_chosen="VI Workload Domain",CONCATENATE(prefix_wld_az1_cidr,"74.1"),CONCATENATE(prefix_mgmt_az1_cidr,"74.1"))</f>
        <v>10.13.74.1</v>
      </c>
      <c r="Q64" s="8" t="str">
        <f>IF(cluster_wld_domain_chosen="VI Workload Domain",CONCATENATE(prefix_wld_az1_cidr,"85.0"),CONCATENATE(prefix_mgmt_az1_cidr,"85.0"))</f>
        <v>10.13.85.0</v>
      </c>
      <c r="T64" s="8" t="str">
        <f>IF(cluster_wld_domain_chosen="VI Workload Domain",CONCATENATE(prefix_wld_az1_cidr,"96.1"),CONCATENATE(prefix_mgmt_az1_cidr,"96.1"))</f>
        <v>10.13.96.1</v>
      </c>
    </row>
    <row r="65" spans="1:20" x14ac:dyDescent="0.2">
      <c r="A65" s="8" t="s">
        <v>1405</v>
      </c>
      <c r="B65" s="8" t="s">
        <v>612</v>
      </c>
      <c r="E65" s="8" t="s">
        <v>612</v>
      </c>
      <c r="H65" s="8" t="s">
        <v>612</v>
      </c>
      <c r="K65" s="8" t="s">
        <v>612</v>
      </c>
      <c r="N65" s="8" t="s">
        <v>612</v>
      </c>
      <c r="Q65" s="8" t="str">
        <f>IF(cluster_wld_domain_chosen="VI Workload Domain",CONCATENATE(prefix_wld_az1_cidr,"83.1"),CONCATENATE(prefix_mgmt_az1_cidr,"83.1"))</f>
        <v>10.13.83.1</v>
      </c>
      <c r="T65" s="8" t="s">
        <v>612</v>
      </c>
    </row>
    <row r="66" spans="1:20" x14ac:dyDescent="0.2">
      <c r="A66" s="8" t="s">
        <v>1406</v>
      </c>
      <c r="B66" s="8" t="s">
        <v>612</v>
      </c>
      <c r="E66" s="8" t="s">
        <v>612</v>
      </c>
      <c r="H66" s="8" t="s">
        <v>612</v>
      </c>
      <c r="K66" s="8" t="s">
        <v>612</v>
      </c>
      <c r="N66" s="8" t="s">
        <v>612</v>
      </c>
      <c r="Q66" s="8" t="str">
        <f>IF(cluster_wld_domain_chosen="VI Workload Domain",CONCATENATE(prefix_wld_az1_cidr,"84.1"),CONCATENATE(prefix_mgmt_az1_cidr,"84.1"))</f>
        <v>10.13.84.1</v>
      </c>
      <c r="T66" s="8" t="s">
        <v>612</v>
      </c>
    </row>
    <row r="67" spans="1:20" x14ac:dyDescent="0.2">
      <c r="A67" s="8" t="s">
        <v>1407</v>
      </c>
      <c r="B67" s="8" t="s">
        <v>612</v>
      </c>
      <c r="E67" s="8" t="s">
        <v>612</v>
      </c>
      <c r="H67" s="8" t="s">
        <v>612</v>
      </c>
      <c r="K67" s="8" t="s">
        <v>612</v>
      </c>
      <c r="N67" s="8" t="s">
        <v>612</v>
      </c>
      <c r="Q67" s="8" t="str">
        <f>IF(cluster_wld_domain_chosen="VI Workload Domain",CONCATENATE(prefix_wld_az1_cidr,"85.1"),CONCATENATE(prefix_mgmt_az1_cidr,"85.1"))</f>
        <v>10.13.85.1</v>
      </c>
      <c r="T67" s="8" t="s">
        <v>612</v>
      </c>
    </row>
    <row r="68" spans="1:20" ht="15.75" x14ac:dyDescent="0.25">
      <c r="A68" s="8" t="s">
        <v>1408</v>
      </c>
      <c r="B68" s="325">
        <v>9000</v>
      </c>
      <c r="C68" s="325"/>
      <c r="D68" s="325"/>
      <c r="E68" s="325">
        <v>9000</v>
      </c>
      <c r="F68" s="325"/>
      <c r="G68" s="325"/>
      <c r="H68" s="325">
        <v>9000</v>
      </c>
      <c r="I68" s="325"/>
      <c r="J68" s="325"/>
      <c r="K68" s="325">
        <v>9000</v>
      </c>
      <c r="L68" s="325"/>
      <c r="M68" s="325"/>
      <c r="N68" s="325">
        <v>9000</v>
      </c>
      <c r="O68" s="325"/>
      <c r="Q68" s="8" t="s">
        <v>612</v>
      </c>
      <c r="T68" s="325">
        <v>9000</v>
      </c>
    </row>
    <row r="69" spans="1:20" ht="15.75" x14ac:dyDescent="0.25">
      <c r="A69" s="8" t="s">
        <v>1409</v>
      </c>
      <c r="B69" s="325">
        <v>9000</v>
      </c>
      <c r="C69" s="325"/>
      <c r="D69" s="325"/>
      <c r="E69" s="325">
        <v>9000</v>
      </c>
      <c r="F69" s="325"/>
      <c r="G69" s="325"/>
      <c r="H69" s="325">
        <v>9000</v>
      </c>
      <c r="I69" s="325"/>
      <c r="J69" s="325"/>
      <c r="K69" s="325">
        <v>9000</v>
      </c>
      <c r="L69" s="325"/>
      <c r="M69" s="325"/>
      <c r="N69" s="325">
        <v>9000</v>
      </c>
      <c r="O69" s="325"/>
      <c r="Q69" s="8" t="s">
        <v>612</v>
      </c>
      <c r="T69" s="325">
        <v>9000</v>
      </c>
    </row>
    <row r="70" spans="1:20" ht="15.75" x14ac:dyDescent="0.25">
      <c r="A70" s="8" t="s">
        <v>1410</v>
      </c>
      <c r="B70" s="325">
        <v>9000</v>
      </c>
      <c r="C70" s="325"/>
      <c r="D70" s="325"/>
      <c r="E70" s="325">
        <v>9000</v>
      </c>
      <c r="F70" s="325"/>
      <c r="G70" s="325"/>
      <c r="H70" s="325">
        <v>9000</v>
      </c>
      <c r="I70" s="325"/>
      <c r="J70" s="325"/>
      <c r="K70" s="325">
        <v>9000</v>
      </c>
      <c r="L70" s="325"/>
      <c r="M70" s="325"/>
      <c r="N70" s="325">
        <v>9000</v>
      </c>
      <c r="O70" s="325"/>
      <c r="Q70" s="8" t="s">
        <v>612</v>
      </c>
      <c r="T70" s="325">
        <v>9000</v>
      </c>
    </row>
    <row r="71" spans="1:20" ht="15.75" x14ac:dyDescent="0.25">
      <c r="A71" s="28" t="s">
        <v>606</v>
      </c>
      <c r="B71" s="8" t="str">
        <f>IF(cluster_wld_domain_chosen="VI Workload Domain",CONCATENATE(prefix_wld_az1_cidr,"30.2"),CONCATENATE(prefix_mgmt_az1_cidr,"30.2"))</f>
        <v>10.13.30.2</v>
      </c>
      <c r="E71" s="8" t="str">
        <f>IF(cluster_wld_domain_chosen="VI Workload Domain",CONCATENATE(prefix_wld_az1_cidr,"41.2"),CONCATENATE(prefix_mgmt_az1_cidr,"41.2"))</f>
        <v>10.13.41.2</v>
      </c>
      <c r="H71" s="8" t="str">
        <f>IF(cluster_wld_domain_chosen="VI Workload Domain",CONCATENATE(prefix_wld_az1_cidr,"52.2"),CONCATENATE(prefix_mgmt_az1_cidr,"52.2"))</f>
        <v>10.13.52.2</v>
      </c>
      <c r="K71" s="8" t="str">
        <f>IF(cluster_wld_domain_chosen="VI Workload Domain",CONCATENATE(prefix_wld_az1_cidr,"63.2"),CONCATENATE(prefix_mgmt_az1_cidr,"63.2"))</f>
        <v>10.13.63.2</v>
      </c>
      <c r="N71" s="8" t="str">
        <f>IF(cluster_wld_domain_chosen="VI Workload Domain",CONCATENATE(prefix_wld_az1_cidr,"74.2"),CONCATENATE(prefix_mgmt_az1_cidr,"74.2"))</f>
        <v>10.13.74.2</v>
      </c>
      <c r="P71" s="325"/>
      <c r="Q71" s="325">
        <v>9000</v>
      </c>
      <c r="R71" s="325"/>
      <c r="S71" s="325"/>
      <c r="T71" s="8" t="str">
        <f>IF(cluster_wld_domain_chosen="VI Workload Domain",CONCATENATE(prefix_wld_az1_cidr,"96.2"),CONCATENATE(prefix_mgmt_az1_cidr,"96.2"))</f>
        <v>10.13.96.2</v>
      </c>
    </row>
    <row r="72" spans="1:20" ht="33.950000000000003" customHeight="1" x14ac:dyDescent="0.25">
      <c r="A72" s="261" t="s">
        <v>607</v>
      </c>
      <c r="B72" s="8" t="str">
        <f>IF(cluster_wld_domain_chosen="VI Workload Domain",CONCATENATE(prefix_wld_az1_cidr,"30.5"),CONCATENATE(prefix_mgmt_az1_cidr,"30.5"))</f>
        <v>10.13.30.5</v>
      </c>
      <c r="E72" s="8" t="str">
        <f>IF(cluster_wld_domain_chosen="VI Workload Domain",CONCATENATE(prefix_wld_az1_cidr,"41.5"),CONCATENATE(prefix_mgmt_az1_cidr,"41.5"))</f>
        <v>10.13.41.5</v>
      </c>
      <c r="H72" s="8" t="str">
        <f>IF(cluster_wld_domain_chosen="VI Workload Domain",CONCATENATE(prefix_wld_az1_cidr,"52.5"),CONCATENATE(prefix_mgmt_az1_cidr,"52.5"))</f>
        <v>10.13.52.5</v>
      </c>
      <c r="K72" s="8" t="str">
        <f>IF(cluster_wld_domain_chosen="VI Workload Domain",CONCATENATE(prefix_wld_az1_cidr,"63.5"),CONCATENATE(prefix_mgmt_az1_cidr,"63.5"))</f>
        <v>10.13.63.5</v>
      </c>
      <c r="N72" s="8" t="str">
        <f>IF(cluster_wld_domain_chosen="VI Workload Domain",CONCATENATE(prefix_wld_az1_cidr,"74.5"),CONCATENATE(prefix_mgmt_az1_cidr,"74.5"))</f>
        <v>10.13.74.5</v>
      </c>
      <c r="P72" s="325"/>
      <c r="Q72" s="325">
        <v>9000</v>
      </c>
      <c r="R72" s="325"/>
      <c r="S72" s="325"/>
      <c r="T72" s="8" t="str">
        <f>IF(cluster_wld_domain_chosen="VI Workload Domain",CONCATENATE(prefix_wld_az1_cidr,"96.5"),CONCATENATE(prefix_mgmt_az1_cidr,"96.5"))</f>
        <v>10.13.96.5</v>
      </c>
    </row>
    <row r="73" spans="1:20" ht="15.75" x14ac:dyDescent="0.25">
      <c r="A73" s="4" t="s">
        <v>1411</v>
      </c>
      <c r="B73" s="8" t="str">
        <f>IF(cluster_wld_domain_chosen="VI Workload Domain",IF(mgmt_domain_chosen="First Instance","65102",IF(wld_nsxt_federation_result="Included","65202","65102")),IF(mgmt_domain_chosen="First Instance","65101",IF(mgmt_nsxt_federation_result="Included","65201","65101")))</f>
        <v>65102</v>
      </c>
      <c r="E73" s="8" t="str">
        <f>IF(cluster_wld_domain_chosen="VI Workload Domain",IF(mgmt_domain_chosen="First Instance","65102",IF(wld_nsxt_federation_result="Included","65202","65102")),IF(mgmt_domain_chosen="First Instance","65101",IF(mgmt_nsxt_federation_result="Included","65201","65101")))</f>
        <v>65102</v>
      </c>
      <c r="H73" s="8" t="str">
        <f>IF(cluster_wld_domain_chosen="VI Workload Domain",IF(mgmt_domain_chosen="First Instance","65102",IF(wld_nsxt_federation_result="Included","65202","65102")),IF(mgmt_domain_chosen="First Instance","65101",IF(mgmt_nsxt_federation_result="Included","65201","65101")))</f>
        <v>65102</v>
      </c>
      <c r="K73" s="8" t="str">
        <f>IF(cluster_wld_domain_chosen="VI Workload Domain",IF(mgmt_domain_chosen="First Instance","65102",IF(wld_nsxt_federation_result="Included","65202","65102")),IF(mgmt_domain_chosen="First Instance","65101",IF(mgmt_nsxt_federation_result="Included","65201","65101")))</f>
        <v>65102</v>
      </c>
      <c r="N73" s="8" t="str">
        <f>IF(cluster_wld_domain_chosen="VI Workload Domain",IF(mgmt_domain_chosen="First Instance","65102",IF(wld_nsxt_federation_result="Included","65202","65102")),IF(mgmt_domain_chosen="First Instance","65101",IF(mgmt_nsxt_federation_result="Included","65201","65101")))</f>
        <v>65102</v>
      </c>
      <c r="P73" s="325"/>
      <c r="Q73" s="325">
        <v>9000</v>
      </c>
      <c r="R73" s="325"/>
      <c r="S73" s="325"/>
      <c r="T73" s="8" t="str">
        <f>IF(cluster_wld_domain_chosen="VI Workload Domain",IF(mgmt_domain_chosen="First Instance","65102",IF(wld_nsxt_federation_result="Included","65202","65102")),IF(mgmt_domain_chosen="First Instance","65101",IF(mgmt_nsxt_federation_result="Included","65201","65101")))</f>
        <v>65102</v>
      </c>
    </row>
    <row r="74" spans="1:20" ht="15.75" x14ac:dyDescent="0.2">
      <c r="A74" s="4" t="s">
        <v>648</v>
      </c>
      <c r="B74" s="8" t="str">
        <f>IF(cluster_wld_domain_chosen="VI Workload Domain",CONCATENATE(prefix_wld_az1_cidr,"28.10"),CONCATENATE(prefix_mgmt_az1_cidr,"28.10"))</f>
        <v>10.13.28.10</v>
      </c>
      <c r="E74" s="8" t="str">
        <f>IF(cluster_wld_domain_chosen="VI Workload Domain",CONCATENATE(prefix_wld_az1_cidr,"39.10"),CONCATENATE(prefix_mgmt_az1_cidr,"39.10"))</f>
        <v>10.13.39.10</v>
      </c>
      <c r="H74" s="8" t="str">
        <f>IF(cluster_wld_domain_chosen="VI Workload Domain",CONCATENATE(prefix_wld_az1_cidr,"50.10"),CONCATENATE(prefix_mgmt_az1_cidr,"50.10"))</f>
        <v>10.13.50.10</v>
      </c>
      <c r="K74" s="8" t="str">
        <f>IF(cluster_wld_domain_chosen="VI Workload Domain",CONCATENATE(prefix_wld_az1_cidr,"61.10"),CONCATENATE(prefix_mgmt_az1_cidr,"61.10"))</f>
        <v>10.13.61.10</v>
      </c>
      <c r="N74" s="8" t="str">
        <f>IF(cluster_wld_domain_chosen="VI Workload Domain",CONCATENATE(prefix_wld_az1_cidr,"72.10"),CONCATENATE(prefix_mgmt_az1_cidr,"72.10"))</f>
        <v>10.13.72.10</v>
      </c>
      <c r="Q74" s="8" t="str">
        <f>IF(cluster_wld_domain_chosen="VI Workload Domain",CONCATENATE(prefix_wld_az1_cidr,"85.2"),CONCATENATE(prefix_mgmt_az1_cidr,"85.2"))</f>
        <v>10.13.85.2</v>
      </c>
      <c r="T74" s="8" t="str">
        <f>IF(cluster_wld_domain_chosen="VI Workload Domain",CONCATENATE(prefix_wld_az1_cidr,"94.10"),CONCATENATE(prefix_mgmt_az1_cidr,"94.10"))</f>
        <v>10.13.94.10</v>
      </c>
    </row>
    <row r="75" spans="1:20" ht="15.75" x14ac:dyDescent="0.2">
      <c r="A75" s="4" t="s">
        <v>649</v>
      </c>
      <c r="B75"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5"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5"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5"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5"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5" s="8" t="str">
        <f>IF(cluster_wld_domain_chosen="VI Workload Domain",CONCATENATE(prefix_wld_az1_cidr,"85.5"),CONCATENATE(prefix_mgmt_az1_cidr,"85.5"))</f>
        <v>10.13.85.5</v>
      </c>
      <c r="T75"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6" spans="1:20" ht="15.75" x14ac:dyDescent="0.2">
      <c r="A76" s="4" t="s">
        <v>650</v>
      </c>
      <c r="B76" s="8" t="s">
        <v>379</v>
      </c>
      <c r="E76" s="8" t="s">
        <v>379</v>
      </c>
      <c r="H76" s="8" t="s">
        <v>379</v>
      </c>
      <c r="K76" s="8" t="s">
        <v>379</v>
      </c>
      <c r="N76" s="8" t="s">
        <v>379</v>
      </c>
      <c r="Q76" s="8" t="str">
        <f>IF(cluster_wld_domain_chosen="VI Workload Domain",IF(mgmt_domain_chosen="First Instance","65102",IF(wld_nsxt_federation_result="Included","65202","65102")),IF(mgmt_domain_chosen="First Instance","65101",IF(mgmt_nsxt_federation_result="Included","65201","65101")))</f>
        <v>65102</v>
      </c>
      <c r="T76" s="8" t="s">
        <v>379</v>
      </c>
    </row>
    <row r="77" spans="1:20" ht="15.75" x14ac:dyDescent="0.2">
      <c r="A77" s="4" t="s">
        <v>651</v>
      </c>
      <c r="B77" s="8" t="str">
        <f>IF(cluster_wld_domain_chosen="VI Workload Domain",CONCATENATE(prefix_wld_az1_cidr,"29.10"),CONCATENATE(prefix_mgmt_az1_cidr,"29.10"))</f>
        <v>10.13.29.10</v>
      </c>
      <c r="E77" s="8" t="str">
        <f>IF(cluster_wld_domain_chosen="VI Workload Domain",CONCATENATE(prefix_wld_az1_cidr,"40.10"),CONCATENATE(prefix_mgmt_az1_cidr,"40.10"))</f>
        <v>10.13.40.10</v>
      </c>
      <c r="H77" s="8" t="str">
        <f>IF(cluster_wld_domain_chosen="VI Workload Domain",CONCATENATE(prefix_wld_az1_cidr,"51.10"),CONCATENATE(prefix_mgmt_az1_cidr,"51.10"))</f>
        <v>10.13.51.10</v>
      </c>
      <c r="K77" s="8" t="str">
        <f>IF(cluster_wld_domain_chosen="VI Workload Domain",CONCATENATE(prefix_wld_az1_cidr,"62.10"),CONCATENATE(prefix_mgmt_az1_cidr,"62.10"))</f>
        <v>10.13.62.10</v>
      </c>
      <c r="N77" s="8" t="str">
        <f>IF(cluster_wld_domain_chosen="VI Workload Domain",CONCATENATE(prefix_wld_az1_cidr,"73.10"),CONCATENATE(prefix_mgmt_az1_cidr,"73.10"))</f>
        <v>10.13.73.10</v>
      </c>
      <c r="Q77" s="8" t="str">
        <f>IF(cluster_wld_domain_chosen="VI Workload Domain",CONCATENATE(prefix_wld_az1_cidr,"83.10"),CONCATENATE(prefix_mgmt_az1_cidr,"83.10"))</f>
        <v>10.13.83.10</v>
      </c>
      <c r="T77" s="8" t="str">
        <f>IF(cluster_wld_domain_chosen="VI Workload Domain",CONCATENATE(prefix_wld_az1_cidr,"95.10"),CONCATENATE(prefix_mgmt_az1_cidr,"95.10"))</f>
        <v>10.13.95.10</v>
      </c>
    </row>
    <row r="78" spans="1:20" ht="15.75" x14ac:dyDescent="0.2">
      <c r="A78" s="4" t="s">
        <v>652</v>
      </c>
      <c r="B78"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8"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8"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8"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8"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8"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c r="T78"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9" spans="1:20" ht="15.75" x14ac:dyDescent="0.2">
      <c r="A79" s="4" t="s">
        <v>653</v>
      </c>
      <c r="B79" s="8" t="s">
        <v>379</v>
      </c>
      <c r="E79" s="8" t="s">
        <v>379</v>
      </c>
      <c r="H79" s="8" t="s">
        <v>379</v>
      </c>
      <c r="K79" s="8" t="s">
        <v>379</v>
      </c>
      <c r="N79" s="8" t="s">
        <v>379</v>
      </c>
      <c r="Q79" s="8" t="s">
        <v>379</v>
      </c>
      <c r="T79" s="8" t="s">
        <v>379</v>
      </c>
    </row>
    <row r="80" spans="1:20" x14ac:dyDescent="0.2">
      <c r="Q80" s="8" t="str">
        <f>IF(cluster_wld_domain_chosen="VI Workload Domain",CONCATENATE(prefix_wld_az1_cidr,"84.10"),CONCATENATE(prefix_mgmt_az1_cidr,"84.10"))</f>
        <v>10.13.84.10</v>
      </c>
    </row>
    <row r="81" spans="17:17" x14ac:dyDescent="0.2">
      <c r="Q81"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row>
    <row r="82" spans="17:17" x14ac:dyDescent="0.2">
      <c r="Q82" s="8" t="s">
        <v>379</v>
      </c>
    </row>
  </sheetData>
  <sheetProtection algorithmName="SHA-512" hashValue="a4zKgi39+IkZ3Wnf8p2iNZ6EAv4Mxd5bZkYIojkAiq/hQsEznZfooXdRzTw5fR+Y3hmRtkam8VnhSRXT4QX+kQ==" saltValue="Xv0kOEMCkt1mBs8twzpqaw==" spinCount="100000" sheet="1" objects="1" scenarios="1"/>
  <mergeCells count="5">
    <mergeCell ref="P7:S7"/>
    <mergeCell ref="P10:S10"/>
    <mergeCell ref="P16:S16"/>
    <mergeCell ref="P13:S13"/>
    <mergeCell ref="P21:S21"/>
  </mergeCells>
  <conditionalFormatting sqref="A20">
    <cfRule type="expression" dxfId="1179" priority="59">
      <formula>AND((VRLI_Result="Excluded"),(VROPS_Result="Excluded"),(VRA_Result="Excluded"))</formula>
    </cfRule>
  </conditionalFormatting>
  <conditionalFormatting sqref="A15:C15">
    <cfRule type="expression" dxfId="1178" priority="52" stopIfTrue="1">
      <formula>iam_result="Excluded"</formula>
    </cfRule>
  </conditionalFormatting>
  <conditionalFormatting sqref="A16:C17">
    <cfRule type="expression" dxfId="1177" priority="55">
      <formula>AND((iam_result="Excluded"),(intelligent_operations_result="Excluded"),(intelligent_logging_result="Excluded"),(private_cloud_result="Excluded"))</formula>
    </cfRule>
  </conditionalFormatting>
  <conditionalFormatting sqref="B9">
    <cfRule type="containsBlanks" dxfId="1176" priority="4">
      <formula>LEN(TRIM(B9))=0</formula>
    </cfRule>
    <cfRule type="notContainsBlanks" dxfId="1175" priority="5">
      <formula>LEN(TRIM(B9))&gt;0</formula>
    </cfRule>
  </conditionalFormatting>
  <conditionalFormatting sqref="B9:C9">
    <cfRule type="expression" dxfId="1174" priority="1">
      <formula>vrslcm_result="Excluded"</formula>
    </cfRule>
  </conditionalFormatting>
  <conditionalFormatting sqref="C9">
    <cfRule type="expression" dxfId="1173" priority="2">
      <formula>AND((OR((spr_chosen="Management Only"),(spr_chosen="Management &amp; VI Workload"))),(ISBLANK(input_xregion_ntp2_server)))</formula>
    </cfRule>
  </conditionalFormatting>
  <conditionalFormatting sqref="C11:C14">
    <cfRule type="notContainsBlanks" dxfId="1172" priority="58">
      <formula>LEN(TRIM(C11))&gt;0</formula>
    </cfRule>
  </conditionalFormatting>
  <conditionalFormatting sqref="C11:C17">
    <cfRule type="containsBlanks" dxfId="1171" priority="56">
      <formula>LEN(TRIM(C11))=0</formula>
    </cfRule>
  </conditionalFormatting>
  <conditionalFormatting sqref="C12">
    <cfRule type="expression" dxfId="1170" priority="51">
      <formula>AND((mgmt_stretched_cluster_result="Excluded"),(wld_stretched_cluster_result="Excluded"))</formula>
    </cfRule>
  </conditionalFormatting>
  <conditionalFormatting sqref="C18">
    <cfRule type="containsBlanks" dxfId="1169" priority="54">
      <formula>LEN(TRIM(C18))=0</formula>
    </cfRule>
  </conditionalFormatting>
  <conditionalFormatting sqref="C19 R22:R26 R40:R41">
    <cfRule type="expression" dxfId="1168" priority="57">
      <formula>AND((OR((spr_chosen="Management Only"),(spr_chosen="Management &amp; VI Workload"))),(ISBLANK(input_xregion_ntp2_server)))</formula>
    </cfRule>
  </conditionalFormatting>
  <conditionalFormatting sqref="Q8:Q9 Q22:Q26 Q37:Q38">
    <cfRule type="notContainsBlanks" dxfId="1167" priority="50">
      <formula>LEN(TRIM(Q8))&gt;0</formula>
    </cfRule>
    <cfRule type="containsBlanks" dxfId="1166" priority="49">
      <formula>LEN(TRIM(Q8))=0</formula>
    </cfRule>
  </conditionalFormatting>
  <conditionalFormatting sqref="Q11:Q12">
    <cfRule type="containsBlanks" dxfId="1165" priority="46">
      <formula>LEN(TRIM(Q11))=0</formula>
    </cfRule>
    <cfRule type="notContainsBlanks" dxfId="1164" priority="47">
      <formula>LEN(TRIM(Q11))&gt;0</formula>
    </cfRule>
  </conditionalFormatting>
  <conditionalFormatting sqref="Q14:Q15">
    <cfRule type="containsBlanks" dxfId="1163" priority="34">
      <formula>LEN(TRIM(Q14))=0</formula>
    </cfRule>
    <cfRule type="notContainsBlanks" dxfId="1162" priority="35">
      <formula>LEN(TRIM(Q14))&gt;0</formula>
    </cfRule>
  </conditionalFormatting>
  <conditionalFormatting sqref="Q17:Q20">
    <cfRule type="containsBlanks" dxfId="1161" priority="43">
      <formula>LEN(TRIM(Q17))=0</formula>
    </cfRule>
    <cfRule type="notContainsBlanks" dxfId="1160" priority="44">
      <formula>LEN(TRIM(Q17))&gt;0</formula>
    </cfRule>
  </conditionalFormatting>
  <conditionalFormatting sqref="Q28:Q32">
    <cfRule type="notContainsBlanks" dxfId="1159" priority="23">
      <formula>LEN(TRIM(Q28))&gt;0</formula>
    </cfRule>
    <cfRule type="containsBlanks" dxfId="1158" priority="22">
      <formula>LEN(TRIM(Q28))=0</formula>
    </cfRule>
  </conditionalFormatting>
  <conditionalFormatting sqref="Q34:Q35">
    <cfRule type="notContainsBlanks" dxfId="1157" priority="18">
      <formula>LEN(TRIM(Q34))&gt;0</formula>
    </cfRule>
    <cfRule type="containsBlanks" dxfId="1156" priority="17">
      <formula>LEN(TRIM(Q34))=0</formula>
    </cfRule>
  </conditionalFormatting>
  <conditionalFormatting sqref="Q40:Q41">
    <cfRule type="containsBlanks" dxfId="1155" priority="10">
      <formula>LEN(TRIM(Q40))=0</formula>
    </cfRule>
    <cfRule type="notContainsBlanks" dxfId="1154" priority="11">
      <formula>LEN(TRIM(Q40))&gt;0</formula>
    </cfRule>
  </conditionalFormatting>
  <conditionalFormatting sqref="Q11:R12">
    <cfRule type="expression" dxfId="1153" priority="38">
      <formula>vrslcm_result="Excluded"</formula>
    </cfRule>
  </conditionalFormatting>
  <conditionalFormatting sqref="Q14:R15">
    <cfRule type="expression" dxfId="1152" priority="31">
      <formula>vrslcm_result="Excluded"</formula>
    </cfRule>
  </conditionalFormatting>
  <conditionalFormatting sqref="Q17:R20">
    <cfRule type="expression" dxfId="1151" priority="36">
      <formula>vrslcm_result="Excluded"</formula>
    </cfRule>
  </conditionalFormatting>
  <conditionalFormatting sqref="Q22:R24 Q26:R26 Q37:Q38 A13:C14 A18:C19">
    <cfRule type="expression" dxfId="1150" priority="53">
      <formula>vrslcm_result="Excluded"</formula>
    </cfRule>
  </conditionalFormatting>
  <conditionalFormatting sqref="Q25:R25">
    <cfRule type="expression" dxfId="1149" priority="6">
      <formula>vrslcm_result="Excluded"</formula>
    </cfRule>
  </conditionalFormatting>
  <conditionalFormatting sqref="Q28:R32">
    <cfRule type="expression" dxfId="1148" priority="19">
      <formula>vrslcm_result="Excluded"</formula>
    </cfRule>
  </conditionalFormatting>
  <conditionalFormatting sqref="Q34:R35">
    <cfRule type="expression" dxfId="1147" priority="14">
      <formula>vrslcm_result="Excluded"</formula>
    </cfRule>
  </conditionalFormatting>
  <conditionalFormatting sqref="Q40:R41 Q8:R9">
    <cfRule type="expression" dxfId="1146" priority="40">
      <formula>vrslcm_result="Excluded"</formula>
    </cfRule>
  </conditionalFormatting>
  <conditionalFormatting sqref="R8:R9">
    <cfRule type="expression" dxfId="1145" priority="41">
      <formula>AND((OR((spr_chosen="Management Only"),(spr_chosen="Management &amp; VI Workload"))),(ISBLANK(input_xregion_ntp2_server)))</formula>
    </cfRule>
  </conditionalFormatting>
  <conditionalFormatting sqref="R11:R12">
    <cfRule type="expression" dxfId="1144" priority="39">
      <formula>AND((OR((spr_chosen="Management Only"),(spr_chosen="Management &amp; VI Workload"))),(ISBLANK(input_xregion_ntp2_server)))</formula>
    </cfRule>
  </conditionalFormatting>
  <conditionalFormatting sqref="R14:R15">
    <cfRule type="expression" dxfId="1143" priority="32">
      <formula>AND((OR((spr_chosen="Management Only"),(spr_chosen="Management &amp; VI Workload"))),(ISBLANK(input_xregion_ntp2_server)))</formula>
    </cfRule>
  </conditionalFormatting>
  <conditionalFormatting sqref="R17:R20">
    <cfRule type="expression" dxfId="1142" priority="37">
      <formula>AND((OR((spr_chosen="Management Only"),(spr_chosen="Management &amp; VI Workload"))),(ISBLANK(input_xregion_ntp2_server)))</formula>
    </cfRule>
  </conditionalFormatting>
  <conditionalFormatting sqref="R28:R32">
    <cfRule type="expression" dxfId="1141" priority="28">
      <formula>AND((OR((spr_chosen="Management Only"),(spr_chosen="Management &amp; VI Workload"))),(ISBLANK(input_xregion_ntp2_server)))</formula>
    </cfRule>
  </conditionalFormatting>
  <conditionalFormatting sqref="R34:R35">
    <cfRule type="expression" dxfId="1140" priority="15">
      <formula>AND((OR((spr_chosen="Management Only"),(spr_chosen="Management &amp; VI Workload"))),(ISBLANK(input_xregion_ntp2_server)))</formula>
    </cfRule>
  </conditionalFormatting>
  <conditionalFormatting sqref="R37:R38">
    <cfRule type="expression" dxfId="1139" priority="7">
      <formula>vrslcm_result="Excluded"</formula>
    </cfRule>
    <cfRule type="expression" dxfId="1138" priority="8">
      <formula>AND((OR((spr_chosen="Management Only"),(spr_chosen="Management &amp; VI Workload"))),(ISBLANK(input_xregion_ntp2_server)))</formula>
    </cfRule>
  </conditionalFormatting>
  <dataValidations disablePrompts="1" count="2">
    <dataValidation type="list" allowBlank="1" showInputMessage="1" showErrorMessage="1" sqref="C65:C67 F65:F67 I65:I67 L65:L67 O65:O67 R68:R70 U65:U67" xr:uid="{B13B4DB8-4DCC-2047-88E4-EBB71F90E5ED}">
      <formula1>table_masks</formula1>
    </dataValidation>
    <dataValidation type="list" allowBlank="1" showInputMessage="1" showErrorMessage="1" sqref="P5" xr:uid="{D9CA96D6-0B09-7049-8F2F-27EB49188218}">
      <formula1>"Use a separate dedicated network, Use VM management network"</formula1>
    </dataValidation>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8"/>
  <sheetViews>
    <sheetView showGridLines="0" workbookViewId="0">
      <pane ySplit="8" topLeftCell="A9" activePane="bottomLeft" state="frozen"/>
      <selection pane="bottomLeft"/>
    </sheetView>
  </sheetViews>
  <sheetFormatPr defaultColWidth="10.875" defaultRowHeight="15" x14ac:dyDescent="0.2"/>
  <cols>
    <col min="1" max="1" width="2.875" style="8" customWidth="1"/>
    <col min="2" max="4" width="75.875" style="2" customWidth="1"/>
    <col min="5" max="5" width="125.875" style="8" customWidth="1"/>
    <col min="6" max="10" width="10.875" style="8" customWidth="1"/>
    <col min="11" max="16384" width="10.875" style="8"/>
  </cols>
  <sheetData>
    <row r="1" spans="1:10" s="2" customFormat="1" ht="15.95" customHeight="1" x14ac:dyDescent="0.2">
      <c r="A1" s="1"/>
      <c r="F1" s="8"/>
      <c r="G1" s="8"/>
      <c r="H1" s="8"/>
      <c r="I1" s="8"/>
      <c r="J1" s="8"/>
    </row>
    <row r="2" spans="1:10" s="2" customFormat="1" ht="54" customHeight="1" x14ac:dyDescent="0.2">
      <c r="B2" s="546" t="s">
        <v>1412</v>
      </c>
      <c r="C2" s="547"/>
      <c r="D2" s="547"/>
      <c r="E2" s="548"/>
      <c r="F2" s="8"/>
      <c r="G2" s="8"/>
      <c r="H2" s="8"/>
      <c r="I2" s="8"/>
      <c r="J2" s="8"/>
    </row>
    <row r="3" spans="1:10" s="2" customFormat="1" ht="20.100000000000001" customHeight="1" x14ac:dyDescent="0.2">
      <c r="B3" s="549" t="s">
        <v>1188</v>
      </c>
      <c r="C3" s="550"/>
      <c r="D3" s="550"/>
      <c r="E3" s="551"/>
      <c r="F3" s="8"/>
      <c r="G3" s="8"/>
      <c r="H3" s="8"/>
      <c r="I3" s="8"/>
      <c r="J3" s="8"/>
    </row>
    <row r="4" spans="1:10" s="2" customFormat="1" x14ac:dyDescent="0.25">
      <c r="B4" s="2" t="s">
        <v>1413</v>
      </c>
      <c r="D4" s="10"/>
      <c r="E4" s="3"/>
      <c r="F4" s="3"/>
    </row>
    <row r="5" spans="1:10" ht="20.100000000000001" customHeight="1" x14ac:dyDescent="0.2">
      <c r="B5" s="169" t="s">
        <v>504</v>
      </c>
      <c r="C5" s="169" t="s">
        <v>1414</v>
      </c>
      <c r="D5" s="169" t="s">
        <v>506</v>
      </c>
      <c r="E5" s="169" t="s">
        <v>507</v>
      </c>
    </row>
    <row r="6" spans="1:10" s="19" customFormat="1" ht="9.9499999999999993" customHeight="1" x14ac:dyDescent="0.2">
      <c r="B6" s="170"/>
      <c r="C6" s="170"/>
      <c r="D6" s="170"/>
      <c r="E6" s="170"/>
    </row>
    <row r="7" spans="1:10" ht="20.100000000000001" customHeight="1" x14ac:dyDescent="0.2">
      <c r="B7" s="169" t="s">
        <v>1415</v>
      </c>
      <c r="C7" s="122"/>
      <c r="D7" s="122"/>
      <c r="E7" s="122"/>
    </row>
    <row r="9" spans="1:10" ht="33.950000000000003" customHeight="1" x14ac:dyDescent="0.2">
      <c r="B9" s="517" t="s">
        <v>1416</v>
      </c>
      <c r="C9" s="518"/>
      <c r="D9" s="518"/>
      <c r="E9" s="519"/>
    </row>
    <row r="10" spans="1:10" ht="20.100000000000001" customHeight="1" x14ac:dyDescent="0.2">
      <c r="B10" s="346" t="s">
        <v>124</v>
      </c>
      <c r="C10" s="346" t="s">
        <v>38</v>
      </c>
      <c r="D10" s="346" t="s">
        <v>125</v>
      </c>
      <c r="E10" s="346" t="s">
        <v>126</v>
      </c>
    </row>
    <row r="11" spans="1:10" ht="20.100000000000001" customHeight="1" x14ac:dyDescent="0.2">
      <c r="B11" s="355" t="s">
        <v>228</v>
      </c>
      <c r="C11" s="337" t="s">
        <v>504</v>
      </c>
      <c r="D11" s="112" t="str">
        <f>IF(mgmt_domain_deployment_type_chosen="VMware vSphere Foundation","Excluded",
IF(mgmt_signed_certs_result="Excluded","Excluded",
IF(wld_signed_certs_chosen="Exclude","Excluded",IF(wld_domain_result="Included","Included","Excluded"))))</f>
        <v>Excluded</v>
      </c>
      <c r="E11" s="112"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100000000000001" customHeight="1" x14ac:dyDescent="0.2">
      <c r="B12" s="355" t="s">
        <v>228</v>
      </c>
      <c r="C12" s="337" t="s">
        <v>1417</v>
      </c>
      <c r="D12" s="112" t="str">
        <f>IF(mgmt_domain_deployment_type_chosen="VMware vSphere Foundation","Excluded",
IF(wld_bgp_chosen="Exclude","Excluded",IF(wld_domain_result="Included","Included","Excluded")))</f>
        <v>Excluded</v>
      </c>
      <c r="E12" s="112"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100000000000001" customHeight="1" x14ac:dyDescent="0.2">
      <c r="B13" s="125" t="s">
        <v>228</v>
      </c>
      <c r="C13" s="337" t="s">
        <v>506</v>
      </c>
      <c r="D13"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12"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100000000000001" customHeight="1" x14ac:dyDescent="0.2">
      <c r="B14" s="355" t="s">
        <v>228</v>
      </c>
      <c r="C14" s="112" t="s">
        <v>507</v>
      </c>
      <c r="D14" s="171"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12"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100000000000001" customHeight="1" x14ac:dyDescent="0.2">
      <c r="B15" s="355" t="s">
        <v>228</v>
      </c>
      <c r="C15" s="337" t="s">
        <v>1418</v>
      </c>
      <c r="D15" s="112"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5" s="112"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VI Workload Domain Required</v>
      </c>
    </row>
    <row r="16" spans="1:10" ht="15.95" customHeight="1" x14ac:dyDescent="0.2"/>
    <row r="17" spans="2:5" ht="33.950000000000003" customHeight="1" x14ac:dyDescent="0.2">
      <c r="B17" s="552" t="s">
        <v>504</v>
      </c>
      <c r="C17" s="553"/>
      <c r="D17" s="553"/>
      <c r="E17" s="553"/>
    </row>
    <row r="18" spans="2:5" ht="20.100000000000001" customHeight="1" x14ac:dyDescent="0.2">
      <c r="B18" s="557" t="s">
        <v>1419</v>
      </c>
      <c r="C18" s="557"/>
      <c r="D18" s="557"/>
      <c r="E18" s="557"/>
    </row>
    <row r="19" spans="2:5" ht="20.100000000000001" customHeight="1" x14ac:dyDescent="0.2">
      <c r="B19" s="346" t="s">
        <v>37</v>
      </c>
      <c r="C19" s="346" t="s">
        <v>276</v>
      </c>
      <c r="D19" s="346" t="s">
        <v>277</v>
      </c>
      <c r="E19" s="346" t="s">
        <v>5</v>
      </c>
    </row>
    <row r="20" spans="2:5" ht="20.100000000000001" customHeight="1" x14ac:dyDescent="0.25">
      <c r="B20" s="4" t="s">
        <v>544</v>
      </c>
      <c r="C20" s="362" t="str">
        <f>sample_ca_algorithm</f>
        <v>RSA</v>
      </c>
      <c r="D20" s="337" t="str">
        <f>ca_algorithm</f>
        <v>Value Missing</v>
      </c>
      <c r="E20" s="304" t="str">
        <f>IF(wld_signed_certs_result="Included","Values are defined in the Management Domain Post Deploy Tab - Click to link","")</f>
        <v/>
      </c>
    </row>
    <row r="21" spans="2:5" ht="20.100000000000001" customHeight="1" x14ac:dyDescent="0.2">
      <c r="B21" s="4" t="s">
        <v>557</v>
      </c>
      <c r="C21" s="362">
        <f>sample_ca_key_size</f>
        <v>4096</v>
      </c>
      <c r="D21" s="337" t="str">
        <f>ca_key_size</f>
        <v>Value Missing</v>
      </c>
      <c r="E21" s="4"/>
    </row>
    <row r="22" spans="2:5" ht="20.100000000000001" customHeight="1" x14ac:dyDescent="0.2">
      <c r="B22" s="4" t="s">
        <v>555</v>
      </c>
      <c r="C22" s="362" t="str">
        <f>sample_ca_email_address</f>
        <v>administrator@rainpole.io</v>
      </c>
      <c r="D22" s="337" t="str">
        <f>ca_email_address</f>
        <v>Value Missing</v>
      </c>
      <c r="E22" s="4"/>
    </row>
    <row r="23" spans="2:5" ht="20.100000000000001" customHeight="1" x14ac:dyDescent="0.2">
      <c r="B23" s="4" t="s">
        <v>547</v>
      </c>
      <c r="C23" s="362" t="str">
        <f>sample_ca_organization_unit</f>
        <v>Rainpole</v>
      </c>
      <c r="D23" s="337" t="str">
        <f>ca_organization_unit</f>
        <v>Value Missing</v>
      </c>
      <c r="E23" s="4"/>
    </row>
    <row r="24" spans="2:5" ht="20.100000000000001" customHeight="1" x14ac:dyDescent="0.2">
      <c r="B24" s="4" t="s">
        <v>562</v>
      </c>
      <c r="C24" s="362" t="str">
        <f>sample_ca_organization</f>
        <v>IT</v>
      </c>
      <c r="D24" s="337" t="str">
        <f>ca_organization</f>
        <v>Value Missing</v>
      </c>
      <c r="E24" s="4"/>
    </row>
    <row r="25" spans="2:5" ht="20.100000000000001" customHeight="1" x14ac:dyDescent="0.2">
      <c r="B25" s="4" t="s">
        <v>553</v>
      </c>
      <c r="C25" s="362" t="str">
        <f>sample_ca_locality</f>
        <v>San Francisco</v>
      </c>
      <c r="D25" s="337" t="str">
        <f>ca_locality</f>
        <v>Value Missing</v>
      </c>
      <c r="E25" s="4"/>
    </row>
    <row r="26" spans="2:5" ht="20.100000000000001" customHeight="1" x14ac:dyDescent="0.2">
      <c r="B26" s="4" t="s">
        <v>551</v>
      </c>
      <c r="C26" s="362" t="str">
        <f>sample_ca_state</f>
        <v>CA</v>
      </c>
      <c r="D26" s="337" t="str">
        <f>ca_state</f>
        <v>Value Missing</v>
      </c>
      <c r="E26" s="4"/>
    </row>
    <row r="27" spans="2:5" ht="20.100000000000001" customHeight="1" x14ac:dyDescent="0.2">
      <c r="B27" s="4" t="s">
        <v>549</v>
      </c>
      <c r="C27" s="362" t="str">
        <f>sample_ca_country</f>
        <v>US</v>
      </c>
      <c r="D27" s="337" t="str">
        <f>ca_country</f>
        <v>Value Missing</v>
      </c>
      <c r="E27" s="4"/>
    </row>
    <row r="28" spans="2:5" ht="15.95" customHeight="1" x14ac:dyDescent="0.2"/>
    <row r="29" spans="2:5" ht="33.950000000000003" customHeight="1" x14ac:dyDescent="0.2">
      <c r="B29" s="525" t="s">
        <v>1420</v>
      </c>
      <c r="C29" s="526"/>
      <c r="D29" s="526"/>
      <c r="E29" s="527"/>
    </row>
    <row r="30" spans="2:5" ht="20.100000000000001" customHeight="1" x14ac:dyDescent="0.2">
      <c r="B30" s="414" t="s">
        <v>1421</v>
      </c>
      <c r="C30" s="415"/>
      <c r="D30" s="415"/>
      <c r="E30" s="416"/>
    </row>
    <row r="31" spans="2:5" ht="20.100000000000001" customHeight="1" x14ac:dyDescent="0.2">
      <c r="B31" s="346" t="s">
        <v>37</v>
      </c>
      <c r="C31" s="346" t="s">
        <v>276</v>
      </c>
      <c r="D31" s="346" t="s">
        <v>277</v>
      </c>
      <c r="E31" s="346" t="s">
        <v>5</v>
      </c>
    </row>
    <row r="32" spans="2:5" ht="20.100000000000001" customHeight="1" x14ac:dyDescent="0.2">
      <c r="B32" s="528" t="s">
        <v>569</v>
      </c>
      <c r="C32" s="529"/>
      <c r="D32" s="529"/>
      <c r="E32" s="530"/>
    </row>
    <row r="33" spans="2:5" ht="20.100000000000001" customHeight="1" x14ac:dyDescent="0.2">
      <c r="B33" s="4" t="s">
        <v>569</v>
      </c>
      <c r="C33" s="362" t="s">
        <v>570</v>
      </c>
      <c r="D33" s="337" t="str">
        <f>wld_bgp_chosen</f>
        <v>Exclude</v>
      </c>
      <c r="E33" s="4"/>
    </row>
    <row r="34" spans="2:5" ht="20.100000000000001" customHeight="1" x14ac:dyDescent="0.2">
      <c r="B34" s="528" t="s">
        <v>571</v>
      </c>
      <c r="C34" s="529"/>
      <c r="D34" s="529"/>
      <c r="E34" s="530"/>
    </row>
    <row r="35" spans="2:5" ht="20.100000000000001" customHeight="1" x14ac:dyDescent="0.2">
      <c r="B35" s="351" t="s">
        <v>398</v>
      </c>
      <c r="C35" s="362" t="str">
        <f>_xlfn.CONCAT(prefix_wld_az1_vlan,98)</f>
        <v>1398</v>
      </c>
      <c r="D35" s="347"/>
      <c r="E35" s="4"/>
    </row>
    <row r="36" spans="2:5" ht="20.100000000000001" customHeight="1" x14ac:dyDescent="0.2">
      <c r="B36" s="351" t="s">
        <v>572</v>
      </c>
      <c r="C36" s="362" t="str">
        <f>CONCATENATE(prefix_wld_az1_cidr,"98.1/24")</f>
        <v>10.13.98.1/24</v>
      </c>
      <c r="D36" s="347"/>
      <c r="E36" s="4"/>
    </row>
    <row r="37" spans="2:5" ht="20.100000000000001" customHeight="1" x14ac:dyDescent="0.2">
      <c r="B37" s="528" t="s">
        <v>574</v>
      </c>
      <c r="C37" s="529"/>
      <c r="D37" s="529"/>
      <c r="E37" s="530"/>
    </row>
    <row r="38" spans="2:5" ht="20.100000000000001" customHeight="1" x14ac:dyDescent="0.2">
      <c r="B38" s="4" t="s">
        <v>575</v>
      </c>
      <c r="C38" s="362" t="str">
        <f>CONCATENATE(this_instance,"-w0",wld_domain_number_chosen,"-ec01")</f>
        <v>sfo-w01-ec01</v>
      </c>
      <c r="D38" s="347"/>
      <c r="E38" s="4"/>
    </row>
    <row r="39" spans="2:5" ht="20.100000000000001" customHeight="1" x14ac:dyDescent="0.2">
      <c r="B39" s="4" t="s">
        <v>576</v>
      </c>
      <c r="C39" s="362">
        <v>1700</v>
      </c>
      <c r="D39" s="94"/>
      <c r="E39" s="337" t="s">
        <v>1422</v>
      </c>
    </row>
    <row r="40" spans="2:5" ht="20.100000000000001" customHeight="1" x14ac:dyDescent="0.2">
      <c r="B40" s="4" t="s">
        <v>578</v>
      </c>
      <c r="C40" s="362" t="s">
        <v>227</v>
      </c>
      <c r="D40" s="347" t="s">
        <v>227</v>
      </c>
      <c r="E40" s="4"/>
    </row>
    <row r="41" spans="2:5" ht="20.100000000000001" customHeight="1" x14ac:dyDescent="0.2">
      <c r="B41" s="528" t="s">
        <v>579</v>
      </c>
      <c r="C41" s="529"/>
      <c r="D41" s="529"/>
      <c r="E41" s="530"/>
    </row>
    <row r="42" spans="2:5" ht="20.100000000000001" customHeight="1" x14ac:dyDescent="0.2">
      <c r="B42" s="4" t="s">
        <v>580</v>
      </c>
      <c r="C42" s="172" t="str">
        <f>CONCATENATE(this_instance,"-w0",wld_domain_number_chosen,"-r01-en01",".",sample_child_dns_zone)</f>
        <v>sfo-w01-r01-en01.sfo.rainpole.io</v>
      </c>
      <c r="D42" s="173"/>
      <c r="E42" s="337"/>
    </row>
    <row r="43" spans="2:5" ht="20.100000000000001" customHeight="1" x14ac:dyDescent="0.2">
      <c r="B43" s="4" t="s">
        <v>302</v>
      </c>
      <c r="C43" s="362" t="str">
        <f>sample_wld_cl01_cluster</f>
        <v>sfo-w01-cl01</v>
      </c>
      <c r="D43" s="343" t="str">
        <f>wld_cl01_cluster</f>
        <v>Value Missing</v>
      </c>
      <c r="E43" s="319" t="s">
        <v>1423</v>
      </c>
    </row>
    <row r="44" spans="2:5" ht="20.100000000000001" customHeight="1" x14ac:dyDescent="0.2">
      <c r="B44" s="4" t="s">
        <v>582</v>
      </c>
      <c r="C44" s="362" t="str">
        <f>CONCATENATE(this_instance,"-w0",wld_domain_number_chosen,"-cl01-rp-ec01")</f>
        <v>sfo-w01-cl01-rp-ec01</v>
      </c>
      <c r="D44" s="94"/>
      <c r="E44" s="337" t="s">
        <v>583</v>
      </c>
    </row>
    <row r="45" spans="2:5" ht="20.100000000000001" customHeight="1" x14ac:dyDescent="0.2">
      <c r="B45" s="4" t="s">
        <v>584</v>
      </c>
      <c r="C45" s="362" t="s">
        <v>585</v>
      </c>
      <c r="D45" s="94" t="s">
        <v>585</v>
      </c>
      <c r="E45" s="337"/>
    </row>
    <row r="46" spans="2:5" ht="20.100000000000001" customHeight="1" x14ac:dyDescent="0.2">
      <c r="B46" s="4" t="s">
        <v>586</v>
      </c>
      <c r="C46" s="362" t="str">
        <f>CONCATENATE(sample_wld_sddc_domain,"-host-group-affinity-rule-ec01-en01")</f>
        <v>sfo-w01-host-group-affinity-rule-ec01-en01</v>
      </c>
      <c r="D46" s="94"/>
      <c r="E46" s="337" t="s">
        <v>1424</v>
      </c>
    </row>
    <row r="47" spans="2:5" ht="20.100000000000001" customHeight="1" x14ac:dyDescent="0.2">
      <c r="B47" s="4" t="s">
        <v>1425</v>
      </c>
      <c r="C47" s="362" t="str">
        <f>sample_wld_cl01_vsan_datastore</f>
        <v>sfo-w01-sfo-w01-cl01-vsan01</v>
      </c>
      <c r="D47" s="343" t="str">
        <f>wld_cl01_vsan_datastore</f>
        <v>Value Missing</v>
      </c>
      <c r="E47" s="319" t="s">
        <v>1426</v>
      </c>
    </row>
    <row r="48" spans="2:5" ht="20.100000000000001" customHeight="1" x14ac:dyDescent="0.2">
      <c r="B48" s="4" t="s">
        <v>589</v>
      </c>
      <c r="C48" s="89" t="s">
        <v>590</v>
      </c>
      <c r="D48" s="347" t="s">
        <v>590</v>
      </c>
      <c r="E48" s="337"/>
    </row>
    <row r="49" spans="2:5" ht="20.100000000000001" customHeight="1" x14ac:dyDescent="0.2">
      <c r="B49" s="4" t="s">
        <v>591</v>
      </c>
      <c r="C49" s="174" t="str">
        <f>sample_wld_cl01_az1_mgmt_vm_pg</f>
        <v>sfo-w01-cl01-vds01-pg-vm-mgmt</v>
      </c>
      <c r="D49" s="343" t="str">
        <f>wld_cl01_az1_mgmt_vm_pg</f>
        <v>Value Missing</v>
      </c>
      <c r="E49" s="319" t="s">
        <v>1427</v>
      </c>
    </row>
    <row r="50" spans="2:5" ht="20.100000000000001" customHeight="1" x14ac:dyDescent="0.2">
      <c r="B50" s="4" t="s">
        <v>593</v>
      </c>
      <c r="C50" s="174"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10.13.10.135/24</v>
      </c>
      <c r="D50" s="347"/>
      <c r="E50" s="337"/>
    </row>
    <row r="51" spans="2:5" ht="20.100000000000001" customHeight="1" x14ac:dyDescent="0.2">
      <c r="B51" s="4" t="s">
        <v>594</v>
      </c>
      <c r="C51" s="174" t="str">
        <f>sample_wld_az1_mgmt_vm_gateway_ip</f>
        <v>10.13.10.1</v>
      </c>
      <c r="D51" s="337" t="str">
        <f>wld_az1_mgmt_vm_gateway_ip</f>
        <v>Value Missing</v>
      </c>
      <c r="E51" s="319" t="s">
        <v>1428</v>
      </c>
    </row>
    <row r="52" spans="2:5" ht="20.100000000000001" customHeight="1" x14ac:dyDescent="0.2">
      <c r="B52" s="4" t="s">
        <v>595</v>
      </c>
      <c r="C52" s="362" t="s">
        <v>596</v>
      </c>
      <c r="D52" s="94" t="s">
        <v>596</v>
      </c>
      <c r="E52" s="337"/>
    </row>
    <row r="53" spans="2:5" ht="20.100000000000001" customHeight="1" x14ac:dyDescent="0.2">
      <c r="B53" s="405" t="s">
        <v>1429</v>
      </c>
      <c r="C53" s="406"/>
      <c r="D53" s="406"/>
      <c r="E53" s="407"/>
    </row>
    <row r="54" spans="2:5" ht="20.100000000000001" customHeight="1" x14ac:dyDescent="0.2">
      <c r="B54" s="4" t="s">
        <v>598</v>
      </c>
      <c r="C54" s="362" t="s">
        <v>428</v>
      </c>
      <c r="D54" s="94"/>
      <c r="E54" s="337"/>
    </row>
    <row r="55" spans="2:5" ht="20.100000000000001" customHeight="1" x14ac:dyDescent="0.2">
      <c r="B55" s="17" t="s">
        <v>598</v>
      </c>
      <c r="C55" s="362" t="s">
        <v>429</v>
      </c>
      <c r="D55" s="94"/>
      <c r="E55" s="337"/>
    </row>
    <row r="56" spans="2:5" ht="20.100000000000001" customHeight="1" x14ac:dyDescent="0.2">
      <c r="B56" s="17" t="s">
        <v>601</v>
      </c>
      <c r="C56" s="362" t="s">
        <v>429</v>
      </c>
      <c r="D56" s="94"/>
      <c r="E56" s="337"/>
    </row>
    <row r="57" spans="2:5" ht="20.100000000000001" customHeight="1" x14ac:dyDescent="0.2">
      <c r="B57" s="22" t="s">
        <v>601</v>
      </c>
      <c r="C57" s="362" t="s">
        <v>428</v>
      </c>
      <c r="D57" s="94"/>
      <c r="E57" s="337"/>
    </row>
    <row r="58" spans="2:5" ht="20.100000000000001" customHeight="1" x14ac:dyDescent="0.2">
      <c r="B58" s="4" t="s">
        <v>602</v>
      </c>
      <c r="C58" s="80" t="str">
        <f>CONCATENATE(prefix_wld_az1_vlan,"19")</f>
        <v>1319</v>
      </c>
      <c r="D58" s="347"/>
      <c r="E58" s="337"/>
    </row>
    <row r="59" spans="2:5" ht="20.100000000000001" customHeight="1" x14ac:dyDescent="0.2">
      <c r="B59" s="4" t="s">
        <v>603</v>
      </c>
      <c r="C59" s="362" t="s">
        <v>604</v>
      </c>
      <c r="D59" s="94" t="s">
        <v>604</v>
      </c>
      <c r="E59" s="337"/>
    </row>
    <row r="60" spans="2:5" ht="20.100000000000001" customHeight="1" x14ac:dyDescent="0.2">
      <c r="B60" s="4" t="s">
        <v>605</v>
      </c>
      <c r="C60" s="89" t="str">
        <f>CONCATENATE(sample_wld_sddc_domain,"-r01-ip-pool02-edge")</f>
        <v>sfo-w01-r01-ip-pool02-edge</v>
      </c>
      <c r="D60" s="347"/>
      <c r="E60" s="337"/>
    </row>
    <row r="61" spans="2:5" ht="20.100000000000001" customHeight="1" x14ac:dyDescent="0.2">
      <c r="B61" s="4" t="s">
        <v>606</v>
      </c>
      <c r="C61" s="80" t="str">
        <f>CONCATENATE(prefix_wld_az1_cidr,"19.2")</f>
        <v>10.13.19.2</v>
      </c>
      <c r="D61" s="347"/>
      <c r="E61" s="337"/>
    </row>
    <row r="62" spans="2:5" ht="20.100000000000001" customHeight="1" x14ac:dyDescent="0.2">
      <c r="B62" s="4" t="s">
        <v>607</v>
      </c>
      <c r="C62" s="80" t="str">
        <f>CONCATENATE(prefix_wld_az1_cidr,"19.5")</f>
        <v>10.13.19.5</v>
      </c>
      <c r="D62" s="347"/>
      <c r="E62" s="337"/>
    </row>
    <row r="63" spans="2:5" ht="20.100000000000001" customHeight="1" x14ac:dyDescent="0.2">
      <c r="B63" s="4" t="s">
        <v>608</v>
      </c>
      <c r="C63" s="89" t="str">
        <f>CONCATENATE(prefix_wld_az1_cidr,"19.2")</f>
        <v>10.13.19.2</v>
      </c>
      <c r="D63" s="347"/>
      <c r="E63" s="337" t="s">
        <v>1430</v>
      </c>
    </row>
    <row r="64" spans="2:5" ht="20.100000000000001" customHeight="1" x14ac:dyDescent="0.2">
      <c r="B64" s="4" t="s">
        <v>609</v>
      </c>
      <c r="C64" s="89" t="str">
        <f>CONCATENATE(prefix_wld_az1_cidr,"19.3")</f>
        <v>10.13.19.3</v>
      </c>
      <c r="D64" s="347"/>
      <c r="E64" s="337" t="s">
        <v>1431</v>
      </c>
    </row>
    <row r="65" spans="2:5" ht="20.100000000000001" customHeight="1" x14ac:dyDescent="0.2">
      <c r="B65" s="4" t="s">
        <v>610</v>
      </c>
      <c r="C65" s="80" t="str">
        <f>CONCATENATE(prefix_wld_az1_cidr,"19.1")</f>
        <v>10.13.19.1</v>
      </c>
      <c r="D65" s="347"/>
      <c r="E65" s="337"/>
    </row>
    <row r="66" spans="2:5" ht="20.100000000000001" customHeight="1" x14ac:dyDescent="0.2">
      <c r="B66" s="4" t="s">
        <v>611</v>
      </c>
      <c r="C66" s="362" t="s">
        <v>612</v>
      </c>
      <c r="D66" s="94"/>
      <c r="E66" s="337"/>
    </row>
    <row r="67" spans="2:5" ht="20.100000000000001" customHeight="1" x14ac:dyDescent="0.2">
      <c r="B67" s="528" t="s">
        <v>613</v>
      </c>
      <c r="C67" s="529"/>
      <c r="D67" s="529"/>
      <c r="E67" s="530"/>
    </row>
    <row r="68" spans="2:5" ht="20.100000000000001" customHeight="1" x14ac:dyDescent="0.2">
      <c r="B68" s="4" t="s">
        <v>614</v>
      </c>
      <c r="C68" s="89" t="str">
        <f>CONCATENATE(this_instance,"-w0",wld_domain_number_chosen,"-r01-en02",".",sample_child_dns_zone)</f>
        <v>sfo-w01-r01-en02.sfo.rainpole.io</v>
      </c>
      <c r="D68" s="347"/>
      <c r="E68" s="337"/>
    </row>
    <row r="69" spans="2:5" ht="20.100000000000001" customHeight="1" x14ac:dyDescent="0.2">
      <c r="B69" s="4" t="s">
        <v>302</v>
      </c>
      <c r="C69" s="362" t="str">
        <f>sample_wld_cl01_cluster</f>
        <v>sfo-w01-cl01</v>
      </c>
      <c r="D69" s="343" t="str">
        <f>wld_cl01_cluster</f>
        <v>Value Missing</v>
      </c>
      <c r="E69" s="319" t="s">
        <v>1423</v>
      </c>
    </row>
    <row r="70" spans="2:5" ht="20.100000000000001" customHeight="1" x14ac:dyDescent="0.2">
      <c r="B70" s="4" t="s">
        <v>582</v>
      </c>
      <c r="C70" s="362" t="str">
        <f>sample_wld_ec_rp_name</f>
        <v>sfo-w01-cl01-rp-ec01</v>
      </c>
      <c r="D70" s="343" t="str">
        <f>wld_ec_rp_name</f>
        <v>Value Missing</v>
      </c>
      <c r="E70" s="319" t="s">
        <v>583</v>
      </c>
    </row>
    <row r="71" spans="2:5" ht="20.100000000000001" customHeight="1" x14ac:dyDescent="0.2">
      <c r="B71" s="4" t="s">
        <v>584</v>
      </c>
      <c r="C71" s="362" t="s">
        <v>585</v>
      </c>
      <c r="D71" s="343" t="str">
        <f>wld_ec01_host_group_affinity_rule_chosen</f>
        <v>No</v>
      </c>
      <c r="E71" s="337" t="s">
        <v>1432</v>
      </c>
    </row>
    <row r="72" spans="2:5" ht="20.100000000000001" customHeight="1" x14ac:dyDescent="0.2">
      <c r="B72" s="4" t="s">
        <v>586</v>
      </c>
      <c r="C72" s="362" t="str">
        <f>CONCATENATE(sample_wld_sddc_domain,"-host-group-affinity-rule-ec01-en02")</f>
        <v>sfo-w01-host-group-affinity-rule-ec01-en02</v>
      </c>
      <c r="D72" s="94"/>
      <c r="E72" s="337" t="s">
        <v>1433</v>
      </c>
    </row>
    <row r="73" spans="2:5" ht="20.100000000000001" customHeight="1" x14ac:dyDescent="0.2">
      <c r="B73" s="4" t="s">
        <v>1425</v>
      </c>
      <c r="C73" s="362" t="str">
        <f>sample_wld_cl01_vsan_datastore</f>
        <v>sfo-w01-sfo-w01-cl01-vsan01</v>
      </c>
      <c r="D73" s="343" t="str">
        <f>wld_cl01_vsan_datastore</f>
        <v>Value Missing</v>
      </c>
      <c r="E73" s="319" t="s">
        <v>1426</v>
      </c>
    </row>
    <row r="74" spans="2:5" ht="20.100000000000001" customHeight="1" x14ac:dyDescent="0.2">
      <c r="B74" s="4" t="s">
        <v>589</v>
      </c>
      <c r="C74" s="89" t="s">
        <v>590</v>
      </c>
      <c r="D74" s="337" t="s">
        <v>590</v>
      </c>
      <c r="E74" s="286"/>
    </row>
    <row r="75" spans="2:5" ht="20.100000000000001" customHeight="1" x14ac:dyDescent="0.2">
      <c r="B75" s="4" t="s">
        <v>591</v>
      </c>
      <c r="C75" s="89" t="str">
        <f>sample_wld_cl01_az1_mgmt_vm_pg</f>
        <v>sfo-w01-cl01-vds01-pg-vm-mgmt</v>
      </c>
      <c r="D75" s="337" t="str">
        <f>wld_cl01_az1_mgmt_vm_pg</f>
        <v>Value Missing</v>
      </c>
      <c r="E75" s="319" t="s">
        <v>1427</v>
      </c>
    </row>
    <row r="76" spans="2:5" ht="20.100000000000001" customHeight="1" x14ac:dyDescent="0.2">
      <c r="B76" s="4" t="s">
        <v>617</v>
      </c>
      <c r="C76" s="89"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10.13.10.136/24</v>
      </c>
      <c r="D76" s="94"/>
      <c r="E76" s="337"/>
    </row>
    <row r="77" spans="2:5" ht="20.100000000000001" customHeight="1" x14ac:dyDescent="0.2">
      <c r="B77" s="4" t="s">
        <v>618</v>
      </c>
      <c r="C77" s="362" t="str">
        <f>sample_wld_az1_mgmt_vm_gateway_ip</f>
        <v>10.13.10.1</v>
      </c>
      <c r="D77" s="343" t="str">
        <f>wld_az1_mgmt_vm_gateway_ip</f>
        <v>Value Missing</v>
      </c>
      <c r="E77" s="319" t="s">
        <v>1428</v>
      </c>
    </row>
    <row r="78" spans="2:5" ht="20.100000000000001" customHeight="1" x14ac:dyDescent="0.2">
      <c r="B78" s="4" t="s">
        <v>595</v>
      </c>
      <c r="C78" s="362" t="s">
        <v>286</v>
      </c>
      <c r="D78" s="343" t="str">
        <f>wld_ec01_use_host_overlay_chosen</f>
        <v xml:space="preserve">Unselected </v>
      </c>
      <c r="E78" s="153" t="s">
        <v>1434</v>
      </c>
    </row>
    <row r="79" spans="2:5" ht="20.100000000000001" customHeight="1" x14ac:dyDescent="0.2">
      <c r="B79" s="405" t="s">
        <v>1429</v>
      </c>
      <c r="C79" s="406"/>
      <c r="D79" s="406"/>
      <c r="E79" s="407"/>
    </row>
    <row r="80" spans="2:5" ht="20.100000000000001" customHeight="1" x14ac:dyDescent="0.2">
      <c r="B80" s="4" t="s">
        <v>598</v>
      </c>
      <c r="C80" s="362" t="s">
        <v>428</v>
      </c>
      <c r="D80" s="94"/>
      <c r="E80" s="337" t="s">
        <v>599</v>
      </c>
    </row>
    <row r="81" spans="2:5" ht="20.100000000000001" customHeight="1" x14ac:dyDescent="0.2">
      <c r="B81" s="17" t="s">
        <v>598</v>
      </c>
      <c r="C81" s="362" t="s">
        <v>429</v>
      </c>
      <c r="D81" s="94"/>
      <c r="E81" s="337" t="s">
        <v>600</v>
      </c>
    </row>
    <row r="82" spans="2:5" ht="20.100000000000001" customHeight="1" x14ac:dyDescent="0.2">
      <c r="B82" s="17" t="s">
        <v>601</v>
      </c>
      <c r="C82" s="362" t="s">
        <v>428</v>
      </c>
      <c r="D82" s="94"/>
      <c r="E82" s="337" t="s">
        <v>599</v>
      </c>
    </row>
    <row r="83" spans="2:5" ht="20.100000000000001" customHeight="1" x14ac:dyDescent="0.2">
      <c r="B83" s="22" t="s">
        <v>601</v>
      </c>
      <c r="C83" s="362" t="s">
        <v>429</v>
      </c>
      <c r="D83" s="94"/>
      <c r="E83" s="337" t="s">
        <v>600</v>
      </c>
    </row>
    <row r="84" spans="2:5" ht="20.100000000000001" customHeight="1" x14ac:dyDescent="0.2">
      <c r="B84" s="4" t="s">
        <v>602</v>
      </c>
      <c r="C84" s="80" t="str">
        <f>sample_wld_az1_edge_overlay_vlan</f>
        <v>1319</v>
      </c>
      <c r="D84" s="337" t="str">
        <f>wld_az1_edge_overlay_vlan</f>
        <v>Value Missing</v>
      </c>
      <c r="E84" s="337"/>
    </row>
    <row r="85" spans="2:5" ht="20.100000000000001" customHeight="1" x14ac:dyDescent="0.2">
      <c r="B85" s="4" t="s">
        <v>603</v>
      </c>
      <c r="C85" s="362" t="s">
        <v>604</v>
      </c>
      <c r="D85" s="343" t="str">
        <f>wld_az1_en1_edge_overlay_network_ip_allocation_chosen</f>
        <v>Static IP List</v>
      </c>
      <c r="E85" s="153" t="s">
        <v>1434</v>
      </c>
    </row>
    <row r="86" spans="2:5" ht="20.100000000000001" customHeight="1" x14ac:dyDescent="0.2">
      <c r="B86" s="4" t="s">
        <v>605</v>
      </c>
      <c r="C86" s="362" t="str">
        <f>sample_wld_az1_edge_overlay_network_pool_name</f>
        <v>sfo-w01-r01-ip-pool02-edge</v>
      </c>
      <c r="D86" s="343" t="str">
        <f>wld_az1_edge_overlay_network_pool_name</f>
        <v>Value Missing</v>
      </c>
      <c r="E86" s="337"/>
    </row>
    <row r="87" spans="2:5" ht="20.100000000000001" customHeight="1" x14ac:dyDescent="0.2">
      <c r="B87" s="4" t="s">
        <v>1435</v>
      </c>
      <c r="C87" s="89" t="str">
        <f>CONCATENATE(prefix_wld_az1_cidr,"19.4")</f>
        <v>10.13.19.4</v>
      </c>
      <c r="D87" s="347"/>
      <c r="E87" s="337" t="s">
        <v>1436</v>
      </c>
    </row>
    <row r="88" spans="2:5" ht="20.100000000000001" customHeight="1" x14ac:dyDescent="0.2">
      <c r="B88" s="4" t="s">
        <v>1437</v>
      </c>
      <c r="C88" s="89" t="str">
        <f>CONCATENATE(prefix_wld_az1_cidr,"19.5")</f>
        <v>10.13.19.5</v>
      </c>
      <c r="D88" s="347"/>
      <c r="E88" s="337" t="s">
        <v>1438</v>
      </c>
    </row>
    <row r="89" spans="2:5" ht="20.100000000000001" customHeight="1" x14ac:dyDescent="0.2">
      <c r="B89" s="4" t="s">
        <v>610</v>
      </c>
      <c r="C89" s="362" t="str">
        <f>sample_wld_az1_edge_overlay_gateway_ip</f>
        <v>10.13.19.1</v>
      </c>
      <c r="D89" s="337" t="str">
        <f>wld_az1_edge_overlay_gateway_ip</f>
        <v>Value Missing</v>
      </c>
      <c r="E89" s="337"/>
    </row>
    <row r="90" spans="2:5" ht="20.100000000000001" customHeight="1" x14ac:dyDescent="0.2">
      <c r="B90" s="4" t="s">
        <v>611</v>
      </c>
      <c r="C90" s="362" t="str">
        <f>sample_wld_az1_edge_overlay_mask</f>
        <v>255.255.255.0</v>
      </c>
      <c r="D90" s="343" t="str">
        <f>wld_az1_edge_overlay_mask</f>
        <v>Value Missing</v>
      </c>
      <c r="E90" s="153" t="s">
        <v>1434</v>
      </c>
    </row>
    <row r="91" spans="2:5" ht="20.100000000000001" customHeight="1" x14ac:dyDescent="0.2">
      <c r="B91" s="4" t="s">
        <v>623</v>
      </c>
      <c r="C91" s="362" t="s">
        <v>596</v>
      </c>
      <c r="D91" s="94" t="s">
        <v>596</v>
      </c>
      <c r="E91" s="337"/>
    </row>
    <row r="92" spans="2:5" ht="20.100000000000001" customHeight="1" x14ac:dyDescent="0.2">
      <c r="B92" s="4" t="s">
        <v>624</v>
      </c>
      <c r="C92" s="362" t="s">
        <v>297</v>
      </c>
      <c r="D92" s="347"/>
      <c r="E92" s="337"/>
    </row>
    <row r="93" spans="2:5" ht="20.100000000000001" customHeight="1" x14ac:dyDescent="0.2">
      <c r="B93" s="4" t="s">
        <v>625</v>
      </c>
      <c r="C93" s="362" t="s">
        <v>297</v>
      </c>
      <c r="D93" s="347"/>
      <c r="E93" s="337"/>
    </row>
    <row r="94" spans="2:5" ht="20.100000000000001" customHeight="1" x14ac:dyDescent="0.2">
      <c r="B94" s="405" t="s">
        <v>626</v>
      </c>
      <c r="C94" s="406"/>
      <c r="D94" s="406"/>
      <c r="E94" s="407"/>
    </row>
    <row r="95" spans="2:5" ht="20.100000000000001" customHeight="1" x14ac:dyDescent="0.2">
      <c r="B95" s="4" t="s">
        <v>627</v>
      </c>
      <c r="C95" s="362" t="str">
        <f>IF(AND(OR(wld_nsxt_federation_chosen="Standby Global Manager",wld_nsxt_federation_chosen="Connect Instance"),(wld_bgp_chosen="Centralized Connectivity")),"Selected","Unselected")</f>
        <v>Unselected</v>
      </c>
      <c r="D95" s="347" t="s">
        <v>286</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100000000000001" customHeight="1" x14ac:dyDescent="0.2">
      <c r="B96" s="4" t="s">
        <v>628</v>
      </c>
      <c r="C96" s="126" t="str">
        <f>CONCATENATE(this_instance,"-w0",wld_domain_number_chosen,"-ec01-t0-gw01")</f>
        <v>sfo-w01-ec01-t0-gw01</v>
      </c>
      <c r="D96" s="347"/>
      <c r="E96" s="4"/>
    </row>
    <row r="97" spans="2:5" ht="20.100000000000001" customHeight="1" x14ac:dyDescent="0.2">
      <c r="B97" s="4" t="s">
        <v>629</v>
      </c>
      <c r="C97" s="362" t="s">
        <v>1439</v>
      </c>
      <c r="D97" s="94" t="s">
        <v>1439</v>
      </c>
      <c r="E97" s="4" t="str">
        <f>IF(wld_iaas_result="Included","vSphere Supervisor requires a Active Standby Gateway Configuration","")</f>
        <v/>
      </c>
    </row>
    <row r="98" spans="2:5" ht="20.100000000000001" customHeight="1" x14ac:dyDescent="0.2">
      <c r="B98" s="4" t="s">
        <v>631</v>
      </c>
      <c r="C98" s="362" t="s">
        <v>632</v>
      </c>
      <c r="D98" s="94" t="s">
        <v>632</v>
      </c>
      <c r="E98" s="4"/>
    </row>
    <row r="99" spans="2:5" ht="20.100000000000001" customHeight="1" x14ac:dyDescent="0.2">
      <c r="B99" s="4" t="s">
        <v>633</v>
      </c>
      <c r="C99" s="80" t="str">
        <f>IF(mgmt_domain_chosen="First Instance","65102","65202")</f>
        <v>65102</v>
      </c>
      <c r="D99" s="347"/>
      <c r="E99" s="4"/>
    </row>
    <row r="100" spans="2:5" ht="20.100000000000001" customHeight="1" x14ac:dyDescent="0.2">
      <c r="B100" s="405" t="s">
        <v>634</v>
      </c>
      <c r="C100" s="406"/>
      <c r="D100" s="406"/>
      <c r="E100" s="407"/>
    </row>
    <row r="101" spans="2:5" ht="20.100000000000001" customHeight="1" x14ac:dyDescent="0.2">
      <c r="B101" s="351" t="s">
        <v>635</v>
      </c>
      <c r="C101" s="80" t="str">
        <f>CONCATENATE(prefix_wld_az1_vlan,"17")</f>
        <v>1317</v>
      </c>
      <c r="D101" s="347"/>
      <c r="E101" s="337" t="s">
        <v>636</v>
      </c>
    </row>
    <row r="102" spans="2:5" ht="20.100000000000001" customHeight="1" x14ac:dyDescent="0.2">
      <c r="B102" s="351" t="s">
        <v>637</v>
      </c>
      <c r="C102" s="89" t="str">
        <f>CONCATENATE(prefix_wld_az1_cidr,"17.2","/",INT(RIGHT(sample_wld_az1_uplink01_cidr,LEN(sample_wld_az1_uplink01_cidr)-FIND("/",sample_wld_az1_uplink01_cidr))))</f>
        <v>10.13.17.2/24</v>
      </c>
      <c r="D102" s="347"/>
      <c r="E102" s="337" t="s">
        <v>1440</v>
      </c>
    </row>
    <row r="103" spans="2:5" ht="20.100000000000001" customHeight="1" x14ac:dyDescent="0.2">
      <c r="B103" s="351" t="s">
        <v>639</v>
      </c>
      <c r="C103" s="80" t="str">
        <f>CONCATENATE(prefix_wld_az1_cidr,"17.10")</f>
        <v>10.13.17.10</v>
      </c>
      <c r="D103" s="347"/>
      <c r="E103" s="337" t="s">
        <v>648</v>
      </c>
    </row>
    <row r="104" spans="2:5" ht="20.100000000000001" customHeight="1" x14ac:dyDescent="0.2">
      <c r="B104" s="351" t="s">
        <v>640</v>
      </c>
      <c r="C104" s="362" t="s">
        <v>323</v>
      </c>
      <c r="D104" s="347" t="s">
        <v>323</v>
      </c>
      <c r="E104" s="345"/>
    </row>
    <row r="105" spans="2:5" ht="20.100000000000001" customHeight="1" x14ac:dyDescent="0.2">
      <c r="B105" s="351" t="s">
        <v>401</v>
      </c>
      <c r="C105" s="80">
        <v>9000</v>
      </c>
      <c r="D105" s="347"/>
      <c r="E105" s="345"/>
    </row>
    <row r="106" spans="2:5" ht="20.100000000000001" customHeight="1" x14ac:dyDescent="0.2">
      <c r="B106" s="351" t="s">
        <v>641</v>
      </c>
      <c r="C106" s="80" t="str">
        <f>IF(wld_domain_chosen="First Domain",CONCATENATE(asn_start,asn_instance,asn_wld_az1,1),IF(wld_nsxt_federation_result="Included",CONCATENATE(asn_start,asn_instance,asn_wld_az1,1),CONCATENATE(asn_start,asn_instance,asn_wld_az1,1)))</f>
        <v>65131</v>
      </c>
      <c r="D106" s="347"/>
      <c r="E106" s="345"/>
    </row>
    <row r="107" spans="2:5" ht="20.100000000000001" customHeight="1" x14ac:dyDescent="0.2">
      <c r="B107" s="351" t="s">
        <v>642</v>
      </c>
      <c r="C107" s="80" t="s">
        <v>379</v>
      </c>
      <c r="D107" s="347"/>
      <c r="E107" s="345"/>
    </row>
    <row r="108" spans="2:5" ht="20.100000000000001" customHeight="1" x14ac:dyDescent="0.2">
      <c r="B108" s="351" t="s">
        <v>643</v>
      </c>
      <c r="C108" s="80" t="str">
        <f>CONCATENATE(prefix_wld_az1_vlan,"18")</f>
        <v>1318</v>
      </c>
      <c r="D108" s="347"/>
      <c r="E108" s="345" t="s">
        <v>644</v>
      </c>
    </row>
    <row r="109" spans="2:5" ht="20.100000000000001" customHeight="1" x14ac:dyDescent="0.2">
      <c r="B109" s="351" t="s">
        <v>637</v>
      </c>
      <c r="C109" s="89" t="str">
        <f>CONCATENATE(prefix_wld_az1_cidr,"18.2","/",INT(RIGHT(sample_wld_az1_uplink02_cidr,LEN(sample_wld_az1_uplink02_cidr)-FIND("/",sample_wld_az1_uplink02_cidr))))</f>
        <v>10.13.18.2/24</v>
      </c>
      <c r="D109" s="347"/>
      <c r="E109" s="345" t="s">
        <v>1441</v>
      </c>
    </row>
    <row r="110" spans="2:5" ht="20.100000000000001" customHeight="1" x14ac:dyDescent="0.2">
      <c r="B110" s="351" t="s">
        <v>639</v>
      </c>
      <c r="C110" s="80" t="str">
        <f>CONCATENATE(prefix_wld_az1_cidr,"18.10")</f>
        <v>10.13.18.10</v>
      </c>
      <c r="D110" s="347"/>
      <c r="E110" s="345" t="s">
        <v>1442</v>
      </c>
    </row>
    <row r="111" spans="2:5" ht="20.100000000000001" customHeight="1" x14ac:dyDescent="0.2">
      <c r="B111" s="351" t="s">
        <v>640</v>
      </c>
      <c r="C111" s="362" t="s">
        <v>323</v>
      </c>
      <c r="D111" s="337" t="str">
        <f>wld_en01_bfd_chosen</f>
        <v>Selected</v>
      </c>
      <c r="E111" s="345"/>
    </row>
    <row r="112" spans="2:5" ht="20.100000000000001" customHeight="1" x14ac:dyDescent="0.2">
      <c r="B112" s="351" t="s">
        <v>401</v>
      </c>
      <c r="C112" s="80">
        <v>9000</v>
      </c>
      <c r="D112" s="347"/>
      <c r="E112" s="345"/>
    </row>
    <row r="113" spans="2:5" ht="20.100000000000001" customHeight="1" x14ac:dyDescent="0.2">
      <c r="B113" s="351" t="s">
        <v>641</v>
      </c>
      <c r="C113" s="80" t="str">
        <f>IF(wld_domain_chosen="First Domain",CONCATENATE(asn_start,asn_instance,asn_wld_az1,1),IF(wld_nsxt_federation_result="Included",CONCATENATE(asn_start,asn_instance,asn_wld_az1,1),CONCATENATE(asn_start,asn_instance,asn_wld_az1,1)))</f>
        <v>65131</v>
      </c>
      <c r="D113" s="347"/>
      <c r="E113" s="337"/>
    </row>
    <row r="114" spans="2:5" ht="20.100000000000001" customHeight="1" x14ac:dyDescent="0.2">
      <c r="B114" s="351" t="s">
        <v>642</v>
      </c>
      <c r="C114" s="80" t="s">
        <v>379</v>
      </c>
      <c r="D114" s="347"/>
      <c r="E114" s="337"/>
    </row>
    <row r="115" spans="2:5" ht="20.100000000000001" customHeight="1" x14ac:dyDescent="0.2">
      <c r="B115" s="405" t="s">
        <v>646</v>
      </c>
      <c r="C115" s="406"/>
      <c r="D115" s="406"/>
      <c r="E115" s="407"/>
    </row>
    <row r="116" spans="2:5" ht="20.100000000000001" customHeight="1" x14ac:dyDescent="0.2">
      <c r="B116" s="17" t="s">
        <v>635</v>
      </c>
      <c r="C116" s="362" t="str">
        <f>sample_wld_az1_uplink01_vlan</f>
        <v>1317</v>
      </c>
      <c r="D116" s="343" t="str">
        <f>wld_az1_uplink01_vlan</f>
        <v>Value Missing</v>
      </c>
      <c r="E116" s="153" t="s">
        <v>636</v>
      </c>
    </row>
    <row r="117" spans="2:5" ht="20.100000000000001" customHeight="1" x14ac:dyDescent="0.2">
      <c r="B117" s="17" t="s">
        <v>637</v>
      </c>
      <c r="C117" s="89" t="str">
        <f>CONCATENATE(prefix_wld_az1_cidr,"17.3","/",INT(RIGHT(sample_wld_az1_uplink01_cidr,LEN(sample_wld_az1_uplink01_cidr)-FIND("/",sample_wld_az1_uplink01_cidr))))</f>
        <v>10.13.17.3/24</v>
      </c>
      <c r="D117" s="347"/>
      <c r="E117" s="337" t="s">
        <v>647</v>
      </c>
    </row>
    <row r="118" spans="2:5" ht="20.100000000000001" customHeight="1" x14ac:dyDescent="0.2">
      <c r="B118" s="17" t="s">
        <v>639</v>
      </c>
      <c r="C118" s="362" t="str">
        <f>sample_wld_az1_tor1_peer_ip</f>
        <v>10.13.17.10</v>
      </c>
      <c r="D118" s="343" t="str">
        <f>wld_az1_tor1_peer_ip</f>
        <v>Value Missing</v>
      </c>
      <c r="E118" s="337" t="s">
        <v>648</v>
      </c>
    </row>
    <row r="119" spans="2:5" ht="20.100000000000001" customHeight="1" x14ac:dyDescent="0.2">
      <c r="B119" s="17" t="s">
        <v>640</v>
      </c>
      <c r="C119" s="362" t="s">
        <v>323</v>
      </c>
      <c r="D119" s="347" t="s">
        <v>323</v>
      </c>
      <c r="E119" s="253" t="s">
        <v>1434</v>
      </c>
    </row>
    <row r="120" spans="2:5" ht="20.100000000000001" customHeight="1" x14ac:dyDescent="0.2">
      <c r="B120" s="17" t="s">
        <v>401</v>
      </c>
      <c r="C120" s="362">
        <f>sample_wld_az1_uplink01_mtu</f>
        <v>9000</v>
      </c>
      <c r="D120" s="305" t="str">
        <f>wld_az1_uplink01_mtu</f>
        <v>Value Missing</v>
      </c>
      <c r="E120" s="253" t="s">
        <v>1434</v>
      </c>
    </row>
    <row r="121" spans="2:5" ht="20.100000000000001" customHeight="1" x14ac:dyDescent="0.2">
      <c r="B121" s="17" t="s">
        <v>641</v>
      </c>
      <c r="C121" s="362" t="str">
        <f>sample_wld_az1_tor1_peer_asn</f>
        <v>65131</v>
      </c>
      <c r="D121" s="343" t="str">
        <f>wld_az1_tor1_peer_asn</f>
        <v>Value Missing</v>
      </c>
      <c r="E121" s="253" t="s">
        <v>1434</v>
      </c>
    </row>
    <row r="122" spans="2:5" ht="20.100000000000001" customHeight="1" x14ac:dyDescent="0.2">
      <c r="B122" s="17" t="s">
        <v>642</v>
      </c>
      <c r="C122" s="362" t="str">
        <f>sample_wld_az1_tor1_peer_bgp_password</f>
        <v>VMw@re1!</v>
      </c>
      <c r="D122" s="343" t="str">
        <f>wld_az1_tor1_peer_bgp_password</f>
        <v>Value Missing</v>
      </c>
      <c r="E122" s="253" t="s">
        <v>1434</v>
      </c>
    </row>
    <row r="123" spans="2:5" ht="20.100000000000001" customHeight="1" x14ac:dyDescent="0.2">
      <c r="B123" s="17" t="s">
        <v>643</v>
      </c>
      <c r="C123" s="362" t="str">
        <f>sample_wld_az1_uplink02_vlan</f>
        <v>1318</v>
      </c>
      <c r="D123" s="343" t="str">
        <f>wld_az1_uplink02_vlan</f>
        <v>Value Missing</v>
      </c>
      <c r="E123" s="337" t="s">
        <v>644</v>
      </c>
    </row>
    <row r="124" spans="2:5" ht="20.100000000000001" customHeight="1" x14ac:dyDescent="0.2">
      <c r="B124" s="17" t="s">
        <v>637</v>
      </c>
      <c r="C124" s="89" t="str">
        <f>CONCATENATE(prefix_wld_az1_cidr,"18.3","/",INT(RIGHT(sample_wld_az1_uplink02_cidr,LEN(sample_wld_az1_uplink02_cidr)-FIND("/",sample_wld_az1_uplink02_cidr))))</f>
        <v>10.13.18.3/24</v>
      </c>
      <c r="D124" s="347"/>
      <c r="E124" s="337" t="s">
        <v>645</v>
      </c>
    </row>
    <row r="125" spans="2:5" ht="20.100000000000001" customHeight="1" x14ac:dyDescent="0.2">
      <c r="B125" s="17" t="s">
        <v>639</v>
      </c>
      <c r="C125" s="362" t="str">
        <f>sample_wld_az1_tor2_peer_ip</f>
        <v>10.13.18.10</v>
      </c>
      <c r="D125" s="343" t="str">
        <f>wld_az1_tor2_peer_ip</f>
        <v>Value Missing</v>
      </c>
      <c r="E125" s="337" t="s">
        <v>1443</v>
      </c>
    </row>
    <row r="126" spans="2:5" ht="20.100000000000001" customHeight="1" x14ac:dyDescent="0.2">
      <c r="B126" s="17" t="s">
        <v>640</v>
      </c>
      <c r="C126" s="362" t="s">
        <v>323</v>
      </c>
      <c r="D126" s="337" t="str">
        <f>wld_en02_bfd_chosen</f>
        <v>Selected</v>
      </c>
      <c r="E126" s="302"/>
    </row>
    <row r="127" spans="2:5" ht="20.100000000000001" customHeight="1" x14ac:dyDescent="0.2">
      <c r="B127" s="17" t="s">
        <v>401</v>
      </c>
      <c r="C127" s="362">
        <f>sample_wld_az1_uplink02_mtu</f>
        <v>9000</v>
      </c>
      <c r="D127" s="305" t="str">
        <f>wld_az1_uplink02_mtu</f>
        <v>Value Missing</v>
      </c>
      <c r="E127" s="345" t="s">
        <v>1434</v>
      </c>
    </row>
    <row r="128" spans="2:5" ht="20.100000000000001" customHeight="1" x14ac:dyDescent="0.2">
      <c r="B128" s="17" t="s">
        <v>641</v>
      </c>
      <c r="C128" s="362" t="str">
        <f>sample_wld_az1_tor2_peer_asn</f>
        <v>65131</v>
      </c>
      <c r="D128" s="343" t="str">
        <f>wld_az1_tor2_peer_asn</f>
        <v>Value Missing</v>
      </c>
      <c r="E128" s="345" t="s">
        <v>1434</v>
      </c>
    </row>
    <row r="129" spans="2:5" ht="20.100000000000001" customHeight="1" x14ac:dyDescent="0.2">
      <c r="B129" s="17" t="s">
        <v>642</v>
      </c>
      <c r="C129" s="362" t="str">
        <f>sample_wld_az1_tor2_peer_bgp_password</f>
        <v>VMw@re1!</v>
      </c>
      <c r="D129" s="343" t="str">
        <f>wld_az1_tor2_peer_bgp_password</f>
        <v>Value Missing</v>
      </c>
      <c r="E129" s="345" t="s">
        <v>1434</v>
      </c>
    </row>
    <row r="130" spans="2:5" ht="20.100000000000001" customHeight="1" x14ac:dyDescent="0.2">
      <c r="B130" s="414" t="s">
        <v>654</v>
      </c>
      <c r="C130" s="501"/>
      <c r="D130" s="415"/>
      <c r="E130" s="416"/>
    </row>
    <row r="131" spans="2:5" ht="20.100000000000001" customHeight="1" x14ac:dyDescent="0.2">
      <c r="B131" s="4" t="s">
        <v>655</v>
      </c>
      <c r="C131" s="362" t="s">
        <v>1444</v>
      </c>
      <c r="D131" s="94"/>
      <c r="E131" s="337" t="s">
        <v>657</v>
      </c>
    </row>
    <row r="132" spans="2:5" ht="20.100000000000001" customHeight="1" x14ac:dyDescent="0.2">
      <c r="B132" s="4" t="s">
        <v>658</v>
      </c>
      <c r="C132" s="362" t="str">
        <f>sample_wld_cl01_supervisor_private_transit_gateway_cidr</f>
        <v>172.25.0.0/16</v>
      </c>
      <c r="D132" s="347"/>
      <c r="E132" s="337" t="s">
        <v>1445</v>
      </c>
    </row>
    <row r="133" spans="2:5" ht="20.100000000000001" customHeight="1" x14ac:dyDescent="0.2">
      <c r="B133" s="414" t="s">
        <v>661</v>
      </c>
      <c r="C133" s="415"/>
      <c r="D133" s="415"/>
      <c r="E133" s="416"/>
    </row>
    <row r="134" spans="2:5" ht="20.100000000000001" customHeight="1" x14ac:dyDescent="0.2">
      <c r="B134" s="4" t="s">
        <v>662</v>
      </c>
      <c r="C134" s="80" t="s">
        <v>663</v>
      </c>
      <c r="D134" s="355" t="s">
        <v>663</v>
      </c>
      <c r="E134" s="4" t="str">
        <f>IF(wld_ec_api_chosen="Exclude","","Use the JSON Generator to create the JSON Spec - PATCH https://sfo-w01-nsx01.sfo.rainpole.io/policy/api/v1/infra")</f>
        <v>Use the JSON Generator to create the JSON Spec - PATCH https://sfo-w01-nsx01.sfo.rainpole.io/policy/api/v1/infra</v>
      </c>
    </row>
    <row r="135" spans="2:5" ht="20.100000000000001" customHeight="1" x14ac:dyDescent="0.2">
      <c r="B135" s="405" t="s">
        <v>664</v>
      </c>
      <c r="C135" s="406"/>
      <c r="D135" s="406"/>
      <c r="E135" s="407"/>
    </row>
    <row r="136" spans="2:5" ht="20.100000000000001" customHeight="1" x14ac:dyDescent="0.2">
      <c r="B136" s="4" t="s">
        <v>437</v>
      </c>
      <c r="C136" s="80" t="str">
        <f>CONCATENATE(sample_wld_sddc_domain,"-cl01-vds01","-pg-uplink01")</f>
        <v>sfo-w01-cl01-vds01-pg-uplink01</v>
      </c>
      <c r="D136" s="347"/>
      <c r="E136" s="33" t="s">
        <v>1446</v>
      </c>
    </row>
    <row r="137" spans="2:5" ht="20.100000000000001" customHeight="1" x14ac:dyDescent="0.2">
      <c r="B137" s="4" t="s">
        <v>399</v>
      </c>
      <c r="C137" s="80" t="str">
        <f>CONCATENATE(prefix_wld_az1_cidr,"17.1")</f>
        <v>10.13.17.1</v>
      </c>
      <c r="D137" s="347"/>
      <c r="E137" s="32"/>
    </row>
    <row r="138" spans="2:5" ht="20.100000000000001" customHeight="1" x14ac:dyDescent="0.2">
      <c r="B138" s="4" t="s">
        <v>400</v>
      </c>
      <c r="C138" s="80" t="str">
        <f>CONCATENATE(prefix_wld_az1_cidr,"17.0/24")</f>
        <v>10.13.17.0/24</v>
      </c>
      <c r="D138" s="347"/>
      <c r="E138" s="32"/>
    </row>
    <row r="139" spans="2:5" ht="20.100000000000001" customHeight="1" x14ac:dyDescent="0.2">
      <c r="B139" s="405" t="s">
        <v>666</v>
      </c>
      <c r="C139" s="406"/>
      <c r="D139" s="406"/>
      <c r="E139" s="407"/>
    </row>
    <row r="140" spans="2:5" ht="20.100000000000001" customHeight="1" x14ac:dyDescent="0.2">
      <c r="B140" s="4" t="s">
        <v>437</v>
      </c>
      <c r="C140" s="80" t="str">
        <f>CONCATENATE(sample_wld_sddc_domain,"-cl01-vds01","-pg-uplink02")</f>
        <v>sfo-w01-cl01-vds01-pg-uplink02</v>
      </c>
      <c r="D140" s="347"/>
      <c r="E140" s="33" t="s">
        <v>1446</v>
      </c>
    </row>
    <row r="141" spans="2:5" ht="20.100000000000001" customHeight="1" x14ac:dyDescent="0.2">
      <c r="B141" s="4" t="s">
        <v>399</v>
      </c>
      <c r="C141" s="80" t="str">
        <f>CONCATENATE(prefix_wld_az1_cidr,"18.1")</f>
        <v>10.13.18.1</v>
      </c>
      <c r="D141" s="347"/>
      <c r="E141" s="32"/>
    </row>
    <row r="142" spans="2:5" ht="20.100000000000001" customHeight="1" x14ac:dyDescent="0.2">
      <c r="B142" s="4" t="s">
        <v>400</v>
      </c>
      <c r="C142" s="80" t="str">
        <f>CONCATENATE(prefix_wld_az1_cidr,"18.0/24")</f>
        <v>10.13.18.0/24</v>
      </c>
      <c r="D142" s="347"/>
      <c r="E142" s="32"/>
    </row>
    <row r="143" spans="2:5" ht="20.100000000000001" customHeight="1" x14ac:dyDescent="0.2">
      <c r="B143" s="405" t="s">
        <v>667</v>
      </c>
      <c r="C143" s="406"/>
      <c r="D143" s="406"/>
      <c r="E143" s="407"/>
    </row>
    <row r="144" spans="2:5" ht="20.100000000000001" customHeight="1" x14ac:dyDescent="0.2">
      <c r="B144" s="4" t="s">
        <v>400</v>
      </c>
      <c r="C144" s="80" t="str">
        <f>CONCATENATE(prefix_wld_az1_cidr,"19.0/24")</f>
        <v>10.13.19.0/24</v>
      </c>
      <c r="D144" s="347"/>
      <c r="E144" s="32"/>
    </row>
    <row r="145" spans="2:5" ht="20.100000000000001" customHeight="1" x14ac:dyDescent="0.2">
      <c r="B145" s="4" t="s">
        <v>401</v>
      </c>
      <c r="C145" s="80">
        <v>9000</v>
      </c>
      <c r="D145" s="347"/>
      <c r="E145" s="32"/>
    </row>
    <row r="146" spans="2:5" ht="15.95" customHeight="1" x14ac:dyDescent="0.2"/>
    <row r="147" spans="2:5" ht="33.950000000000003" customHeight="1" x14ac:dyDescent="0.2">
      <c r="B147" s="517" t="s">
        <v>669</v>
      </c>
      <c r="C147" s="518"/>
      <c r="D147" s="518"/>
      <c r="E147" s="519"/>
    </row>
    <row r="148" spans="2:5" ht="20.100000000000001" customHeight="1" x14ac:dyDescent="0.2">
      <c r="B148" s="414" t="s">
        <v>1447</v>
      </c>
      <c r="C148" s="415"/>
      <c r="D148" s="415"/>
      <c r="E148" s="416"/>
    </row>
    <row r="149" spans="2:5" ht="20.100000000000001" customHeight="1" x14ac:dyDescent="0.2">
      <c r="B149" s="346" t="s">
        <v>37</v>
      </c>
      <c r="C149" s="346" t="s">
        <v>276</v>
      </c>
      <c r="D149" s="346" t="s">
        <v>277</v>
      </c>
      <c r="E149" s="346" t="s">
        <v>5</v>
      </c>
    </row>
    <row r="150" spans="2:5" ht="20.100000000000001" customHeight="1" x14ac:dyDescent="0.2">
      <c r="B150" s="414" t="s">
        <v>670</v>
      </c>
      <c r="C150" s="415"/>
      <c r="D150" s="415"/>
      <c r="E150" s="416"/>
    </row>
    <row r="151" spans="2:5" ht="20.100000000000001" customHeight="1" x14ac:dyDescent="0.2">
      <c r="B151" s="4" t="s">
        <v>121</v>
      </c>
      <c r="C151" s="362" t="s">
        <v>671</v>
      </c>
      <c r="D151" s="1"/>
      <c r="E151" s="4"/>
    </row>
    <row r="152" spans="2:5" ht="20.100000000000001" customHeight="1" x14ac:dyDescent="0.2">
      <c r="B152" s="414" t="s">
        <v>672</v>
      </c>
      <c r="C152" s="415"/>
      <c r="D152" s="415"/>
      <c r="E152" s="416"/>
    </row>
    <row r="153" spans="2:5" ht="20.100000000000001" customHeight="1" x14ac:dyDescent="0.2">
      <c r="B153" s="4" t="s">
        <v>574</v>
      </c>
      <c r="C153" s="362" t="s">
        <v>214</v>
      </c>
      <c r="D153" s="347" t="s">
        <v>214</v>
      </c>
      <c r="E153" s="4"/>
    </row>
    <row r="154" spans="2:5" ht="20.100000000000001" customHeight="1" x14ac:dyDescent="0.2">
      <c r="B154" s="414" t="s">
        <v>673</v>
      </c>
      <c r="C154" s="415"/>
      <c r="D154" s="415"/>
      <c r="E154" s="416"/>
    </row>
    <row r="155" spans="2:5" ht="20.100000000000001" customHeight="1" x14ac:dyDescent="0.2">
      <c r="B155" s="4" t="s">
        <v>674</v>
      </c>
      <c r="C155" s="362" t="str">
        <f>sample_avilb_root_password</f>
        <v>VMw@re1!VMw@re1!</v>
      </c>
      <c r="D155" s="347"/>
      <c r="E155" s="4"/>
    </row>
    <row r="156" spans="2:5" ht="20.100000000000001" customHeight="1" x14ac:dyDescent="0.2">
      <c r="B156" s="4" t="s">
        <v>676</v>
      </c>
      <c r="C156" s="89" t="str">
        <f>IF(mgmt_dpg_reuse_result="Included",CONCATENATE(prefix_mgmt_az1_cidr,"10.",(152 + (30*(wld_domain_number_chosen - 1)))),CONCATENATE(prefix_mgmt_az1_cidr,"11.",(152 + (30*(wld_domain_number_chosen - 1)))))</f>
        <v>10.11.10.152</v>
      </c>
      <c r="D156" s="347"/>
      <c r="E156" s="4"/>
    </row>
    <row r="157" spans="2:5" ht="20.100000000000001" customHeight="1" x14ac:dyDescent="0.2">
      <c r="B157" s="4" t="s">
        <v>678</v>
      </c>
      <c r="C157" s="89" t="str">
        <f>IF(mgmt_dpg_reuse_result="Included",CONCATENATE(prefix_mgmt_az1_cidr,"10.",(153 + (30*(wld_domain_number_chosen - 1)))),CONCATENATE(prefix_mgmt_az1_cidr,"11.",(153 + (30*(wld_domain_number_chosen - 1)))))</f>
        <v>10.11.10.153</v>
      </c>
      <c r="D157" s="347"/>
      <c r="E157" s="4"/>
    </row>
    <row r="158" spans="2:5" ht="20.100000000000001" customHeight="1" x14ac:dyDescent="0.2">
      <c r="B158" s="4" t="s">
        <v>680</v>
      </c>
      <c r="C158" s="89" t="str">
        <f>IF(mgmt_dpg_reuse_result="Included",CONCATENATE(prefix_mgmt_az1_cidr,"10.",(154 + (30*(wld_domain_number_chosen - 1)))),CONCATENATE(prefix_mgmt_az1_cidr,"11.",(154 + (30*(wld_domain_number_chosen - 1)))))</f>
        <v>10.11.10.154</v>
      </c>
      <c r="D158" s="347"/>
      <c r="E158" s="4"/>
    </row>
    <row r="159" spans="2:5" ht="20.100000000000001" customHeight="1" x14ac:dyDescent="0.2">
      <c r="B159" s="4" t="s">
        <v>682</v>
      </c>
      <c r="C159" s="89" t="str">
        <f>IF(mgmt_dpg_reuse_result="Included",CONCATENATE(prefix_mgmt_az1_cidr,"10.",(151 + (30*(wld_domain_number_chosen - 1)))),CONCATENATE(prefix_mgmt_az1_cidr,"11.",(151 + (30*(wld_domain_number_chosen - 1)))))</f>
        <v>10.11.10.151</v>
      </c>
      <c r="D159" s="347"/>
      <c r="E159" s="4"/>
    </row>
    <row r="160" spans="2:5" ht="20.100000000000001" customHeight="1" x14ac:dyDescent="0.2">
      <c r="B160" s="4" t="s">
        <v>359</v>
      </c>
      <c r="C160" s="362" t="str">
        <f>CONCATENATE(this_instance,"-w0",wld_domain_number_chosen,"-avilb01",".",sample_child_dns_zone)</f>
        <v>sfo-w01-avilb01.sfo.rainpole.io</v>
      </c>
      <c r="D160" s="347"/>
      <c r="E160" s="4"/>
    </row>
    <row r="161" spans="2:7" ht="20.100000000000001" customHeight="1" x14ac:dyDescent="0.2">
      <c r="B161" s="4" t="s">
        <v>353</v>
      </c>
      <c r="C161" s="362" t="str">
        <f>CONCATENATE(this_instance,"-w01-cl01-avilb01")</f>
        <v>sfo-w01-cl01-avilb01</v>
      </c>
      <c r="D161" s="347"/>
      <c r="E161" s="4"/>
    </row>
    <row r="162" spans="2:7" ht="15.95" customHeight="1" x14ac:dyDescent="0.2"/>
    <row r="163" spans="2:7" ht="33.950000000000003" customHeight="1" x14ac:dyDescent="0.2">
      <c r="B163" s="525" t="s">
        <v>1448</v>
      </c>
      <c r="C163" s="526"/>
      <c r="D163" s="526"/>
      <c r="E163" s="527"/>
    </row>
    <row r="164" spans="2:7" ht="15.95" customHeight="1" x14ac:dyDescent="0.2">
      <c r="G164" s="27"/>
    </row>
    <row r="165" spans="2:7" ht="33.950000000000003" customHeight="1" x14ac:dyDescent="0.2">
      <c r="B165" s="505" t="s">
        <v>1228</v>
      </c>
      <c r="C165" s="506"/>
      <c r="D165" s="506"/>
      <c r="E165" s="507"/>
    </row>
    <row r="166" spans="2:7" ht="20.100000000000001" customHeight="1" x14ac:dyDescent="0.2">
      <c r="B166" s="557"/>
      <c r="C166" s="557"/>
      <c r="D166" s="557"/>
      <c r="E166" s="557"/>
    </row>
    <row r="167" spans="2:7" ht="20.100000000000001" customHeight="1" x14ac:dyDescent="0.2">
      <c r="B167" s="346" t="s">
        <v>37</v>
      </c>
      <c r="C167" s="346" t="s">
        <v>276</v>
      </c>
      <c r="D167" s="346" t="s">
        <v>277</v>
      </c>
      <c r="E167" s="346" t="s">
        <v>5</v>
      </c>
    </row>
    <row r="168" spans="2:7" ht="20.100000000000001" customHeight="1" x14ac:dyDescent="0.2">
      <c r="B168" s="405" t="s">
        <v>397</v>
      </c>
      <c r="C168" s="406"/>
      <c r="D168" s="406"/>
      <c r="E168" s="407"/>
    </row>
    <row r="169" spans="2:7" ht="20.100000000000001" customHeight="1" x14ac:dyDescent="0.2">
      <c r="B169" s="4" t="s">
        <v>398</v>
      </c>
      <c r="C169" s="80" t="str">
        <f>CONCATENATE(prefix_wld_az2_vlan,"11")</f>
        <v>1411</v>
      </c>
      <c r="D169" s="347"/>
      <c r="E169" s="93"/>
    </row>
    <row r="170" spans="2:7" ht="20.100000000000001" customHeight="1" x14ac:dyDescent="0.2">
      <c r="B170" s="4" t="s">
        <v>399</v>
      </c>
      <c r="C170" s="80" t="str">
        <f>CONCATENATE(prefix_wld_az2_cidr,"11.1")</f>
        <v>10.14.11.1</v>
      </c>
      <c r="D170" s="347"/>
      <c r="E170" s="32"/>
    </row>
    <row r="171" spans="2:7" ht="20.100000000000001" customHeight="1" x14ac:dyDescent="0.2">
      <c r="B171" s="4" t="s">
        <v>400</v>
      </c>
      <c r="C171" s="80" t="str">
        <f>CONCATENATE(prefix_wld_az2_cidr,"11.0/24")</f>
        <v>10.14.11.0/24</v>
      </c>
      <c r="D171" s="347"/>
      <c r="E171" s="32"/>
    </row>
    <row r="172" spans="2:7" ht="20.100000000000001" customHeight="1" x14ac:dyDescent="0.2">
      <c r="B172" s="4" t="s">
        <v>401</v>
      </c>
      <c r="C172" s="80">
        <v>1500</v>
      </c>
      <c r="D172" s="347"/>
      <c r="E172" s="32"/>
    </row>
    <row r="173" spans="2:7" ht="20.100000000000001" customHeight="1" x14ac:dyDescent="0.2">
      <c r="B173" s="508" t="s">
        <v>476</v>
      </c>
      <c r="C173" s="509"/>
      <c r="D173" s="509"/>
      <c r="E173" s="510"/>
    </row>
    <row r="174" spans="2:7" ht="20.100000000000001" customHeight="1" x14ac:dyDescent="0.2">
      <c r="B174" s="17" t="s">
        <v>686</v>
      </c>
      <c r="C174" s="89" t="str">
        <f>CONCATENATE(prefix_wld_az2_cidr,"11.101")</f>
        <v>10.14.11.101</v>
      </c>
      <c r="D174" s="347"/>
      <c r="E174" s="132" t="s">
        <v>477</v>
      </c>
    </row>
    <row r="175" spans="2:7" ht="20.100000000000001" customHeight="1" x14ac:dyDescent="0.2">
      <c r="B175" s="17" t="s">
        <v>687</v>
      </c>
      <c r="C175" s="89" t="str">
        <f>CONCATENATE(prefix_wld_az2_cidr,"11.102")</f>
        <v>10.14.11.102</v>
      </c>
      <c r="D175" s="347"/>
      <c r="E175" s="132" t="s">
        <v>478</v>
      </c>
    </row>
    <row r="176" spans="2:7" ht="20.100000000000001" customHeight="1" x14ac:dyDescent="0.2">
      <c r="B176" s="17" t="s">
        <v>688</v>
      </c>
      <c r="C176" s="89" t="str">
        <f>CONCATENATE(prefix_wld_az2_cidr,"11.103")</f>
        <v>10.14.11.103</v>
      </c>
      <c r="D176" s="347"/>
      <c r="E176" s="132" t="s">
        <v>479</v>
      </c>
    </row>
    <row r="177" spans="2:7" ht="20.100000000000001" customHeight="1" x14ac:dyDescent="0.2">
      <c r="B177" s="17" t="s">
        <v>689</v>
      </c>
      <c r="C177" s="89" t="str">
        <f>CONCATENATE(prefix_wld_az2_cidr,"11.104")</f>
        <v>10.14.11.104</v>
      </c>
      <c r="D177" s="347"/>
      <c r="E177" s="132" t="s">
        <v>480</v>
      </c>
    </row>
    <row r="178" spans="2:7" ht="20.100000000000001" customHeight="1" x14ac:dyDescent="0.2">
      <c r="B178" s="17" t="s">
        <v>690</v>
      </c>
      <c r="C178" s="89" t="str">
        <f>CONCATENATE(prefix_wld_az2_cidr,"11.105")</f>
        <v>10.14.11.105</v>
      </c>
      <c r="D178" s="347"/>
      <c r="E178" s="132" t="s">
        <v>481</v>
      </c>
    </row>
    <row r="179" spans="2:7" ht="20.100000000000001" customHeight="1" x14ac:dyDescent="0.2">
      <c r="B179" s="17" t="s">
        <v>691</v>
      </c>
      <c r="C179" s="89" t="str">
        <f>CONCATENATE(prefix_wld_az2_cidr,"11.106")</f>
        <v>10.14.11.106</v>
      </c>
      <c r="D179" s="347"/>
      <c r="E179" s="132" t="s">
        <v>482</v>
      </c>
    </row>
    <row r="180" spans="2:7" ht="20.100000000000001" customHeight="1" x14ac:dyDescent="0.2">
      <c r="B180" s="17" t="s">
        <v>692</v>
      </c>
      <c r="C180" s="89" t="str">
        <f>CONCATENATE(prefix_wld_az2_cidr,"11.107")</f>
        <v>10.14.11.107</v>
      </c>
      <c r="D180" s="347"/>
      <c r="E180" s="132" t="s">
        <v>483</v>
      </c>
    </row>
    <row r="181" spans="2:7" ht="20.100000000000001" customHeight="1" x14ac:dyDescent="0.2">
      <c r="B181" s="17" t="s">
        <v>693</v>
      </c>
      <c r="C181" s="89" t="str">
        <f>CONCATENATE(prefix_wld_az2_cidr,"11.108")</f>
        <v>10.14.11.108</v>
      </c>
      <c r="D181" s="347"/>
      <c r="E181" s="132" t="s">
        <v>484</v>
      </c>
    </row>
    <row r="182" spans="2:7" ht="20.100000000000001" customHeight="1" x14ac:dyDescent="0.2">
      <c r="B182" s="17" t="s">
        <v>694</v>
      </c>
      <c r="C182" s="89" t="str">
        <f>CONCATENATE(prefix_wld_az2_cidr,"11.109")</f>
        <v>10.14.11.109</v>
      </c>
      <c r="D182" s="347"/>
      <c r="E182" s="132" t="s">
        <v>485</v>
      </c>
    </row>
    <row r="183" spans="2:7" ht="20.100000000000001" customHeight="1" x14ac:dyDescent="0.2">
      <c r="B183" s="17" t="s">
        <v>695</v>
      </c>
      <c r="C183" s="89" t="str">
        <f>CONCATENATE(prefix_wld_az2_cidr,"11.110")</f>
        <v>10.14.11.110</v>
      </c>
      <c r="D183" s="347"/>
      <c r="E183" s="132" t="s">
        <v>486</v>
      </c>
    </row>
    <row r="184" spans="2:7" ht="20.100000000000001" customHeight="1" x14ac:dyDescent="0.2">
      <c r="B184" s="17" t="s">
        <v>696</v>
      </c>
      <c r="C184" s="89" t="str">
        <f>CONCATENATE(prefix_wld_az2_cidr,"11.111")</f>
        <v>10.14.11.111</v>
      </c>
      <c r="D184" s="347"/>
      <c r="E184" s="132" t="s">
        <v>487</v>
      </c>
    </row>
    <row r="185" spans="2:7" ht="20.100000000000001" customHeight="1" x14ac:dyDescent="0.2">
      <c r="B185" s="17" t="s">
        <v>697</v>
      </c>
      <c r="C185" s="89" t="str">
        <f>CONCATENATE(prefix_wld_az2_cidr,"11.112")</f>
        <v>10.14.11.112</v>
      </c>
      <c r="D185" s="347"/>
      <c r="E185" s="132" t="s">
        <v>488</v>
      </c>
    </row>
    <row r="186" spans="2:7" ht="20.100000000000001" customHeight="1" x14ac:dyDescent="0.2">
      <c r="B186" s="17" t="s">
        <v>698</v>
      </c>
      <c r="C186" s="89" t="str">
        <f>CONCATENATE(prefix_wld_az2_cidr,"11.113")</f>
        <v>10.14.11.113</v>
      </c>
      <c r="D186" s="347"/>
      <c r="E186" s="132" t="s">
        <v>489</v>
      </c>
    </row>
    <row r="187" spans="2:7" ht="20.100000000000001" customHeight="1" x14ac:dyDescent="0.2">
      <c r="B187" s="17" t="s">
        <v>699</v>
      </c>
      <c r="C187" s="89" t="str">
        <f>CONCATENATE(prefix_wld_az2_cidr,"11.114")</f>
        <v>10.14.11.114</v>
      </c>
      <c r="D187" s="347"/>
      <c r="E187" s="132" t="s">
        <v>490</v>
      </c>
    </row>
    <row r="188" spans="2:7" ht="20.100000000000001" customHeight="1" x14ac:dyDescent="0.2">
      <c r="B188" s="17" t="s">
        <v>700</v>
      </c>
      <c r="C188" s="89" t="str">
        <f>CONCATENATE(prefix_wld_az2_cidr,"11.115")</f>
        <v>10.14.11.115</v>
      </c>
      <c r="D188" s="347"/>
      <c r="E188" s="132" t="s">
        <v>491</v>
      </c>
    </row>
    <row r="189" spans="2:7" ht="20.100000000000001" customHeight="1" x14ac:dyDescent="0.2">
      <c r="B189" s="17" t="s">
        <v>701</v>
      </c>
      <c r="C189" s="89" t="str">
        <f>CONCATENATE(prefix_wld_az2_cidr,"11.116")</f>
        <v>10.14.11.116</v>
      </c>
      <c r="D189" s="347"/>
      <c r="E189" s="132" t="s">
        <v>492</v>
      </c>
    </row>
    <row r="190" spans="2:7" ht="15.95" customHeight="1" x14ac:dyDescent="0.2">
      <c r="D190" s="1"/>
      <c r="G190" s="27"/>
    </row>
    <row r="191" spans="2:7" ht="33.950000000000003" customHeight="1" x14ac:dyDescent="0.2">
      <c r="B191" s="505" t="s">
        <v>1230</v>
      </c>
      <c r="C191" s="506"/>
      <c r="D191" s="506"/>
      <c r="E191" s="507"/>
    </row>
    <row r="192" spans="2:7" ht="20.100000000000001" customHeight="1" x14ac:dyDescent="0.2">
      <c r="B192" s="557"/>
      <c r="C192" s="557"/>
      <c r="D192" s="557"/>
      <c r="E192" s="557"/>
    </row>
    <row r="193" spans="2:5" ht="20.100000000000001" customHeight="1" x14ac:dyDescent="0.2">
      <c r="B193" s="346" t="s">
        <v>37</v>
      </c>
      <c r="C193" s="346" t="s">
        <v>276</v>
      </c>
      <c r="D193" s="346" t="s">
        <v>277</v>
      </c>
      <c r="E193" s="346" t="s">
        <v>5</v>
      </c>
    </row>
    <row r="194" spans="2:5" ht="20.100000000000001" customHeight="1" x14ac:dyDescent="0.2">
      <c r="B194" s="4" t="s">
        <v>703</v>
      </c>
      <c r="C194" s="362" t="s">
        <v>704</v>
      </c>
      <c r="D194" s="347" t="s">
        <v>704</v>
      </c>
      <c r="E194" s="4" t="str">
        <f>IF(wld_az2_reuse_vcf_networkpool_chosen="Re-use an existing VCF Network Pool","An exisiting VCF Network Pool will be reused for Host TEP assignment","A new VCF Network Pool will be created")</f>
        <v>A new VCF Network Pool will be created</v>
      </c>
    </row>
    <row r="195" spans="2:5" ht="20.100000000000001" customHeight="1" x14ac:dyDescent="0.2">
      <c r="B195" s="17" t="s">
        <v>705</v>
      </c>
      <c r="C195" s="80" t="str">
        <f>CONCATENATE(this_instance,"02-w0",wld_domain_number_chosen,"-r01-network-pool-01")</f>
        <v>sfo02-w01-r01-network-pool-01</v>
      </c>
      <c r="D195" s="347"/>
      <c r="E195" s="32"/>
    </row>
    <row r="196" spans="2:5" ht="20.100000000000001" customHeight="1" x14ac:dyDescent="0.2">
      <c r="B196" s="405" t="s">
        <v>404</v>
      </c>
      <c r="C196" s="406"/>
      <c r="D196" s="406"/>
      <c r="E196" s="407"/>
    </row>
    <row r="197" spans="2:5" ht="20.100000000000001" customHeight="1" x14ac:dyDescent="0.2">
      <c r="B197" s="4" t="s">
        <v>398</v>
      </c>
      <c r="C197" s="80" t="str">
        <f>CONCATENATE(prefix_wld_az2_vlan,"12")</f>
        <v>1412</v>
      </c>
      <c r="D197" s="347"/>
      <c r="E197" s="93"/>
    </row>
    <row r="198" spans="2:5" ht="20.100000000000001" customHeight="1" x14ac:dyDescent="0.2">
      <c r="B198" s="4" t="s">
        <v>401</v>
      </c>
      <c r="C198" s="80">
        <v>9000</v>
      </c>
      <c r="D198" s="347"/>
      <c r="E198" s="32"/>
    </row>
    <row r="199" spans="2:5" ht="20.100000000000001" customHeight="1" x14ac:dyDescent="0.2">
      <c r="B199" s="4" t="s">
        <v>706</v>
      </c>
      <c r="C199" s="80" t="str">
        <f>CONCATENATE(prefix_wld_az2_cidr,"12.0")</f>
        <v>10.14.12.0</v>
      </c>
      <c r="D199" s="347"/>
      <c r="E199" s="32"/>
    </row>
    <row r="200" spans="2:5" ht="20.100000000000001" customHeight="1" x14ac:dyDescent="0.2">
      <c r="B200" s="4" t="s">
        <v>732</v>
      </c>
      <c r="C200" s="80" t="s">
        <v>612</v>
      </c>
      <c r="D200" s="347"/>
      <c r="E200" s="32"/>
    </row>
    <row r="201" spans="2:5" ht="20.100000000000001" customHeight="1" x14ac:dyDescent="0.2">
      <c r="B201" s="4" t="s">
        <v>399</v>
      </c>
      <c r="C201" s="80" t="str">
        <f>CONCATENATE(prefix_wld_az2_cidr,"12.1")</f>
        <v>10.14.12.1</v>
      </c>
      <c r="D201" s="347"/>
      <c r="E201" s="32"/>
    </row>
    <row r="202" spans="2:5" ht="20.100000000000001" customHeight="1" x14ac:dyDescent="0.2">
      <c r="B202" s="17" t="s">
        <v>460</v>
      </c>
      <c r="C202" s="80" t="str">
        <f>CONCATENATE(prefix_wld_az2_cidr,"12.101")</f>
        <v>10.14.12.101</v>
      </c>
      <c r="D202" s="347"/>
      <c r="E202" s="32"/>
    </row>
    <row r="203" spans="2:5" ht="20.100000000000001" customHeight="1" x14ac:dyDescent="0.2">
      <c r="B203" s="17" t="s">
        <v>461</v>
      </c>
      <c r="C203" s="80" t="str">
        <f>CONCATENATE(prefix_wld_az2_cidr,"12.116")</f>
        <v>10.14.12.116</v>
      </c>
      <c r="D203" s="347"/>
      <c r="E203" s="32"/>
    </row>
    <row r="204" spans="2:5" ht="20.100000000000001" customHeight="1" x14ac:dyDescent="0.2">
      <c r="B204" s="405" t="s">
        <v>407</v>
      </c>
      <c r="C204" s="406"/>
      <c r="D204" s="406"/>
      <c r="E204" s="407"/>
    </row>
    <row r="205" spans="2:5" ht="20.100000000000001" customHeight="1" x14ac:dyDescent="0.2">
      <c r="B205" s="4" t="s">
        <v>398</v>
      </c>
      <c r="C205" s="80" t="str">
        <f>CONCATENATE(prefix_wld_az2_vlan,"13")</f>
        <v>1413</v>
      </c>
      <c r="D205" s="347"/>
      <c r="E205" s="32"/>
    </row>
    <row r="206" spans="2:5" ht="20.100000000000001" customHeight="1" x14ac:dyDescent="0.2">
      <c r="B206" s="4" t="s">
        <v>401</v>
      </c>
      <c r="C206" s="80">
        <v>9000</v>
      </c>
      <c r="D206" s="347"/>
      <c r="E206" s="32"/>
    </row>
    <row r="207" spans="2:5" ht="20.100000000000001" customHeight="1" x14ac:dyDescent="0.2">
      <c r="B207" s="4" t="s">
        <v>706</v>
      </c>
      <c r="C207" s="80" t="str">
        <f>CONCATENATE(prefix_wld_az2_cidr,"13.0")</f>
        <v>10.14.13.0</v>
      </c>
      <c r="D207" s="347"/>
      <c r="E207" s="56"/>
    </row>
    <row r="208" spans="2:5" ht="20.100000000000001" customHeight="1" x14ac:dyDescent="0.2">
      <c r="B208" s="4" t="s">
        <v>732</v>
      </c>
      <c r="C208" s="80" t="s">
        <v>612</v>
      </c>
      <c r="D208" s="347"/>
      <c r="E208" s="56"/>
    </row>
    <row r="209" spans="2:5" ht="20.100000000000001" customHeight="1" x14ac:dyDescent="0.2">
      <c r="B209" s="4" t="s">
        <v>399</v>
      </c>
      <c r="C209" s="80" t="str">
        <f>CONCATENATE(prefix_wld_az2_cidr,"13.1")</f>
        <v>10.14.13.1</v>
      </c>
      <c r="D209" s="347"/>
      <c r="E209" s="32" t="str">
        <f>IF(AND(mgmt_stretched_cluster_result="Included",mgmt_dpg_reuse_result="Excluded"),"Stretched L2","")</f>
        <v/>
      </c>
    </row>
    <row r="210" spans="2:5" ht="20.100000000000001" customHeight="1" x14ac:dyDescent="0.2">
      <c r="B210" s="17" t="s">
        <v>460</v>
      </c>
      <c r="C210" s="80" t="str">
        <f>CONCATENATE(prefix_wld_az2_cidr,"13.101")</f>
        <v>10.14.13.101</v>
      </c>
      <c r="D210" s="347"/>
      <c r="E210" s="56"/>
    </row>
    <row r="211" spans="2:5" ht="20.100000000000001" customHeight="1" x14ac:dyDescent="0.2">
      <c r="B211" s="17" t="s">
        <v>461</v>
      </c>
      <c r="C211" s="80" t="str">
        <f>CONCATENATE(prefix_wld_az2_cidr,"13.116")</f>
        <v>10.14.13.116</v>
      </c>
      <c r="D211" s="347"/>
      <c r="E211" s="56"/>
    </row>
    <row r="212" spans="2:5" ht="20.100000000000001" customHeight="1" x14ac:dyDescent="0.2">
      <c r="B212" s="405" t="str">
        <f>IF(wld_secondary_storage_chosen="Secondary NFS Storage Network","NFS Storage Network","vSAN Storage Client")</f>
        <v>vSAN Storage Client</v>
      </c>
      <c r="C212" s="406"/>
      <c r="D212" s="406"/>
      <c r="E212" s="407"/>
    </row>
    <row r="213" spans="2:5" ht="20.100000000000001" customHeight="1" x14ac:dyDescent="0.2">
      <c r="B213" s="4" t="s">
        <v>398</v>
      </c>
      <c r="C213" s="80" t="str">
        <f>CONCATENATE(prefix_wld_az2_vlan,"15")</f>
        <v>1415</v>
      </c>
      <c r="D213" s="347"/>
      <c r="E213" s="32"/>
    </row>
    <row r="214" spans="2:5" ht="20.100000000000001" customHeight="1" x14ac:dyDescent="0.2">
      <c r="B214" s="4" t="s">
        <v>401</v>
      </c>
      <c r="C214" s="80">
        <v>9000</v>
      </c>
      <c r="D214" s="347"/>
      <c r="E214" s="56"/>
    </row>
    <row r="215" spans="2:5" ht="20.100000000000001" customHeight="1" x14ac:dyDescent="0.2">
      <c r="B215" s="4" t="s">
        <v>706</v>
      </c>
      <c r="C215" s="80" t="str">
        <f>CONCATENATE(prefix_wld_az2_cidr,"15.0")</f>
        <v>10.14.15.0</v>
      </c>
      <c r="D215" s="347"/>
      <c r="E215" s="32"/>
    </row>
    <row r="216" spans="2:5" ht="20.100000000000001" customHeight="1" x14ac:dyDescent="0.2">
      <c r="B216" s="4" t="s">
        <v>732</v>
      </c>
      <c r="C216" s="80" t="s">
        <v>612</v>
      </c>
      <c r="D216" s="347"/>
      <c r="E216" s="32"/>
    </row>
    <row r="217" spans="2:5" ht="20.100000000000001" customHeight="1" x14ac:dyDescent="0.2">
      <c r="B217" s="4" t="s">
        <v>399</v>
      </c>
      <c r="C217" s="80" t="str">
        <f>CONCATENATE(prefix_wld_az2_cidr,"15.1")</f>
        <v>10.14.15.1</v>
      </c>
      <c r="D217" s="347"/>
      <c r="E217" s="32" t="str">
        <f>IF(AND(mgmt_stretched_cluster_result="Included",mgmt_dpg_reuse_result="Excluded"),"Stretched L2","")</f>
        <v/>
      </c>
    </row>
    <row r="218" spans="2:5" ht="20.100000000000001" customHeight="1" x14ac:dyDescent="0.2">
      <c r="B218" s="17" t="s">
        <v>460</v>
      </c>
      <c r="C218" s="80" t="str">
        <f>CONCATENATE(prefix_wld_az2_cidr,"15.101")</f>
        <v>10.14.15.101</v>
      </c>
      <c r="D218" s="347"/>
      <c r="E218" s="56"/>
    </row>
    <row r="219" spans="2:5" ht="20.100000000000001" customHeight="1" x14ac:dyDescent="0.2">
      <c r="B219" s="17" t="s">
        <v>461</v>
      </c>
      <c r="C219" s="80" t="str">
        <f>CONCATENATE(prefix_wld_az2_cidr,"15.116")</f>
        <v>10.14.15.116</v>
      </c>
      <c r="D219" s="347"/>
      <c r="E219" s="56"/>
    </row>
    <row r="220" spans="2:5" ht="20.100000000000001" customHeight="1" x14ac:dyDescent="0.2">
      <c r="B220" s="405" t="s">
        <v>1231</v>
      </c>
      <c r="C220" s="406"/>
      <c r="D220" s="406"/>
      <c r="E220" s="407"/>
    </row>
    <row r="221" spans="2:5" ht="20.100000000000001" customHeight="1" x14ac:dyDescent="0.2">
      <c r="B221" s="4" t="s">
        <v>398</v>
      </c>
      <c r="C221" s="80" t="str">
        <f>CONCATENATE(prefix_wld_az2_vlan,"16")</f>
        <v>1416</v>
      </c>
      <c r="D221" s="347"/>
      <c r="E221" s="32"/>
    </row>
    <row r="222" spans="2:5" ht="20.100000000000001" customHeight="1" x14ac:dyDescent="0.2">
      <c r="B222" s="4" t="s">
        <v>401</v>
      </c>
      <c r="C222" s="80">
        <v>9000</v>
      </c>
      <c r="D222" s="347"/>
      <c r="E222" s="56"/>
    </row>
    <row r="223" spans="2:5" ht="20.100000000000001" customHeight="1" x14ac:dyDescent="0.2">
      <c r="B223" s="4" t="s">
        <v>706</v>
      </c>
      <c r="C223" s="80" t="str">
        <f>CONCATENATE(prefix_wld_az2_cidr,"16.0")</f>
        <v>10.14.16.0</v>
      </c>
      <c r="D223" s="347"/>
      <c r="E223" s="32"/>
    </row>
    <row r="224" spans="2:5" ht="20.100000000000001" customHeight="1" x14ac:dyDescent="0.2">
      <c r="B224" s="4" t="s">
        <v>732</v>
      </c>
      <c r="C224" s="80" t="s">
        <v>612</v>
      </c>
      <c r="D224" s="347"/>
      <c r="E224" s="32"/>
    </row>
    <row r="225" spans="2:5" ht="20.100000000000001" customHeight="1" x14ac:dyDescent="0.2">
      <c r="B225" s="4" t="s">
        <v>399</v>
      </c>
      <c r="C225" s="80" t="str">
        <f>CONCATENATE(prefix_wld_az2_cidr,"16.1")</f>
        <v>10.14.16.1</v>
      </c>
      <c r="D225" s="347"/>
      <c r="E225" s="32" t="str">
        <f>IF(AND(mgmt_stretched_cluster_result="Included",mgmt_dpg_reuse_result="Excluded"),"Stretched L2","")</f>
        <v/>
      </c>
    </row>
    <row r="226" spans="2:5" ht="20.100000000000001" customHeight="1" x14ac:dyDescent="0.2">
      <c r="B226" s="17" t="s">
        <v>460</v>
      </c>
      <c r="C226" s="80" t="str">
        <f>CONCATENATE(prefix_wld_az2_cidr,"16.101")</f>
        <v>10.14.16.101</v>
      </c>
      <c r="D226" s="347"/>
      <c r="E226" s="56"/>
    </row>
    <row r="227" spans="2:5" ht="20.100000000000001" customHeight="1" x14ac:dyDescent="0.2">
      <c r="B227" s="17" t="s">
        <v>461</v>
      </c>
      <c r="C227" s="80" t="str">
        <f>CONCATENATE(prefix_wld_az2_cidr,"16.116")</f>
        <v>10.14.16.116</v>
      </c>
      <c r="D227" s="347"/>
      <c r="E227" s="56"/>
    </row>
    <row r="228" spans="2:5" ht="15.95" customHeight="1" x14ac:dyDescent="0.2"/>
    <row r="229" spans="2:5" ht="33.950000000000003" customHeight="1" x14ac:dyDescent="0.2">
      <c r="B229" s="505" t="s">
        <v>1232</v>
      </c>
      <c r="C229" s="506"/>
      <c r="D229" s="506"/>
      <c r="E229" s="507"/>
    </row>
    <row r="230" spans="2:5" ht="20.100000000000001" customHeight="1" x14ac:dyDescent="0.2">
      <c r="B230" s="557"/>
      <c r="C230" s="557"/>
      <c r="D230" s="557"/>
      <c r="E230" s="557"/>
    </row>
    <row r="231" spans="2:5" ht="20.100000000000001" customHeight="1" x14ac:dyDescent="0.2">
      <c r="B231" s="346" t="s">
        <v>37</v>
      </c>
      <c r="C231" s="346" t="s">
        <v>276</v>
      </c>
      <c r="D231" s="346" t="s">
        <v>277</v>
      </c>
      <c r="E231" s="346" t="s">
        <v>5</v>
      </c>
    </row>
    <row r="232" spans="2:5" ht="20.100000000000001" customHeight="1" x14ac:dyDescent="0.2">
      <c r="B232" s="17" t="s">
        <v>686</v>
      </c>
      <c r="C232" s="149" t="str">
        <f>CONCATENATE(this_instance,"02-w0",wld_domain_number_chosen,"-r01-esx01",".",sample_child_dns_zone)</f>
        <v>sfo02-w01-r01-esx01.sfo.rainpole.io</v>
      </c>
      <c r="D232" s="175"/>
      <c r="E232" s="32"/>
    </row>
    <row r="233" spans="2:5" ht="20.100000000000001" customHeight="1" x14ac:dyDescent="0.2">
      <c r="B233" s="17" t="s">
        <v>687</v>
      </c>
      <c r="C233" s="176" t="str">
        <f>CONCATENATE(this_instance,"02-w0",wld_domain_number_chosen,"-r01-esx02",".",sample_child_dns_zone)</f>
        <v>sfo02-w01-r01-esx02.sfo.rainpole.io</v>
      </c>
      <c r="D233" s="175"/>
      <c r="E233" s="32"/>
    </row>
    <row r="234" spans="2:5" ht="20.100000000000001" customHeight="1" x14ac:dyDescent="0.2">
      <c r="B234" s="17" t="s">
        <v>688</v>
      </c>
      <c r="C234" s="176" t="str">
        <f>CONCATENATE(this_instance,"02-w0",wld_domain_number_chosen,"-r01-esx03",".",sample_child_dns_zone)</f>
        <v>sfo02-w01-r01-esx03.sfo.rainpole.io</v>
      </c>
      <c r="D234" s="175"/>
      <c r="E234" s="32"/>
    </row>
    <row r="235" spans="2:5" ht="20.100000000000001" customHeight="1" x14ac:dyDescent="0.2">
      <c r="B235" s="17" t="s">
        <v>689</v>
      </c>
      <c r="C235" s="176" t="str">
        <f>CONCATENATE(this_instance,"02-w0",wld_domain_number_chosen,"-r01-esx04",".",sample_child_dns_zone)</f>
        <v>sfo02-w01-r01-esx04.sfo.rainpole.io</v>
      </c>
      <c r="D235" s="175"/>
      <c r="E235" s="32"/>
    </row>
    <row r="236" spans="2:5" ht="20.100000000000001" customHeight="1" x14ac:dyDescent="0.2">
      <c r="B236" s="17" t="s">
        <v>690</v>
      </c>
      <c r="C236" s="176" t="str">
        <f>CONCATENATE(this_instance,"02-w0",wld_domain_number_chosen,"-r01-esx05",".",sample_child_dns_zone)</f>
        <v>sfo02-w01-r01-esx05.sfo.rainpole.io</v>
      </c>
      <c r="D236" s="175"/>
      <c r="E236" s="32"/>
    </row>
    <row r="237" spans="2:5" ht="20.100000000000001" customHeight="1" x14ac:dyDescent="0.2">
      <c r="B237" s="17" t="s">
        <v>691</v>
      </c>
      <c r="C237" s="176" t="str">
        <f>CONCATENATE(this_instance,"02-w0",wld_domain_number_chosen,"-r01-esx06",".",sample_child_dns_zone)</f>
        <v>sfo02-w01-r01-esx06.sfo.rainpole.io</v>
      </c>
      <c r="D237" s="175"/>
      <c r="E237" s="32"/>
    </row>
    <row r="238" spans="2:5" ht="20.100000000000001" customHeight="1" x14ac:dyDescent="0.2">
      <c r="B238" s="17" t="s">
        <v>692</v>
      </c>
      <c r="C238" s="176" t="str">
        <f>CONCATENATE(this_instance,"02-w0",wld_domain_number_chosen,"-r01-esx07",".",sample_child_dns_zone)</f>
        <v>sfo02-w01-r01-esx07.sfo.rainpole.io</v>
      </c>
      <c r="D238" s="175"/>
      <c r="E238" s="32"/>
    </row>
    <row r="239" spans="2:5" ht="20.100000000000001" customHeight="1" x14ac:dyDescent="0.2">
      <c r="B239" s="17" t="s">
        <v>693</v>
      </c>
      <c r="C239" s="176" t="str">
        <f>CONCATENATE(this_instance,"02-w0",wld_domain_number_chosen,"-r01-esx08",".",sample_child_dns_zone)</f>
        <v>sfo02-w01-r01-esx08.sfo.rainpole.io</v>
      </c>
      <c r="D239" s="175"/>
      <c r="E239" s="32"/>
    </row>
    <row r="240" spans="2:5" ht="20.100000000000001" customHeight="1" x14ac:dyDescent="0.2">
      <c r="B240" s="17" t="s">
        <v>694</v>
      </c>
      <c r="C240" s="176" t="str">
        <f>CONCATENATE(this_instance,"02-w0",wld_domain_number_chosen,"-r01-esx09",".",sample_child_dns_zone)</f>
        <v>sfo02-w01-r01-esx09.sfo.rainpole.io</v>
      </c>
      <c r="D240" s="175"/>
      <c r="E240" s="32"/>
    </row>
    <row r="241" spans="2:5" ht="20.100000000000001" customHeight="1" x14ac:dyDescent="0.2">
      <c r="B241" s="17" t="s">
        <v>695</v>
      </c>
      <c r="C241" s="176" t="str">
        <f>CONCATENATE(this_instance,"02-w0",wld_domain_number_chosen,"-r01-esx10",".",sample_child_dns_zone)</f>
        <v>sfo02-w01-r01-esx10.sfo.rainpole.io</v>
      </c>
      <c r="D241" s="175"/>
      <c r="E241" s="32"/>
    </row>
    <row r="242" spans="2:5" ht="20.100000000000001" customHeight="1" x14ac:dyDescent="0.2">
      <c r="B242" s="17" t="s">
        <v>696</v>
      </c>
      <c r="C242" s="176" t="str">
        <f>CONCATENATE(this_instance,"02-w0",wld_domain_number_chosen,"-r01-esx11",".",sample_child_dns_zone)</f>
        <v>sfo02-w01-r01-esx11.sfo.rainpole.io</v>
      </c>
      <c r="D242" s="175"/>
      <c r="E242" s="32"/>
    </row>
    <row r="243" spans="2:5" ht="20.100000000000001" customHeight="1" x14ac:dyDescent="0.2">
      <c r="B243" s="17" t="s">
        <v>697</v>
      </c>
      <c r="C243" s="176" t="str">
        <f>CONCATENATE(this_instance,"02-w0",wld_domain_number_chosen,"-r01-esx12",".",sample_child_dns_zone)</f>
        <v>sfo02-w01-r01-esx12.sfo.rainpole.io</v>
      </c>
      <c r="D243" s="175"/>
      <c r="E243" s="32"/>
    </row>
    <row r="244" spans="2:5" ht="20.100000000000001" customHeight="1" x14ac:dyDescent="0.2">
      <c r="B244" s="17" t="s">
        <v>698</v>
      </c>
      <c r="C244" s="176" t="str">
        <f>CONCATENATE(this_instance,"02-w0",wld_domain_number_chosen,"-r01-esx13",".",sample_child_dns_zone)</f>
        <v>sfo02-w01-r01-esx13.sfo.rainpole.io</v>
      </c>
      <c r="D244" s="175"/>
      <c r="E244" s="32"/>
    </row>
    <row r="245" spans="2:5" ht="20.100000000000001" customHeight="1" x14ac:dyDescent="0.2">
      <c r="B245" s="17" t="s">
        <v>699</v>
      </c>
      <c r="C245" s="176" t="str">
        <f>CONCATENATE(this_instance,"02-w0",wld_domain_number_chosen,"-r01-esx14",".",sample_child_dns_zone)</f>
        <v>sfo02-w01-r01-esx14.sfo.rainpole.io</v>
      </c>
      <c r="D245" s="175"/>
      <c r="E245" s="32"/>
    </row>
    <row r="246" spans="2:5" ht="20.100000000000001" customHeight="1" x14ac:dyDescent="0.2">
      <c r="B246" s="17" t="s">
        <v>700</v>
      </c>
      <c r="C246" s="176" t="str">
        <f>CONCATENATE(this_instance,"02-w0",wld_domain_number_chosen,"-r01-esx15",".",sample_child_dns_zone)</f>
        <v>sfo02-w01-r01-esx15.sfo.rainpole.io</v>
      </c>
      <c r="D246" s="175"/>
      <c r="E246" s="32"/>
    </row>
    <row r="247" spans="2:5" ht="20.100000000000001" customHeight="1" x14ac:dyDescent="0.2">
      <c r="B247" s="17" t="s">
        <v>701</v>
      </c>
      <c r="C247" s="176" t="str">
        <f>CONCATENATE(this_instance,"02-w0",wld_domain_number_chosen,"-r01-esx16",".",sample_child_dns_zone)</f>
        <v>sfo02-w01-r01-esx16.sfo.rainpole.io</v>
      </c>
      <c r="D247" s="175"/>
      <c r="E247" s="32"/>
    </row>
    <row r="248" spans="2:5" ht="20.100000000000001" customHeight="1" x14ac:dyDescent="0.2">
      <c r="B248" s="17" t="s">
        <v>712</v>
      </c>
      <c r="C248" s="78" t="s">
        <v>368</v>
      </c>
      <c r="D248" s="177" t="str">
        <f>IF(wld_principal_storage_chosen="vSAN-ESA","Selected","Unselected")</f>
        <v>Selected</v>
      </c>
      <c r="E248" s="32"/>
    </row>
    <row r="249" spans="2:5" ht="20.100000000000001" customHeight="1" x14ac:dyDescent="0.2">
      <c r="B249" s="17" t="s">
        <v>714</v>
      </c>
      <c r="C249" s="78" t="s">
        <v>715</v>
      </c>
      <c r="D249" s="175" t="s">
        <v>715</v>
      </c>
      <c r="E249" s="32"/>
    </row>
    <row r="250" spans="2:5" ht="20.100000000000001" customHeight="1" x14ac:dyDescent="0.2">
      <c r="B250" s="17" t="s">
        <v>716</v>
      </c>
      <c r="C250" s="78" t="s">
        <v>323</v>
      </c>
      <c r="D250" s="177" t="str">
        <f>IF(OR(wld_principal_storage_chosen="vSAN-ESA",wld_principal_storage_chosen="vSAN Storage Cluster"),"Selected","Unselected")</f>
        <v>Selected</v>
      </c>
      <c r="E250" s="32"/>
    </row>
    <row r="251" spans="2:5" ht="20.100000000000001" customHeight="1" x14ac:dyDescent="0.2">
      <c r="B251" s="17" t="s">
        <v>705</v>
      </c>
      <c r="C251" s="78" t="str">
        <f>sample_wld_az2_pool_name</f>
        <v>sfo02-w01-r01-network-pool-01</v>
      </c>
      <c r="D251" s="177" t="str">
        <f>wld_az2_pool_name</f>
        <v>Value Missing</v>
      </c>
      <c r="E251" s="32"/>
    </row>
    <row r="252" spans="2:5" ht="20.100000000000001" customHeight="1" x14ac:dyDescent="0.2">
      <c r="B252" s="17" t="s">
        <v>535</v>
      </c>
      <c r="C252" s="78" t="s">
        <v>717</v>
      </c>
      <c r="D252" s="175"/>
      <c r="E252" s="32"/>
    </row>
    <row r="253" spans="2:5" ht="20.100000000000001" customHeight="1" x14ac:dyDescent="0.2">
      <c r="B253" s="17" t="s">
        <v>296</v>
      </c>
      <c r="C253" s="78" t="s">
        <v>379</v>
      </c>
      <c r="D253" s="175"/>
      <c r="E253" s="32"/>
    </row>
    <row r="254" spans="2:5" ht="15.95" customHeight="1" x14ac:dyDescent="0.2">
      <c r="B254" s="168"/>
      <c r="C254" s="168"/>
      <c r="D254" s="168"/>
    </row>
    <row r="255" spans="2:5" ht="20.100000000000001" customHeight="1" x14ac:dyDescent="0.2">
      <c r="B255" s="405" t="s">
        <v>1449</v>
      </c>
      <c r="C255" s="406"/>
      <c r="D255" s="406"/>
      <c r="E255" s="407"/>
    </row>
    <row r="256" spans="2:5" ht="20.100000000000001" customHeight="1" x14ac:dyDescent="0.2">
      <c r="B256" s="346" t="s">
        <v>37</v>
      </c>
      <c r="C256" s="346" t="s">
        <v>276</v>
      </c>
      <c r="D256" s="346" t="s">
        <v>277</v>
      </c>
      <c r="E256" s="346" t="s">
        <v>5</v>
      </c>
    </row>
    <row r="257" spans="2:5" ht="20.100000000000001" customHeight="1" x14ac:dyDescent="0.2">
      <c r="B257" s="4" t="s">
        <v>398</v>
      </c>
      <c r="C257" s="80" t="str">
        <f>IF(mgmt_dpg_reuse_result="Included",CONCATENATE(prefix_wld_witness_vlan,"10"),CONCATENATE(prefix_wld_witness_vlan,"11"))</f>
        <v>2110</v>
      </c>
      <c r="D257" s="347"/>
      <c r="E257" s="32"/>
    </row>
    <row r="258" spans="2:5" ht="20.100000000000001" customHeight="1" x14ac:dyDescent="0.2">
      <c r="B258" s="4" t="s">
        <v>399</v>
      </c>
      <c r="C258" s="362" t="str">
        <f>IF(mgmt_dpg_reuse_result="Included",CONCATENATE(prefix_wld_witness_cidr,"10.1"),CONCATENATE(prefix_wld_witness_cidr,"11.1"))</f>
        <v>10.21.10.1</v>
      </c>
      <c r="D258" s="347"/>
      <c r="E258" s="32" t="str">
        <f>IF(AND(mgmt_stretched_cluster_result="Included",mgmt_dpg_reuse_result="Excluded"),"Stretched L2","")</f>
        <v/>
      </c>
    </row>
    <row r="259" spans="2:5" ht="20.100000000000001" customHeight="1" x14ac:dyDescent="0.2">
      <c r="B259" s="4" t="s">
        <v>400</v>
      </c>
      <c r="C259" s="80" t="str">
        <f>IF(mgmt_dpg_reuse_result="Included",CONCATENATE(prefix_wld_witness_cidr,"10.0/24"),CONCATENATE(prefix_wld_witness_cidr,"11.0/24"))</f>
        <v>10.21.10.0/24</v>
      </c>
      <c r="D259" s="347"/>
      <c r="E259" s="32"/>
    </row>
    <row r="260" spans="2:5" ht="20.100000000000001" customHeight="1" x14ac:dyDescent="0.2">
      <c r="B260" s="4" t="s">
        <v>401</v>
      </c>
      <c r="C260" s="362">
        <f>sample_wld_witnessaz_mgmt_mtu</f>
        <v>1500</v>
      </c>
      <c r="D260" s="175"/>
      <c r="E260" s="32"/>
    </row>
    <row r="261" spans="2:5" ht="20.100000000000001" customHeight="1" x14ac:dyDescent="0.2"/>
    <row r="262" spans="2:5" ht="33.950000000000003" customHeight="1" x14ac:dyDescent="0.2">
      <c r="B262" s="505" t="s">
        <v>1450</v>
      </c>
      <c r="C262" s="506"/>
      <c r="D262" s="506"/>
      <c r="E262" s="507"/>
    </row>
    <row r="263" spans="2:5" ht="20.100000000000001" customHeight="1" x14ac:dyDescent="0.2">
      <c r="B263" s="366"/>
      <c r="C263" s="367"/>
      <c r="D263" s="367"/>
      <c r="E263" s="368"/>
    </row>
    <row r="264" spans="2:5" ht="20.100000000000001" customHeight="1" x14ac:dyDescent="0.2">
      <c r="B264" s="346" t="s">
        <v>37</v>
      </c>
      <c r="C264" s="346" t="s">
        <v>276</v>
      </c>
      <c r="D264" s="346" t="s">
        <v>277</v>
      </c>
      <c r="E264" s="346" t="s">
        <v>5</v>
      </c>
    </row>
    <row r="265" spans="2:5" ht="20.100000000000001" customHeight="1" x14ac:dyDescent="0.2">
      <c r="B265" s="4" t="s">
        <v>721</v>
      </c>
      <c r="C265" s="126" t="str">
        <f>CONCATENATE(other_instance,"-m01-vc01.",other_instance,".rainpole.io")</f>
        <v>lax-m01-vc01.lax.rainpole.io</v>
      </c>
      <c r="D265" s="347"/>
      <c r="E265" s="4"/>
    </row>
    <row r="266" spans="2:5" ht="20.100000000000001" customHeight="1" x14ac:dyDescent="0.2">
      <c r="B266" s="4" t="s">
        <v>723</v>
      </c>
      <c r="C266" s="89" t="str">
        <f>IF(mgmt_dpg_reuse_result="Included",CONCATENATE(prefix_other_region_az1_cidr,"10.70"),CONCATENATE(prefix_other_region_az1_cidr,"11.70"))</f>
        <v>10.21.10.70</v>
      </c>
      <c r="D266" s="347"/>
      <c r="E266" s="4"/>
    </row>
    <row r="267" spans="2:5" ht="20.100000000000001" customHeight="1" x14ac:dyDescent="0.2">
      <c r="B267" s="4" t="s">
        <v>724</v>
      </c>
      <c r="C267" s="126" t="str">
        <f>CONCATENATE(this_instance,"-w0",wld_domain_number_chosen,"-cl01-vsw01")</f>
        <v>sfo-w01-cl01-vsw01</v>
      </c>
      <c r="D267" s="347"/>
      <c r="E267" s="4"/>
    </row>
    <row r="268" spans="2:5" ht="20.100000000000001" customHeight="1" x14ac:dyDescent="0.2">
      <c r="B268" s="4" t="s">
        <v>725</v>
      </c>
      <c r="C268" s="362" t="str">
        <f>CONCATENATE(other_instance,"-m01-cl01")</f>
        <v>lax-m01-cl01</v>
      </c>
      <c r="D268" s="347"/>
      <c r="E268" s="4"/>
    </row>
    <row r="269" spans="2:5" ht="20.100000000000001" customHeight="1" x14ac:dyDescent="0.2">
      <c r="B269" s="4" t="s">
        <v>726</v>
      </c>
      <c r="C269" s="362" t="str">
        <f>CONCATENATE(other_instance,"-fd-mgmt")</f>
        <v>lax-fd-mgmt</v>
      </c>
      <c r="D269" s="347"/>
      <c r="E269" s="4"/>
    </row>
    <row r="270" spans="2:5" ht="20.100000000000001" customHeight="1" x14ac:dyDescent="0.2">
      <c r="B270" s="4" t="s">
        <v>727</v>
      </c>
      <c r="C270" s="362" t="str">
        <f>CONCATENATE(other_instance,"-m01-cl01-ds-vsan01")</f>
        <v>lax-m01-cl01-ds-vsan01</v>
      </c>
      <c r="D270" s="347"/>
      <c r="E270" s="4"/>
    </row>
    <row r="271" spans="2:5" ht="20.100000000000001" customHeight="1" x14ac:dyDescent="0.2">
      <c r="B271" s="4" t="s">
        <v>728</v>
      </c>
      <c r="C271" s="362" t="str">
        <f>CONCATENATE(other_instance,"01-m01-cl01-vds01-pg-vm-mgmt")</f>
        <v>lax01-m01-cl01-vds01-pg-vm-mgmt</v>
      </c>
      <c r="D271" s="347"/>
      <c r="E271" s="4"/>
    </row>
    <row r="272" spans="2:5" ht="20.100000000000001" customHeight="1" x14ac:dyDescent="0.2">
      <c r="B272" s="4" t="s">
        <v>729</v>
      </c>
      <c r="C272" s="362" t="str">
        <f>sample_wld_witness_mgmt_pg</f>
        <v>lax01-m01-cl01-vds01-pg-vm-mgmt</v>
      </c>
      <c r="D272" s="177" t="str">
        <f>wld_witness_mgmt_pg</f>
        <v>Value Missing</v>
      </c>
      <c r="E272" s="4"/>
    </row>
    <row r="273" spans="2:5" ht="20.100000000000001" customHeight="1" x14ac:dyDescent="0.2">
      <c r="B273" s="4" t="s">
        <v>337</v>
      </c>
      <c r="C273" s="362" t="s">
        <v>379</v>
      </c>
      <c r="D273" s="129"/>
      <c r="E273" s="337" t="s">
        <v>1451</v>
      </c>
    </row>
    <row r="274" spans="2:5" ht="20.100000000000001" customHeight="1" x14ac:dyDescent="0.2">
      <c r="B274" s="4" t="s">
        <v>1452</v>
      </c>
      <c r="C274" s="126" t="str">
        <f>IF(mgmt_dpg_reuse_result="Included",CONCATENATE(prefix_other_region_az1_cidr,"10.",(218 + wld_domain_number_chosen)),CONCATENATE(prefix_other_region_az1_cidr,"11.",(218 + wld_domain_number_chosen)))</f>
        <v>10.21.10.219</v>
      </c>
      <c r="D274" s="347"/>
      <c r="E274" s="4"/>
    </row>
    <row r="275" spans="2:5" ht="20.100000000000001" customHeight="1" x14ac:dyDescent="0.2">
      <c r="B275" s="4" t="s">
        <v>732</v>
      </c>
      <c r="C275" s="362" t="s">
        <v>612</v>
      </c>
      <c r="D275" s="337" t="str">
        <f>wld_witnessaz_mgmt_mask</f>
        <v>Value Missing</v>
      </c>
      <c r="E275" s="4"/>
    </row>
    <row r="276" spans="2:5" ht="20.100000000000001" customHeight="1" x14ac:dyDescent="0.2">
      <c r="B276" s="4" t="s">
        <v>399</v>
      </c>
      <c r="C276" s="362" t="str">
        <f>sample_wld_witnessaz_mgmt_gateway_ip</f>
        <v>10.21.10.1</v>
      </c>
      <c r="D276" s="337"/>
      <c r="E276" s="4"/>
    </row>
    <row r="277" spans="2:5" ht="20.100000000000001" customHeight="1" x14ac:dyDescent="0.2">
      <c r="B277" s="4" t="s">
        <v>733</v>
      </c>
      <c r="C277" s="362" t="str">
        <f>sample_child_dns_zone</f>
        <v>sfo.rainpole.io</v>
      </c>
      <c r="D277" s="347"/>
      <c r="E277" s="4"/>
    </row>
    <row r="278" spans="2:5" ht="20.100000000000001" customHeight="1" x14ac:dyDescent="0.2">
      <c r="B278" s="4" t="s">
        <v>734</v>
      </c>
      <c r="C278" s="362" t="str">
        <f>sample_wld_witness_hostname</f>
        <v>sfo-w01-cl01-vsw01</v>
      </c>
      <c r="D278" s="337" t="str">
        <f>wld_witness_hostname</f>
        <v>Value Missing</v>
      </c>
      <c r="E278" s="4"/>
    </row>
    <row r="279" spans="2:5" ht="20.100000000000001" customHeight="1" x14ac:dyDescent="0.2">
      <c r="B279" s="4" t="s">
        <v>735</v>
      </c>
      <c r="C279" s="362" t="str">
        <f>IF(mgmt_dpg_reuse_result="Included",CONCATENATE(prefix_other_region_az1_cidr,"10.4"),CONCATENATE(prefix_other_region_az1_cidr,"11.4"))</f>
        <v>10.21.10.4</v>
      </c>
      <c r="D279" s="347"/>
      <c r="E279" s="32"/>
    </row>
    <row r="280" spans="2:5" ht="20.100000000000001" customHeight="1" x14ac:dyDescent="0.2">
      <c r="B280" s="4" t="s">
        <v>737</v>
      </c>
      <c r="C280" s="362" t="str">
        <f>IF(mgmt_dpg_reuse_result="Included",CONCATENATE(prefix_other_region_az1_cidr,"10.5"),CONCATENATE(prefix_other_region_az1_cidr,"11.5"))</f>
        <v>10.21.10.5</v>
      </c>
      <c r="D280" s="347"/>
      <c r="E280" s="32"/>
    </row>
    <row r="281" spans="2:5" ht="20.100000000000001" customHeight="1" x14ac:dyDescent="0.2">
      <c r="B281" s="4" t="s">
        <v>739</v>
      </c>
      <c r="C281" s="362" t="str">
        <f>CONCATENATE("ntp0.",other_instance,".rainpole.io")</f>
        <v>ntp0.lax.rainpole.io</v>
      </c>
      <c r="D281" s="347"/>
      <c r="E281" s="4"/>
    </row>
    <row r="282" spans="2:5" ht="20.100000000000001" customHeight="1" x14ac:dyDescent="0.2">
      <c r="B282" s="4" t="s">
        <v>740</v>
      </c>
      <c r="C282" s="362" t="str">
        <f>CONCATENATE("ntp1.",other_instance,".rainpole.io")</f>
        <v>ntp1.lax.rainpole.io</v>
      </c>
      <c r="D282" s="347"/>
      <c r="E282" s="4"/>
    </row>
    <row r="283" spans="2:5" ht="20.100000000000001" customHeight="1" x14ac:dyDescent="0.2">
      <c r="B283" s="514" t="s">
        <v>741</v>
      </c>
      <c r="C283" s="515"/>
      <c r="D283" s="515"/>
      <c r="E283" s="516"/>
    </row>
    <row r="284" spans="2:5" ht="20.100000000000001" customHeight="1" x14ac:dyDescent="0.2">
      <c r="B284" s="346" t="s">
        <v>37</v>
      </c>
      <c r="C284" s="346" t="s">
        <v>276</v>
      </c>
      <c r="D284" s="346" t="s">
        <v>277</v>
      </c>
      <c r="E284" s="346" t="s">
        <v>5</v>
      </c>
    </row>
    <row r="285" spans="2:5" ht="20.100000000000001" customHeight="1" x14ac:dyDescent="0.2">
      <c r="B285" s="4" t="s">
        <v>721</v>
      </c>
      <c r="C285" s="362" t="str">
        <f>sample_wld_vc_fqdn</f>
        <v>sfo-w01-vc01.sfo.rainpole.io</v>
      </c>
      <c r="D285" s="337" t="str">
        <f>wld_vc_fqdn</f>
        <v>Value Missing</v>
      </c>
      <c r="E285" s="4"/>
    </row>
    <row r="286" spans="2:5" ht="20.100000000000001" customHeight="1" x14ac:dyDescent="0.2">
      <c r="B286" s="4" t="s">
        <v>742</v>
      </c>
      <c r="C286" s="362" t="str">
        <f>CONCATENATE(this_instance,"-w0",wld_domain_number_chosen,"-dc")</f>
        <v>sfo-w01-dc</v>
      </c>
      <c r="D286" s="347"/>
      <c r="E286" s="4"/>
    </row>
    <row r="287" spans="2:5" ht="20.100000000000001" customHeight="1" x14ac:dyDescent="0.2">
      <c r="B287" s="4" t="s">
        <v>527</v>
      </c>
      <c r="C287" s="362" t="str">
        <f>CONCATENATE(sample_wld_witness_hostname,".",sample_child_dns_zone)</f>
        <v>sfo-w01-cl01-vsw01.sfo.rainpole.io</v>
      </c>
      <c r="D287" s="347"/>
      <c r="E287" s="4"/>
    </row>
    <row r="288" spans="2:5" ht="20.100000000000001" customHeight="1" x14ac:dyDescent="0.2">
      <c r="B288" s="4" t="s">
        <v>743</v>
      </c>
      <c r="C288" s="362" t="str">
        <f>sample_wld_witness_root_password</f>
        <v>VMw@re1!</v>
      </c>
      <c r="D288" s="337" t="str">
        <f>wld_witness_root_password</f>
        <v>Value Missing</v>
      </c>
      <c r="E288" s="4"/>
    </row>
    <row r="289" spans="2:5" ht="20.100000000000001" customHeight="1" x14ac:dyDescent="0.2">
      <c r="B289" s="514" t="s">
        <v>744</v>
      </c>
      <c r="C289" s="515"/>
      <c r="D289" s="515"/>
      <c r="E289" s="516"/>
    </row>
    <row r="290" spans="2:5" ht="20.100000000000001" customHeight="1" x14ac:dyDescent="0.2">
      <c r="B290" s="346" t="s">
        <v>37</v>
      </c>
      <c r="C290" s="346" t="s">
        <v>276</v>
      </c>
      <c r="D290" s="346" t="s">
        <v>277</v>
      </c>
      <c r="E290" s="346" t="s">
        <v>5</v>
      </c>
    </row>
    <row r="291" spans="2:5" ht="20.100000000000001" customHeight="1" x14ac:dyDescent="0.2">
      <c r="B291" s="4" t="s">
        <v>721</v>
      </c>
      <c r="C291" s="362" t="str">
        <f>sample_wld_vc_fqdn</f>
        <v>sfo-w01-vc01.sfo.rainpole.io</v>
      </c>
      <c r="D291" s="337" t="str">
        <f>wld_vc_fqdn</f>
        <v>Value Missing</v>
      </c>
      <c r="E291" s="4"/>
    </row>
    <row r="292" spans="2:5" ht="20.100000000000001" customHeight="1" x14ac:dyDescent="0.2">
      <c r="B292" s="4" t="s">
        <v>745</v>
      </c>
      <c r="C292" s="362" t="str">
        <f>sample_wld_witness_hostname</f>
        <v>sfo-w01-cl01-vsw01</v>
      </c>
      <c r="D292" s="337" t="str">
        <f>wld_witness_hostname</f>
        <v>Value Missing</v>
      </c>
      <c r="E292" s="4"/>
    </row>
    <row r="293" spans="2:5" ht="20.100000000000001" customHeight="1" x14ac:dyDescent="0.2">
      <c r="B293" s="4" t="s">
        <v>746</v>
      </c>
      <c r="C293" s="362" t="str">
        <f>IF(AND((NOT(ISBLANK(sample_mgmt_witness_ntp2_server))),(sample_mgmt_witness_ntp2_server &lt;&gt; "n/a")),CONCATENATE(sample_mgmt_witness_ntp1_server,",",sample_mgmt_witness_ntp2_server),sample_mgmt_witness_ntp1_server)</f>
        <v>ntp0.sfo.rainpole.io,ntp1.sfo.rainpole.io</v>
      </c>
      <c r="D293" s="337" t="str">
        <f>IF(AND((NOT(ISBLANK(witness_ntp2_server))),(witness_ntp2_server&lt;&gt;"n/a"),(witness_ntp2_server&lt;&gt;"")),CONCATENATE(witness_ntp1_server,",",witness_ntp2_server,witness_ntp1_server))</f>
        <v>Value Missing,Value MissingValue Missing</v>
      </c>
      <c r="E293" s="32"/>
    </row>
    <row r="294" spans="2:5" ht="20.100000000000001" customHeight="1" x14ac:dyDescent="0.2">
      <c r="B294" s="514" t="s">
        <v>747</v>
      </c>
      <c r="C294" s="515"/>
      <c r="D294" s="515"/>
      <c r="E294" s="516"/>
    </row>
    <row r="295" spans="2:5" ht="20.100000000000001" customHeight="1" x14ac:dyDescent="0.2">
      <c r="B295" s="346" t="s">
        <v>37</v>
      </c>
      <c r="C295" s="346" t="s">
        <v>276</v>
      </c>
      <c r="D295" s="346" t="s">
        <v>277</v>
      </c>
      <c r="E295" s="346" t="s">
        <v>5</v>
      </c>
    </row>
    <row r="296" spans="2:5" ht="20.100000000000001" customHeight="1" x14ac:dyDescent="0.2">
      <c r="B296" s="4" t="s">
        <v>721</v>
      </c>
      <c r="C296" s="362" t="str">
        <f>sample_wld_vc_fqdn</f>
        <v>sfo-w01-vc01.sfo.rainpole.io</v>
      </c>
      <c r="D296" s="337" t="str">
        <f>mgmt_vc_fqdn</f>
        <v>labvcvcf01v.vcf.lab.local</v>
      </c>
      <c r="E296" s="4"/>
    </row>
    <row r="297" spans="2:5" ht="20.100000000000001" customHeight="1" x14ac:dyDescent="0.2">
      <c r="B297" s="4" t="s">
        <v>742</v>
      </c>
      <c r="C297" s="362" t="str">
        <f>sample_wld_datacenter</f>
        <v>sfo-w01-dc</v>
      </c>
      <c r="D297" s="337" t="str">
        <f>wld_datacenter</f>
        <v>Value Missing</v>
      </c>
      <c r="E297" s="4"/>
    </row>
    <row r="298" spans="2:5" ht="20.100000000000001" customHeight="1" x14ac:dyDescent="0.2">
      <c r="B298" s="4" t="s">
        <v>749</v>
      </c>
      <c r="C298" s="362" t="str">
        <f>sample_wld_witness_hostname</f>
        <v>sfo-w01-cl01-vsw01</v>
      </c>
      <c r="D298" s="337" t="str">
        <f>wld_witness_hostname</f>
        <v>Value Missing</v>
      </c>
      <c r="E298" s="4"/>
    </row>
    <row r="299" spans="2:5" ht="20.100000000000001" customHeight="1" x14ac:dyDescent="0.2">
      <c r="B299" s="372"/>
      <c r="C299" s="327"/>
      <c r="D299" s="344"/>
      <c r="E299" s="372"/>
    </row>
    <row r="300" spans="2:5" ht="33.950000000000003" customHeight="1" x14ac:dyDescent="0.2">
      <c r="B300" s="505" t="s">
        <v>750</v>
      </c>
      <c r="C300" s="506"/>
      <c r="D300" s="506"/>
      <c r="E300" s="507"/>
    </row>
    <row r="301" spans="2:5" ht="20.100000000000001" customHeight="1" x14ac:dyDescent="0.2">
      <c r="B301" s="366"/>
      <c r="C301" s="367"/>
      <c r="D301" s="367"/>
      <c r="E301" s="368"/>
    </row>
    <row r="302" spans="2:5" ht="20.100000000000001" customHeight="1" x14ac:dyDescent="0.2">
      <c r="B302" s="346" t="s">
        <v>37</v>
      </c>
      <c r="C302" s="346" t="s">
        <v>276</v>
      </c>
      <c r="D302" s="346" t="s">
        <v>277</v>
      </c>
      <c r="E302" s="346" t="s">
        <v>5</v>
      </c>
    </row>
    <row r="303" spans="2:5" ht="20.100000000000001" customHeight="1" x14ac:dyDescent="0.2">
      <c r="B303" s="361" t="str">
        <f t="array" ref="B303:B318">wld_az2_host_fqdns</f>
        <v>Value Missing</v>
      </c>
      <c r="C303" s="362" t="s">
        <v>752</v>
      </c>
      <c r="D303" s="347"/>
      <c r="E303" s="337" t="s">
        <v>1453</v>
      </c>
    </row>
    <row r="304" spans="2:5" ht="20.100000000000001" customHeight="1" x14ac:dyDescent="0.2">
      <c r="B304" s="4" t="str">
        <v>Value Missing</v>
      </c>
      <c r="C304" s="362" t="s">
        <v>754</v>
      </c>
      <c r="D304" s="347"/>
      <c r="E304" s="337" t="s">
        <v>1453</v>
      </c>
    </row>
    <row r="305" spans="2:5" ht="20.100000000000001" customHeight="1" x14ac:dyDescent="0.2">
      <c r="B305" s="4" t="str">
        <v>Value Missing</v>
      </c>
      <c r="C305" s="362" t="s">
        <v>756</v>
      </c>
      <c r="D305" s="347"/>
      <c r="E305" s="337" t="s">
        <v>1453</v>
      </c>
    </row>
    <row r="306" spans="2:5" ht="20.100000000000001" customHeight="1" x14ac:dyDescent="0.2">
      <c r="B306" s="4" t="str">
        <v>Value Missing</v>
      </c>
      <c r="C306" s="362" t="s">
        <v>758</v>
      </c>
      <c r="D306" s="347"/>
      <c r="E306" s="337" t="s">
        <v>1453</v>
      </c>
    </row>
    <row r="307" spans="2:5" ht="20.100000000000001" customHeight="1" x14ac:dyDescent="0.2">
      <c r="B307" s="4" t="str">
        <v>Value Missing</v>
      </c>
      <c r="C307" s="362" t="s">
        <v>1454</v>
      </c>
      <c r="D307" s="347"/>
      <c r="E307" s="337"/>
    </row>
    <row r="308" spans="2:5" ht="20.100000000000001" customHeight="1" x14ac:dyDescent="0.2">
      <c r="B308" s="4" t="str">
        <v>Value Missing</v>
      </c>
      <c r="C308" s="362" t="s">
        <v>1455</v>
      </c>
      <c r="D308" s="347"/>
      <c r="E308" s="337"/>
    </row>
    <row r="309" spans="2:5" ht="20.100000000000001" customHeight="1" x14ac:dyDescent="0.2">
      <c r="B309" s="4" t="str">
        <v>Value Missing</v>
      </c>
      <c r="C309" s="362" t="s">
        <v>1456</v>
      </c>
      <c r="D309" s="347"/>
      <c r="E309" s="337"/>
    </row>
    <row r="310" spans="2:5" ht="20.100000000000001" customHeight="1" x14ac:dyDescent="0.2">
      <c r="B310" s="4" t="str">
        <v>Value Missing</v>
      </c>
      <c r="C310" s="362" t="s">
        <v>1457</v>
      </c>
      <c r="D310" s="347"/>
      <c r="E310" s="337"/>
    </row>
    <row r="311" spans="2:5" ht="20.100000000000001" customHeight="1" x14ac:dyDescent="0.2">
      <c r="B311" s="4" t="str">
        <v>Value Missing</v>
      </c>
      <c r="C311" s="362" t="s">
        <v>1458</v>
      </c>
      <c r="D311" s="347"/>
      <c r="E311" s="337"/>
    </row>
    <row r="312" spans="2:5" ht="20.100000000000001" customHeight="1" x14ac:dyDescent="0.2">
      <c r="B312" s="4" t="str">
        <v>Value Missing</v>
      </c>
      <c r="C312" s="362" t="s">
        <v>1459</v>
      </c>
      <c r="D312" s="347"/>
      <c r="E312" s="337"/>
    </row>
    <row r="313" spans="2:5" ht="20.100000000000001" customHeight="1" x14ac:dyDescent="0.2">
      <c r="B313" s="4" t="str">
        <v>Value Missing</v>
      </c>
      <c r="C313" s="362" t="s">
        <v>1460</v>
      </c>
      <c r="D313" s="347"/>
      <c r="E313" s="337"/>
    </row>
    <row r="314" spans="2:5" ht="20.100000000000001" customHeight="1" x14ac:dyDescent="0.2">
      <c r="B314" s="4" t="str">
        <v>Value Missing</v>
      </c>
      <c r="C314" s="362" t="s">
        <v>1461</v>
      </c>
      <c r="D314" s="347"/>
      <c r="E314" s="337"/>
    </row>
    <row r="315" spans="2:5" ht="20.100000000000001" customHeight="1" x14ac:dyDescent="0.2">
      <c r="B315" s="4" t="str">
        <v>Value Missing</v>
      </c>
      <c r="C315" s="362" t="s">
        <v>1462</v>
      </c>
      <c r="D315" s="347"/>
      <c r="E315" s="337"/>
    </row>
    <row r="316" spans="2:5" ht="20.100000000000001" customHeight="1" x14ac:dyDescent="0.2">
      <c r="B316" s="4" t="str">
        <v>Value Missing</v>
      </c>
      <c r="C316" s="362" t="s">
        <v>1463</v>
      </c>
      <c r="D316" s="347"/>
      <c r="E316" s="337"/>
    </row>
    <row r="317" spans="2:5" ht="20.100000000000001" customHeight="1" x14ac:dyDescent="0.2">
      <c r="B317" s="4" t="str">
        <v>Value Missing</v>
      </c>
      <c r="C317" s="362" t="s">
        <v>1464</v>
      </c>
      <c r="D317" s="347"/>
      <c r="E317" s="337"/>
    </row>
    <row r="318" spans="2:5" ht="20.100000000000001" customHeight="1" x14ac:dyDescent="0.2">
      <c r="B318" s="4" t="str">
        <v>Value Missing</v>
      </c>
      <c r="C318" s="362" t="s">
        <v>1465</v>
      </c>
      <c r="D318" s="347"/>
      <c r="E318" s="337"/>
    </row>
    <row r="319" spans="2:5" ht="20.100000000000001" customHeight="1" x14ac:dyDescent="0.2">
      <c r="B319" s="4" t="s">
        <v>784</v>
      </c>
      <c r="C319" s="362" t="str">
        <f>CONCATENATE(this_instance,"02-",sample_wld_cl01_cluster,"-r01-network-profile")</f>
        <v>sfo02-sfo-w01-cl01-r01-network-profile</v>
      </c>
      <c r="D319" s="347"/>
      <c r="E319" s="178"/>
    </row>
    <row r="320" spans="2:5" ht="20.100000000000001" customHeight="1" x14ac:dyDescent="0.2">
      <c r="B320" s="4" t="s">
        <v>785</v>
      </c>
      <c r="C320" s="362" t="s">
        <v>786</v>
      </c>
      <c r="D320" s="347" t="s">
        <v>786</v>
      </c>
      <c r="E320"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21" spans="2:5" ht="20.100000000000001" customHeight="1" x14ac:dyDescent="0.2">
      <c r="B321" s="4" t="s">
        <v>787</v>
      </c>
      <c r="C321" s="362" t="str">
        <f>CONCATENATE(this_instance,"02-w0",wld_domain_number_chosen,"-r01-ip-pool01-host")</f>
        <v>sfo02-w01-r01-ip-pool01-host</v>
      </c>
      <c r="D321" s="347"/>
      <c r="E321" s="4"/>
    </row>
    <row r="322" spans="2:5" ht="20.100000000000001" customHeight="1" x14ac:dyDescent="0.2">
      <c r="B322" s="4" t="s">
        <v>788</v>
      </c>
      <c r="C322" s="362" t="str">
        <f>CONCATENATE(this_instance,"02-w0",wld_domain_number_chosen,"-r01-uplink-profile01")</f>
        <v>sfo02-w01-r01-uplink-profile01</v>
      </c>
      <c r="D322" s="347"/>
      <c r="E322" s="4"/>
    </row>
    <row r="323" spans="2:5" ht="20.100000000000001" customHeight="1" x14ac:dyDescent="0.2">
      <c r="B323" s="17" t="s">
        <v>789</v>
      </c>
      <c r="C323" s="362" t="str">
        <f>CONCATENATE(prefix_wld_az2_vlan,"14")</f>
        <v>1414</v>
      </c>
      <c r="D323" s="347"/>
      <c r="E323" s="4"/>
    </row>
    <row r="324" spans="2:5" ht="20.100000000000001" customHeight="1" x14ac:dyDescent="0.2">
      <c r="B324" s="4" t="s">
        <v>790</v>
      </c>
      <c r="C324" s="80" t="str">
        <f>CONCATENATE(prefix_wld_az2_cidr,"14.1")</f>
        <v>10.14.14.1</v>
      </c>
      <c r="D324" s="347"/>
      <c r="E324" s="32" t="str">
        <f>IF(AND(mgmt_stretched_cluster_result="Included",mgmt_dpg_reuse_result="Excluded"),"Stretched L2","")</f>
        <v/>
      </c>
    </row>
    <row r="325" spans="2:5" ht="20.100000000000001" customHeight="1" x14ac:dyDescent="0.2">
      <c r="B325" s="4" t="s">
        <v>791</v>
      </c>
      <c r="C325" s="80" t="str">
        <f>CONCATENATE(prefix_wld_az2_cidr,"14.0/24")</f>
        <v>10.14.14.0/24</v>
      </c>
      <c r="D325" s="347"/>
      <c r="E325" s="32"/>
    </row>
    <row r="326" spans="2:5" ht="20.100000000000001" customHeight="1" x14ac:dyDescent="0.2">
      <c r="B326" s="4" t="s">
        <v>792</v>
      </c>
      <c r="C326" s="80">
        <v>9000</v>
      </c>
      <c r="D326" s="347"/>
      <c r="E326" s="56"/>
    </row>
    <row r="327" spans="2:5" ht="20.100000000000001" customHeight="1" x14ac:dyDescent="0.2">
      <c r="B327" s="17" t="s">
        <v>460</v>
      </c>
      <c r="C327" s="80" t="str">
        <f>CONCATENATE(prefix_wld_az2_cidr,"14.101")</f>
        <v>10.14.14.101</v>
      </c>
      <c r="D327" s="347"/>
      <c r="E327" s="56"/>
    </row>
    <row r="328" spans="2:5" ht="20.100000000000001" customHeight="1" x14ac:dyDescent="0.2">
      <c r="B328" s="17" t="s">
        <v>461</v>
      </c>
      <c r="C328" s="80" t="str">
        <f>CONCATENATE(prefix_wld_az2_cidr,"14.132")</f>
        <v>10.14.14.132</v>
      </c>
      <c r="D328" s="347"/>
      <c r="E328" s="56"/>
    </row>
    <row r="329" spans="2:5" ht="20.100000000000001" customHeight="1" x14ac:dyDescent="0.2">
      <c r="B329" s="4" t="s">
        <v>1466</v>
      </c>
      <c r="C329" s="362" t="str">
        <f>sample_wld_witness_fqdn</f>
        <v>sfo-w01-cl01-vsw01.sfo.rainpole.io</v>
      </c>
      <c r="D329" s="337" t="str">
        <f>wld_witness_fqdn</f>
        <v>Value Missing</v>
      </c>
      <c r="E329" s="4"/>
    </row>
    <row r="330" spans="2:5" ht="20.100000000000001" customHeight="1" x14ac:dyDescent="0.2">
      <c r="B330" s="4" t="s">
        <v>797</v>
      </c>
      <c r="C330" s="362" t="str">
        <f>sample_wld_witnessaz_mgmt_cidr</f>
        <v>10.21.10.0/24</v>
      </c>
      <c r="D330" s="337" t="str">
        <f>wld_witnessaz_mgmt_cidr</f>
        <v>Value Missing</v>
      </c>
      <c r="E330" s="4"/>
    </row>
    <row r="331" spans="2:5" ht="20.100000000000001" customHeight="1" x14ac:dyDescent="0.2">
      <c r="B331" s="4" t="s">
        <v>795</v>
      </c>
      <c r="C331" s="362" t="str">
        <f>sample_wld_witness_ip</f>
        <v>10.21.10.219</v>
      </c>
      <c r="D331" s="337" t="e">
        <f>wld_witness_mgmt_ip</f>
        <v>#NAME?</v>
      </c>
      <c r="E331" s="4"/>
    </row>
    <row r="332" spans="2:5" ht="20.100000000000001" customHeight="1" x14ac:dyDescent="0.2">
      <c r="B332" s="4" t="s">
        <v>800</v>
      </c>
      <c r="C332" s="362" t="s">
        <v>799</v>
      </c>
      <c r="D332" s="347"/>
      <c r="E332" s="337"/>
    </row>
    <row r="333" spans="2:5" ht="20.100000000000001" customHeight="1" x14ac:dyDescent="0.2">
      <c r="B333" s="520"/>
      <c r="C333" s="520"/>
      <c r="D333" s="520"/>
      <c r="E333" s="520"/>
    </row>
    <row r="334" spans="2:5" ht="33.950000000000003" customHeight="1" x14ac:dyDescent="0.2">
      <c r="B334" s="505" t="s">
        <v>801</v>
      </c>
      <c r="C334" s="506"/>
      <c r="D334" s="506"/>
      <c r="E334" s="507"/>
    </row>
    <row r="335" spans="2:5" ht="20.100000000000001" customHeight="1" x14ac:dyDescent="0.2">
      <c r="B335" s="373" t="s">
        <v>802</v>
      </c>
      <c r="C335" s="374"/>
      <c r="D335" s="374"/>
      <c r="E335" s="374"/>
    </row>
    <row r="336" spans="2:5" ht="20.100000000000001" customHeight="1" x14ac:dyDescent="0.2">
      <c r="B336" s="346" t="s">
        <v>37</v>
      </c>
      <c r="C336" s="346" t="s">
        <v>276</v>
      </c>
      <c r="D336" s="346" t="s">
        <v>277</v>
      </c>
      <c r="E336" s="346" t="s">
        <v>5</v>
      </c>
    </row>
    <row r="337" spans="2:5" ht="20.100000000000001" customHeight="1" x14ac:dyDescent="0.2">
      <c r="B337" s="4" t="s">
        <v>803</v>
      </c>
      <c r="C337" s="362" t="str">
        <f>sample_wld_nsxt_vip_fqdn</f>
        <v>sfo-w01-nsx01.sfo.rainpole.io</v>
      </c>
      <c r="D337" s="337" t="str">
        <f>wld_nsxt_vip_fqdn</f>
        <v>Value Missing</v>
      </c>
      <c r="E337"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8" spans="2:5" ht="20.100000000000001" customHeight="1" x14ac:dyDescent="0.2">
      <c r="B338" s="558" t="s">
        <v>804</v>
      </c>
      <c r="C338" s="557"/>
      <c r="D338" s="557"/>
      <c r="E338" s="557"/>
    </row>
    <row r="339" spans="2:5" ht="20.100000000000001" customHeight="1" x14ac:dyDescent="0.2">
      <c r="B339" s="346" t="s">
        <v>37</v>
      </c>
      <c r="C339" s="346" t="s">
        <v>276</v>
      </c>
      <c r="D339" s="346" t="s">
        <v>277</v>
      </c>
      <c r="E339" s="346" t="s">
        <v>5</v>
      </c>
    </row>
    <row r="340" spans="2:5" ht="20.100000000000001" customHeight="1" x14ac:dyDescent="0.2">
      <c r="B340" s="4" t="s">
        <v>803</v>
      </c>
      <c r="C340" s="362" t="str">
        <f>sample_wld_nsxt_vip_fqdn</f>
        <v>sfo-w01-nsx01.sfo.rainpole.io</v>
      </c>
      <c r="D340" s="337" t="str">
        <f>wld_nsxt_vip_fqdn</f>
        <v>Value Missing</v>
      </c>
      <c r="E340" s="4"/>
    </row>
    <row r="341" spans="2:5" ht="20.100000000000001" customHeight="1" x14ac:dyDescent="0.2">
      <c r="B341" s="4" t="s">
        <v>805</v>
      </c>
      <c r="C341" s="362" t="str">
        <f>sample_wld_en_asn</f>
        <v>65102</v>
      </c>
      <c r="D341" s="337" t="str">
        <f>wld_en_asn</f>
        <v>Value Missing</v>
      </c>
      <c r="E341" s="4"/>
    </row>
    <row r="342" spans="2:5" ht="20.100000000000001" customHeight="1" x14ac:dyDescent="0.2">
      <c r="B342" s="558" t="s">
        <v>806</v>
      </c>
      <c r="C342" s="557"/>
      <c r="D342" s="557"/>
      <c r="E342" s="557"/>
    </row>
    <row r="343" spans="2:5" ht="20.100000000000001" customHeight="1" x14ac:dyDescent="0.2">
      <c r="B343" s="346" t="s">
        <v>37</v>
      </c>
      <c r="C343" s="346" t="s">
        <v>276</v>
      </c>
      <c r="D343" s="346" t="s">
        <v>277</v>
      </c>
      <c r="E343" s="346" t="s">
        <v>5</v>
      </c>
    </row>
    <row r="344" spans="2:5" ht="20.100000000000001" customHeight="1" x14ac:dyDescent="0.2">
      <c r="B344" s="4" t="s">
        <v>803</v>
      </c>
      <c r="C344" s="362" t="str">
        <f>sample_wld_nsxt_vip_fqdn</f>
        <v>sfo-w01-nsx01.sfo.rainpole.io</v>
      </c>
      <c r="D344" s="337" t="str">
        <f>wld_nsxt_vip_fqdn</f>
        <v>Value Missing</v>
      </c>
      <c r="E344" s="4"/>
    </row>
    <row r="345" spans="2:5" ht="20.100000000000001" customHeight="1" x14ac:dyDescent="0.2">
      <c r="B345" s="4" t="s">
        <v>807</v>
      </c>
      <c r="C345" s="80" t="str">
        <f>CONCATENATE(prefix_wld_az1_cidr,"17.11")</f>
        <v>10.13.17.11</v>
      </c>
      <c r="D345" s="347"/>
      <c r="E345" s="4"/>
    </row>
    <row r="346" spans="2:5" ht="20.100000000000001" customHeight="1" x14ac:dyDescent="0.2">
      <c r="B346" s="4" t="s">
        <v>808</v>
      </c>
      <c r="C346" s="80" t="str">
        <f>CONCATENATE(asn_start,asn_instance,asn_wld_az2,1)</f>
        <v>65141</v>
      </c>
      <c r="D346" s="347"/>
      <c r="E346" s="4"/>
    </row>
    <row r="347" spans="2:5" ht="20.100000000000001" customHeight="1" x14ac:dyDescent="0.2">
      <c r="B347" s="4" t="s">
        <v>809</v>
      </c>
      <c r="C347" s="362" t="str">
        <f>sample_wld_az1_en1_uplink01_interface_cidr</f>
        <v>10.13.17.2/24</v>
      </c>
      <c r="D347" s="337" t="str">
        <f>wld_az1_en1_uplink01_interface_cidr</f>
        <v>Value Missing</v>
      </c>
      <c r="E347" s="4"/>
    </row>
    <row r="348" spans="2:5" ht="20.100000000000001" customHeight="1" x14ac:dyDescent="0.2">
      <c r="B348" s="4" t="s">
        <v>810</v>
      </c>
      <c r="C348" s="362" t="str">
        <f>sample_wld_az1_en2_uplink01_interface_cidr</f>
        <v>10.13.17.3/24</v>
      </c>
      <c r="D348" s="337" t="str">
        <f>wld_az1_en2_uplink01_interface_cidr</f>
        <v>Value Missing</v>
      </c>
      <c r="E348" s="4"/>
    </row>
    <row r="349" spans="2:5" ht="20.100000000000001" customHeight="1" x14ac:dyDescent="0.2">
      <c r="B349" s="4" t="s">
        <v>811</v>
      </c>
      <c r="C349" s="80" t="s">
        <v>379</v>
      </c>
      <c r="D349" s="347"/>
      <c r="E349" s="4"/>
    </row>
    <row r="350" spans="2:5" ht="20.100000000000001" customHeight="1" x14ac:dyDescent="0.2">
      <c r="B350" s="4" t="s">
        <v>812</v>
      </c>
      <c r="C350" s="80" t="str">
        <f>CONCATENATE(prefix_wld_az1_cidr,"18.11")</f>
        <v>10.13.18.11</v>
      </c>
      <c r="D350" s="347"/>
      <c r="E350" s="4"/>
    </row>
    <row r="351" spans="2:5" ht="20.100000000000001" customHeight="1" x14ac:dyDescent="0.2">
      <c r="B351" s="4" t="s">
        <v>813</v>
      </c>
      <c r="C351" s="80" t="str">
        <f>CONCATENATE(asn_start,asn_instance,asn_wld_az2,1)</f>
        <v>65141</v>
      </c>
      <c r="D351" s="347"/>
      <c r="E351" s="4"/>
    </row>
    <row r="352" spans="2:5" ht="20.100000000000001" customHeight="1" x14ac:dyDescent="0.2">
      <c r="B352" s="4" t="s">
        <v>809</v>
      </c>
      <c r="C352" s="362" t="str">
        <f>sample_wld_az1_en1_uplink02_interface_cidr</f>
        <v>10.13.18.2/24</v>
      </c>
      <c r="D352" s="337" t="str">
        <f>wld_az1_en1_uplink02_interface_cidr</f>
        <v>Value Missing</v>
      </c>
      <c r="E352" s="4"/>
    </row>
    <row r="353" spans="2:5" ht="20.100000000000001" customHeight="1" x14ac:dyDescent="0.2">
      <c r="B353" s="4" t="s">
        <v>810</v>
      </c>
      <c r="C353" s="362" t="str">
        <f>sample_wld_az1_en2_uplink02_interface_cidr</f>
        <v>10.13.18.3/24</v>
      </c>
      <c r="D353" s="337" t="str">
        <f>wld_az1_en2_uplink02_interface_cidr</f>
        <v>Value Missing</v>
      </c>
      <c r="E353" s="4"/>
    </row>
    <row r="354" spans="2:5" ht="20.100000000000001" customHeight="1" x14ac:dyDescent="0.2">
      <c r="B354" s="4" t="s">
        <v>811</v>
      </c>
      <c r="C354" s="80" t="s">
        <v>379</v>
      </c>
      <c r="D354" s="347"/>
      <c r="E354" s="4"/>
    </row>
    <row r="355" spans="2:5" ht="15.95" customHeight="1" x14ac:dyDescent="0.2"/>
    <row r="356" spans="2:5" ht="33.950000000000003" customHeight="1" x14ac:dyDescent="0.2">
      <c r="B356" s="523" t="s">
        <v>1418</v>
      </c>
      <c r="C356" s="524"/>
      <c r="D356" s="524"/>
      <c r="E356" s="524"/>
    </row>
    <row r="357" spans="2:5" ht="20.100000000000001" customHeight="1" x14ac:dyDescent="0.2">
      <c r="B357" s="558" t="s">
        <v>814</v>
      </c>
      <c r="C357" s="557"/>
      <c r="D357" s="557"/>
      <c r="E357" s="557"/>
    </row>
    <row r="358" spans="2:5" ht="20.100000000000001" customHeight="1" x14ac:dyDescent="0.2">
      <c r="B358" s="346" t="s">
        <v>37</v>
      </c>
      <c r="C358" s="346" t="s">
        <v>276</v>
      </c>
      <c r="D358" s="346" t="s">
        <v>277</v>
      </c>
      <c r="E358" s="346" t="s">
        <v>5</v>
      </c>
    </row>
    <row r="359" spans="2:5" ht="20.100000000000001" customHeight="1" x14ac:dyDescent="0.2">
      <c r="B359" s="17" t="s">
        <v>815</v>
      </c>
      <c r="C359" s="362" t="str">
        <f>sample_mgmt_vc_fqdn</f>
        <v>sfo-m01-vc01.sfo.rainpole.io</v>
      </c>
      <c r="D359" s="337" t="str">
        <f>mgmt_vc_fqdn</f>
        <v>labvcvcf01v.vcf.lab.local</v>
      </c>
      <c r="E359" s="4"/>
    </row>
    <row r="360" spans="2:5" ht="20.100000000000001" customHeight="1" x14ac:dyDescent="0.2">
      <c r="B360" s="514" t="s">
        <v>816</v>
      </c>
      <c r="C360" s="515"/>
      <c r="D360" s="515"/>
      <c r="E360" s="516"/>
    </row>
    <row r="361" spans="2:5" ht="20.100000000000001" customHeight="1" x14ac:dyDescent="0.2">
      <c r="B361" s="22" t="s">
        <v>1467</v>
      </c>
      <c r="C361" s="89" t="str">
        <f>CONCATENATE(this_instance,"-w0",wld_domain_number_chosen,"-nsx-gm01a")</f>
        <v>sfo-w01-nsx-gm01a</v>
      </c>
      <c r="D361" s="337"/>
      <c r="E361" s="4"/>
    </row>
    <row r="362" spans="2:5" ht="20.100000000000001" customHeight="1" x14ac:dyDescent="0.2">
      <c r="B362" s="22" t="s">
        <v>1468</v>
      </c>
      <c r="C362" s="362" t="str">
        <f>sample_mgmt_datacenter</f>
        <v>sfo-m01-dc01</v>
      </c>
      <c r="D362" s="337" t="str">
        <f>mgmt_datacenter</f>
        <v>Site01</v>
      </c>
      <c r="E362" s="4"/>
    </row>
    <row r="363" spans="2:5" ht="20.100000000000001" customHeight="1" x14ac:dyDescent="0.2">
      <c r="B363" s="22" t="s">
        <v>1469</v>
      </c>
      <c r="C363" s="362" t="str">
        <f>sample_mgmt_cl01_cluster</f>
        <v>sfo-m01-cl01</v>
      </c>
      <c r="D363" s="337" t="str">
        <f>mgmt_cl01_cluster</f>
        <v>vcf-mgmt-cluster01</v>
      </c>
      <c r="E363" s="4"/>
    </row>
    <row r="364" spans="2:5" ht="20.100000000000001" customHeight="1" x14ac:dyDescent="0.2">
      <c r="B364" s="22" t="s">
        <v>1470</v>
      </c>
      <c r="C364" s="362" t="s">
        <v>227</v>
      </c>
      <c r="D364" s="337" t="s">
        <v>227</v>
      </c>
      <c r="E364" s="4"/>
    </row>
    <row r="365" spans="2:5" ht="20.100000000000001" customHeight="1" x14ac:dyDescent="0.2">
      <c r="B365" s="22" t="s">
        <v>1471</v>
      </c>
      <c r="C365" s="362" t="str">
        <f>sample_mgmt_cl01_vsan_datastore</f>
        <v>sfo-m01-cl01-ds-vsan01</v>
      </c>
      <c r="D365" s="337" t="str">
        <f>mgmt_cl01_vsan_datastore</f>
        <v>LABVSANESA01</v>
      </c>
      <c r="E365" s="4"/>
    </row>
    <row r="366" spans="2:5" ht="20.100000000000001" customHeight="1" x14ac:dyDescent="0.2">
      <c r="B366" s="22" t="s">
        <v>1472</v>
      </c>
      <c r="C366" s="362" t="str">
        <f>sample_mgmt_cl01_az1_mgmt_vm_pg</f>
        <v>sfo-m01-cl01-vds01-pg-vm-mgmt</v>
      </c>
      <c r="D366" s="337" t="str">
        <f>mgmt_cl01_az1_mgmt_vm_pg</f>
        <v>VLAN_250_VMs</v>
      </c>
      <c r="E366" s="4"/>
    </row>
    <row r="367" spans="2:5" ht="20.100000000000001" customHeight="1" x14ac:dyDescent="0.2">
      <c r="B367" s="22" t="s">
        <v>1473</v>
      </c>
      <c r="C367" s="362" t="s">
        <v>297</v>
      </c>
      <c r="D367" s="337"/>
      <c r="E367" s="4"/>
    </row>
    <row r="368" spans="2:5" ht="20.100000000000001" customHeight="1" x14ac:dyDescent="0.2">
      <c r="B368" s="22" t="s">
        <v>1474</v>
      </c>
      <c r="C368" s="362" t="s">
        <v>297</v>
      </c>
      <c r="D368" s="337"/>
      <c r="E368" s="4"/>
    </row>
    <row r="369" spans="2:5" ht="20.100000000000001" customHeight="1" x14ac:dyDescent="0.2">
      <c r="B369" s="22" t="s">
        <v>1475</v>
      </c>
      <c r="C369" s="362" t="s">
        <v>297</v>
      </c>
      <c r="D369" s="337"/>
      <c r="E369" s="4"/>
    </row>
    <row r="370" spans="2:5" ht="20.100000000000001" customHeight="1" x14ac:dyDescent="0.2">
      <c r="B370" s="22" t="s">
        <v>1476</v>
      </c>
      <c r="C370" s="362" t="str">
        <f>CONCATENATE(sample_wld_nsxt_global_mgra_hostname,".",sample_child_dns_zone)</f>
        <v>sfo-w01-nsx-gm01a.sfo.rainpole.io</v>
      </c>
      <c r="D370" s="337"/>
      <c r="E370" s="4"/>
    </row>
    <row r="371" spans="2:5" ht="20.100000000000001" customHeight="1" x14ac:dyDescent="0.2">
      <c r="B371" s="22" t="s">
        <v>1477</v>
      </c>
      <c r="C371" s="89" t="str">
        <f>IF(mgmt_dpg_reuse_result="Included",CONCATENATE(prefix_mgmt_az1_cidr,"10.",(142 + (30*(wld_domain_number_chosen - 1)))),CONCATENATE(prefix_mgmt_az1_cidr,"11.",(142 + (30*(wld_domain_number_chosen - 1)))))</f>
        <v>10.11.10.142</v>
      </c>
      <c r="D371" s="337"/>
      <c r="E371" s="4"/>
    </row>
    <row r="372" spans="2:5" ht="20.100000000000001" customHeight="1" x14ac:dyDescent="0.2">
      <c r="B372" s="22" t="s">
        <v>1478</v>
      </c>
      <c r="C372" s="362" t="s">
        <v>612</v>
      </c>
      <c r="D372" s="337" t="str">
        <f>mgmt_az1_mgmt_vm_mask</f>
        <v>255.255.255.0</v>
      </c>
      <c r="E372" s="4"/>
    </row>
    <row r="373" spans="2:5" ht="20.100000000000001" customHeight="1" x14ac:dyDescent="0.2">
      <c r="B373" s="22" t="s">
        <v>1479</v>
      </c>
      <c r="C373" s="362" t="str">
        <f>sample_mgmt_az1_mgmt_vm_gateway_ip</f>
        <v>10.11.10.1</v>
      </c>
      <c r="D373" s="337" t="str">
        <f>mgmt_az1_mgmt_vm_gateway_ip</f>
        <v>10.100.50.1</v>
      </c>
      <c r="E373" s="4"/>
    </row>
    <row r="374" spans="2:5" ht="20.100000000000001" customHeight="1" x14ac:dyDescent="0.2">
      <c r="B374" s="22" t="s">
        <v>1480</v>
      </c>
      <c r="C374" s="362" t="str">
        <f>CONCATENATE(sample_region_dns1_ip,",",sample_region_dns2_ip)</f>
        <v>10.11.10.4,10.11.10.5</v>
      </c>
      <c r="D374" s="337" t="str">
        <f>IF(ISBLANK(input_region_dns1_ip),"Value Missing",CONCATENATE(region_dns1_ip,",",IF(ISBLANK(input_region_dns2_ip),"Value Missing",region_dns2_ip)))</f>
        <v>10.255.50.26,Value Missing</v>
      </c>
      <c r="E374" s="4"/>
    </row>
    <row r="375" spans="2:5" ht="20.100000000000001" customHeight="1" x14ac:dyDescent="0.2">
      <c r="B375" s="22" t="s">
        <v>1481</v>
      </c>
      <c r="C375" s="362" t="str">
        <f>CONCATENATE(sample_child_dns_zone,",",sample_parent_dns_zone)</f>
        <v>sfo.rainpole.io,rainpole.io</v>
      </c>
      <c r="D375" s="337" t="str">
        <f>child_dns_zone</f>
        <v>Value Missing</v>
      </c>
      <c r="E375" s="4"/>
    </row>
    <row r="376" spans="2:5" ht="20.100000000000001" customHeight="1" x14ac:dyDescent="0.2">
      <c r="B376" s="22" t="s">
        <v>1482</v>
      </c>
      <c r="C376" s="362" t="str">
        <f>IF(AND((NOT(ISBLANK(sample_region_ntp2_server))),(sample_region_ntp2_server &lt;&gt; "n/a")),CONCATENATE(sample_region_ntp1_server,",",sample_region_ntp2_server),sample_region_ntp1_server)</f>
        <v>ntp0.sfo.rainpole.io,ntp1.sfo.rainpole.io</v>
      </c>
      <c r="D376" s="337" t="str">
        <f>IF(AND((NOT(ISBLANK(region_ntp2_server))),(region_ntp2_server &lt;&gt; "n/a")),CONCATENATE(region_ntp1_server,",",region_ntp2_server),region_ntp1_server)</f>
        <v>10.255.50.26,Value Missing</v>
      </c>
      <c r="E376" s="4"/>
    </row>
    <row r="377" spans="2:5" ht="20.100000000000001" customHeight="1" x14ac:dyDescent="0.2">
      <c r="B377" s="514" t="s">
        <v>834</v>
      </c>
      <c r="C377" s="515"/>
      <c r="D377" s="515"/>
      <c r="E377" s="516"/>
    </row>
    <row r="378" spans="2:5" ht="20.100000000000001" customHeight="1" x14ac:dyDescent="0.2">
      <c r="B378" s="22" t="s">
        <v>1483</v>
      </c>
      <c r="C378" s="89" t="str">
        <f>CONCATENATE(this_instance,"-w0",wld_domain_number_chosen,"-nsx-gm01b")</f>
        <v>sfo-w01-nsx-gm01b</v>
      </c>
      <c r="D378" s="337"/>
      <c r="E378" s="4"/>
    </row>
    <row r="379" spans="2:5" ht="20.100000000000001" customHeight="1" x14ac:dyDescent="0.2">
      <c r="B379" s="22" t="s">
        <v>1484</v>
      </c>
      <c r="C379" s="362" t="str">
        <f>sample_mgmt_datacenter</f>
        <v>sfo-m01-dc01</v>
      </c>
      <c r="D379" s="337" t="str">
        <f>mgmt_datacenter</f>
        <v>Site01</v>
      </c>
      <c r="E379" s="4"/>
    </row>
    <row r="380" spans="2:5" ht="20.100000000000001" customHeight="1" x14ac:dyDescent="0.2">
      <c r="B380" s="22" t="s">
        <v>1485</v>
      </c>
      <c r="C380" s="362" t="str">
        <f>sample_mgmt_cl01_cluster</f>
        <v>sfo-m01-cl01</v>
      </c>
      <c r="D380" s="337" t="str">
        <f>mgmt_cl01_cluster</f>
        <v>vcf-mgmt-cluster01</v>
      </c>
      <c r="E380" s="4"/>
    </row>
    <row r="381" spans="2:5" ht="20.100000000000001" customHeight="1" x14ac:dyDescent="0.2">
      <c r="B381" s="22" t="s">
        <v>1486</v>
      </c>
      <c r="C381" s="362" t="s">
        <v>227</v>
      </c>
      <c r="D381" s="337" t="str">
        <f>D364</f>
        <v>Large</v>
      </c>
      <c r="E381" s="4"/>
    </row>
    <row r="382" spans="2:5" ht="20.100000000000001" customHeight="1" x14ac:dyDescent="0.2">
      <c r="B382" s="22" t="s">
        <v>1487</v>
      </c>
      <c r="C382" s="362" t="str">
        <f>sample_mgmt_cl01_vsan_datastore</f>
        <v>sfo-m01-cl01-ds-vsan01</v>
      </c>
      <c r="D382" s="337" t="str">
        <f>mgmt_cl01_vsan_datastore</f>
        <v>LABVSANESA01</v>
      </c>
      <c r="E382" s="4"/>
    </row>
    <row r="383" spans="2:5" ht="20.100000000000001" customHeight="1" x14ac:dyDescent="0.2">
      <c r="B383" s="22" t="s">
        <v>1488</v>
      </c>
      <c r="C383" s="362" t="str">
        <f>sample_mgmt_cl01_az1_mgmt_vm_pg</f>
        <v>sfo-m01-cl01-vds01-pg-vm-mgmt</v>
      </c>
      <c r="D383" s="337" t="str">
        <f>mgmt_cl01_az1_mgmt_vm_pg</f>
        <v>VLAN_250_VMs</v>
      </c>
      <c r="E383" s="4"/>
    </row>
    <row r="384" spans="2:5" ht="20.100000000000001" customHeight="1" x14ac:dyDescent="0.2">
      <c r="B384" s="22" t="s">
        <v>1489</v>
      </c>
      <c r="C384" s="362" t="str">
        <f>sample_wld_nsxt_gm_root_password</f>
        <v>VMw@re1!VMw@re1!</v>
      </c>
      <c r="D384" s="337" t="str">
        <f t="array" ref="D384">wld_nsxt_gm_root_password</f>
        <v>Value Missing</v>
      </c>
      <c r="E384" s="4"/>
    </row>
    <row r="385" spans="2:5" ht="20.100000000000001" customHeight="1" x14ac:dyDescent="0.2">
      <c r="B385" s="22" t="s">
        <v>1490</v>
      </c>
      <c r="C385" s="362" t="str">
        <f>sample_wld_nsxt_gm_admin_password</f>
        <v>VMw@re1!VMw@re1!</v>
      </c>
      <c r="D385" s="337" t="str">
        <f t="array" ref="D385">wld_nsxt_gm_admin_password</f>
        <v>Value Missing</v>
      </c>
      <c r="E385" s="4"/>
    </row>
    <row r="386" spans="2:5" ht="20.100000000000001" customHeight="1" x14ac:dyDescent="0.2">
      <c r="B386" s="22" t="s">
        <v>1491</v>
      </c>
      <c r="C386" s="362" t="str">
        <f>sample_wld_nsxt_gm_audit_password</f>
        <v>VMw@re1!VMw@re1!</v>
      </c>
      <c r="D386" s="337" t="str">
        <f t="array" ref="D386">wld_nsxt_gm_audit_password</f>
        <v>Value Missing</v>
      </c>
      <c r="E386" s="4"/>
    </row>
    <row r="387" spans="2:5" ht="20.100000000000001" customHeight="1" x14ac:dyDescent="0.2">
      <c r="B387" s="22" t="s">
        <v>1492</v>
      </c>
      <c r="C387" s="362" t="str">
        <f>CONCATENATE(sample_wld_nsxt_global_mgrb_hostname,".",sample_child_dns_zone)</f>
        <v>sfo-w01-nsx-gm01b.sfo.rainpole.io</v>
      </c>
      <c r="D387" s="337"/>
      <c r="E387" s="4"/>
    </row>
    <row r="388" spans="2:5" ht="20.100000000000001" customHeight="1" x14ac:dyDescent="0.2">
      <c r="B388" s="22" t="s">
        <v>1493</v>
      </c>
      <c r="C388" s="89" t="str">
        <f>IF(mgmt_dpg_reuse_result="Included",CONCATENATE(prefix_mgmt_az1_cidr,"10.",(143 + (30*(wld_domain_number_chosen - 1)))),CONCATENATE(prefix_mgmt_az1_cidr,"11.",(143 + (30*(wld_domain_number_chosen - 1)))))</f>
        <v>10.11.10.143</v>
      </c>
      <c r="D388" s="337"/>
      <c r="E388" s="4"/>
    </row>
    <row r="389" spans="2:5" ht="20.100000000000001" customHeight="1" x14ac:dyDescent="0.2">
      <c r="B389" s="22" t="s">
        <v>1494</v>
      </c>
      <c r="C389" s="362" t="s">
        <v>612</v>
      </c>
      <c r="D389" s="337" t="str">
        <f>mgmt_az1_mgmt_vm_mask</f>
        <v>255.255.255.0</v>
      </c>
      <c r="E389" s="4"/>
    </row>
    <row r="390" spans="2:5" ht="20.100000000000001" customHeight="1" x14ac:dyDescent="0.2">
      <c r="B390" s="22" t="s">
        <v>1495</v>
      </c>
      <c r="C390" s="362" t="str">
        <f>sample_mgmt_az1_mgmt_vm_gateway_ip</f>
        <v>10.11.10.1</v>
      </c>
      <c r="D390" s="337" t="str">
        <f>mgmt_az1_mgmt_vm_gateway_ip</f>
        <v>10.100.50.1</v>
      </c>
      <c r="E390" s="4"/>
    </row>
    <row r="391" spans="2:5" ht="20.100000000000001" customHeight="1" x14ac:dyDescent="0.2">
      <c r="B391" s="22" t="s">
        <v>1496</v>
      </c>
      <c r="C391" s="362" t="str">
        <f>CONCATENATE(sample_region_dns1_ip,",",sample_region_dns2_ip)</f>
        <v>10.11.10.4,10.11.10.5</v>
      </c>
      <c r="D391" s="337" t="str">
        <f>IF(ISBLANK(input_region_dns1_ip),"Value Missing",CONCATENATE(region_dns1_ip,",",IF(ISBLANK(region_dns2_ip),"Value Missing",region_dns2_ip)))</f>
        <v>10.255.50.26,Value Missing</v>
      </c>
      <c r="E391" s="4"/>
    </row>
    <row r="392" spans="2:5" ht="20.100000000000001" customHeight="1" x14ac:dyDescent="0.2">
      <c r="B392" s="22" t="s">
        <v>1497</v>
      </c>
      <c r="C392" s="362" t="str">
        <f>CONCATENATE(sample_child_dns_zone,",",sample_parent_dns_zone)</f>
        <v>sfo.rainpole.io,rainpole.io</v>
      </c>
      <c r="D392" s="337" t="str">
        <f>CONCATENATE(child_dns_zone,",",parent_dns_zone)</f>
        <v>Value Missing,vcf.lab.local</v>
      </c>
      <c r="E392" s="4"/>
    </row>
    <row r="393" spans="2:5" ht="20.100000000000001" customHeight="1" x14ac:dyDescent="0.2">
      <c r="B393" s="22" t="s">
        <v>1498</v>
      </c>
      <c r="C393" s="362" t="str">
        <f>IF(AND((NOT(ISBLANK(sample_region_ntp2_server))),(sample_region_ntp2_server &lt;&gt; "n/a")),CONCATENATE(sample_region_ntp1_server,",",sample_region_ntp2_server),sample_region_ntp1_server)</f>
        <v>ntp0.sfo.rainpole.io,ntp1.sfo.rainpole.io</v>
      </c>
      <c r="D393" s="337" t="str">
        <f>IF(AND((NOT(ISBLANK(region_ntp2_server))),(region_ntp2_server &lt;&gt; "n/a")),CONCATENATE(region_ntp1_server,",",region_ntp2_server),region_ntp1_server)</f>
        <v>10.255.50.26,Value Missing</v>
      </c>
      <c r="E393" s="4"/>
    </row>
    <row r="394" spans="2:5" ht="20.100000000000001" customHeight="1" x14ac:dyDescent="0.2">
      <c r="B394" s="514" t="s">
        <v>851</v>
      </c>
      <c r="C394" s="515"/>
      <c r="D394" s="515"/>
      <c r="E394" s="516"/>
    </row>
    <row r="395" spans="2:5" ht="20.100000000000001" customHeight="1" x14ac:dyDescent="0.2">
      <c r="B395" s="22" t="s">
        <v>1499</v>
      </c>
      <c r="C395" s="89" t="str">
        <f>CONCATENATE(this_instance,"-w0",wld_domain_number_chosen,"-nsx-gm01c")</f>
        <v>sfo-w01-nsx-gm01c</v>
      </c>
      <c r="D395" s="337"/>
      <c r="E395" s="4"/>
    </row>
    <row r="396" spans="2:5" ht="20.100000000000001" customHeight="1" x14ac:dyDescent="0.2">
      <c r="B396" s="22" t="s">
        <v>1500</v>
      </c>
      <c r="C396" s="362" t="str">
        <f>sample_mgmt_datacenter</f>
        <v>sfo-m01-dc01</v>
      </c>
      <c r="D396" s="337" t="str">
        <f>mgmt_datacenter</f>
        <v>Site01</v>
      </c>
      <c r="E396" s="4"/>
    </row>
    <row r="397" spans="2:5" ht="20.100000000000001" customHeight="1" x14ac:dyDescent="0.2">
      <c r="B397" s="22" t="s">
        <v>1501</v>
      </c>
      <c r="C397" s="362" t="str">
        <f>sample_mgmt_cl01_cluster</f>
        <v>sfo-m01-cl01</v>
      </c>
      <c r="D397" s="337" t="str">
        <f>mgmt_cl01_cluster</f>
        <v>vcf-mgmt-cluster01</v>
      </c>
      <c r="E397" s="4"/>
    </row>
    <row r="398" spans="2:5" ht="20.100000000000001" customHeight="1" x14ac:dyDescent="0.2">
      <c r="B398" s="22" t="s">
        <v>1502</v>
      </c>
      <c r="C398" s="362" t="s">
        <v>227</v>
      </c>
      <c r="D398" s="337" t="str">
        <f>D364</f>
        <v>Large</v>
      </c>
      <c r="E398" s="4"/>
    </row>
    <row r="399" spans="2:5" ht="20.100000000000001" customHeight="1" x14ac:dyDescent="0.2">
      <c r="B399" s="22" t="s">
        <v>1503</v>
      </c>
      <c r="C399" s="362" t="str">
        <f>sample_mgmt_cl01_vsan_datastore</f>
        <v>sfo-m01-cl01-ds-vsan01</v>
      </c>
      <c r="D399" s="337" t="str">
        <f>mgmt_cl01_vsan_datastore</f>
        <v>LABVSANESA01</v>
      </c>
      <c r="E399" s="4"/>
    </row>
    <row r="400" spans="2:5" ht="20.100000000000001" customHeight="1" x14ac:dyDescent="0.2">
      <c r="B400" s="22" t="s">
        <v>1504</v>
      </c>
      <c r="C400" s="362" t="str">
        <f>sample_mgmt_cl01_az1_mgmt_vm_pg</f>
        <v>sfo-m01-cl01-vds01-pg-vm-mgmt</v>
      </c>
      <c r="D400" s="337" t="str">
        <f>mgmt_cl01_az1_mgmt_vm_pg</f>
        <v>VLAN_250_VMs</v>
      </c>
      <c r="E400" s="4"/>
    </row>
    <row r="401" spans="2:5" ht="20.100000000000001" customHeight="1" x14ac:dyDescent="0.2">
      <c r="B401" s="22" t="s">
        <v>1505</v>
      </c>
      <c r="C401" s="362" t="str">
        <f>sample_wld_nsxt_gm_root_password</f>
        <v>VMw@re1!VMw@re1!</v>
      </c>
      <c r="D401" s="337" t="str">
        <f t="array" ref="D401">wld_nsxt_gm_root_password</f>
        <v>Value Missing</v>
      </c>
      <c r="E401" s="4"/>
    </row>
    <row r="402" spans="2:5" ht="20.100000000000001" customHeight="1" x14ac:dyDescent="0.2">
      <c r="B402" s="22" t="s">
        <v>1506</v>
      </c>
      <c r="C402" s="362" t="str">
        <f>sample_wld_nsxt_gm_admin_password</f>
        <v>VMw@re1!VMw@re1!</v>
      </c>
      <c r="D402" s="337" t="str">
        <f t="array" ref="D402">wld_nsxt_gm_admin_password</f>
        <v>Value Missing</v>
      </c>
      <c r="E402" s="4"/>
    </row>
    <row r="403" spans="2:5" ht="20.100000000000001" customHeight="1" x14ac:dyDescent="0.2">
      <c r="B403" s="22" t="s">
        <v>1507</v>
      </c>
      <c r="C403" s="362" t="str">
        <f>sample_wld_nsxt_gm_audit_password</f>
        <v>VMw@re1!VMw@re1!</v>
      </c>
      <c r="D403" s="337" t="str">
        <f t="array" ref="D403">wld_nsxt_gm_audit_password</f>
        <v>Value Missing</v>
      </c>
      <c r="E403" s="4"/>
    </row>
    <row r="404" spans="2:5" ht="20.100000000000001" customHeight="1" x14ac:dyDescent="0.2">
      <c r="B404" s="22" t="s">
        <v>1508</v>
      </c>
      <c r="C404" s="362" t="str">
        <f>CONCATENATE(sample_wld_nsxt_global_mgrc_hostname,".",sample_child_dns_zone)</f>
        <v>sfo-w01-nsx-gm01c.sfo.rainpole.io</v>
      </c>
      <c r="D404" s="337"/>
      <c r="E404" s="4"/>
    </row>
    <row r="405" spans="2:5" ht="20.100000000000001" customHeight="1" x14ac:dyDescent="0.2">
      <c r="B405" s="22" t="s">
        <v>1509</v>
      </c>
      <c r="C405" s="89" t="str">
        <f>IF(mgmt_dpg_reuse_result="Included",CONCATENATE(prefix_mgmt_az1_cidr,"10.",(144 + (30*(wld_domain_number_chosen - 1)))),CONCATENATE(prefix_mgmt_az1_cidr,"11.",(144 + (30*(wld_domain_number_chosen - 1)))))</f>
        <v>10.11.10.144</v>
      </c>
      <c r="D405" s="337"/>
      <c r="E405" s="4"/>
    </row>
    <row r="406" spans="2:5" ht="20.100000000000001" customHeight="1" x14ac:dyDescent="0.2">
      <c r="B406" s="22" t="s">
        <v>1510</v>
      </c>
      <c r="C406" s="362" t="s">
        <v>612</v>
      </c>
      <c r="D406" s="337" t="str">
        <f>mgmt_az1_mgmt_vm_mask</f>
        <v>255.255.255.0</v>
      </c>
      <c r="E406" s="4"/>
    </row>
    <row r="407" spans="2:5" ht="20.100000000000001" customHeight="1" x14ac:dyDescent="0.2">
      <c r="B407" s="22" t="s">
        <v>1511</v>
      </c>
      <c r="C407" s="362" t="str">
        <f>sample_mgmt_az1_mgmt_vm_gateway_ip</f>
        <v>10.11.10.1</v>
      </c>
      <c r="D407" s="337" t="str">
        <f>mgmt_az1_mgmt_vm_gateway_ip</f>
        <v>10.100.50.1</v>
      </c>
      <c r="E407" s="4"/>
    </row>
    <row r="408" spans="2:5" ht="20.100000000000001" customHeight="1" x14ac:dyDescent="0.2">
      <c r="B408" s="22" t="s">
        <v>1512</v>
      </c>
      <c r="C408" s="362" t="str">
        <f>CONCATENATE(sample_region_dns1_ip,",",sample_region_dns2_ip)</f>
        <v>10.11.10.4,10.11.10.5</v>
      </c>
      <c r="D408" s="337" t="str">
        <f>IF(ISBLANK(region_dns1_ip),"Value Missing",_xlfn.CONCAT(region_dns1_ip,",",IF(ISBLANK(region_dns2_ip),"Value Missing",region_dns2_ip)))</f>
        <v>10.255.50.26,Value Missing</v>
      </c>
      <c r="E408" s="4"/>
    </row>
    <row r="409" spans="2:5" ht="20.100000000000001" customHeight="1" x14ac:dyDescent="0.2">
      <c r="B409" s="22" t="s">
        <v>1513</v>
      </c>
      <c r="C409" s="362" t="str">
        <f>CONCATENATE(sample_child_dns_zone,",",sample_parent_dns_zone)</f>
        <v>sfo.rainpole.io,rainpole.io</v>
      </c>
      <c r="D409" s="337" t="str">
        <f>CONCATENATE(child_dns_zone,",",parent_dns_zone)</f>
        <v>Value Missing,vcf.lab.local</v>
      </c>
      <c r="E409" s="4"/>
    </row>
    <row r="410" spans="2:5" ht="20.100000000000001" customHeight="1" x14ac:dyDescent="0.2">
      <c r="B410" s="22" t="s">
        <v>1514</v>
      </c>
      <c r="C410" s="362" t="str">
        <f>IF(AND((NOT(ISBLANK(sample_region_ntp2_server))),(sample_region_ntp2_server &lt;&gt; "n/a")),CONCATENATE(sample_region_ntp1_server,",",sample_region_ntp2_server),sample_region_ntp1_server)</f>
        <v>ntp0.sfo.rainpole.io,ntp1.sfo.rainpole.io</v>
      </c>
      <c r="D410" s="337" t="str">
        <f>IF(AND((NOT(ISBLANK(region_ntp2_server))),(region_ntp2_server &lt;&gt; "n/a")),CONCATENATE(region_ntp1_server,",",region_ntp2_server),region_ntp1_server)</f>
        <v>10.255.50.26,Value Missing</v>
      </c>
      <c r="E410" s="4"/>
    </row>
    <row r="411" spans="2:5" ht="20.100000000000001" customHeight="1" x14ac:dyDescent="0.2">
      <c r="B411" s="22" t="s">
        <v>868</v>
      </c>
      <c r="C411" s="362" t="str">
        <f>CONCATENATE(sample_wld_nsxt_global_mgra_hostname,".",sample_child_dns_zone)</f>
        <v>sfo-w01-nsx-gm01a.sfo.rainpole.io</v>
      </c>
      <c r="D411" s="337" t="str">
        <f>wld_nsxt_global_mgra_fqdn</f>
        <v>Value Missing</v>
      </c>
      <c r="E411" s="4"/>
    </row>
    <row r="412" spans="2:5" ht="15.95" customHeight="1" x14ac:dyDescent="0.2"/>
    <row r="413" spans="2:5" ht="20.100000000000001" customHeight="1" x14ac:dyDescent="0.2">
      <c r="B413" s="558" t="s">
        <v>869</v>
      </c>
      <c r="C413" s="557"/>
      <c r="D413" s="557"/>
      <c r="E413" s="557"/>
    </row>
    <row r="414" spans="2:5" ht="20.100000000000001" customHeight="1" x14ac:dyDescent="0.2">
      <c r="B414" s="346" t="s">
        <v>37</v>
      </c>
      <c r="C414" s="346" t="s">
        <v>276</v>
      </c>
      <c r="D414" s="346" t="s">
        <v>277</v>
      </c>
      <c r="E414" s="346" t="s">
        <v>5</v>
      </c>
    </row>
    <row r="415" spans="2:5" ht="20.100000000000001" customHeight="1" x14ac:dyDescent="0.2">
      <c r="B415" s="17" t="s">
        <v>815</v>
      </c>
      <c r="C415" s="362" t="str">
        <f>sample_mgmt_vc_fqdn</f>
        <v>sfo-m01-vc01.sfo.rainpole.io</v>
      </c>
      <c r="D415" s="337" t="str">
        <f>mgmt_vc_fqdn</f>
        <v>labvcvcf01v.vcf.lab.local</v>
      </c>
      <c r="E415" s="4"/>
    </row>
    <row r="416" spans="2:5" ht="20.100000000000001" customHeight="1" x14ac:dyDescent="0.2">
      <c r="B416" s="17" t="s">
        <v>870</v>
      </c>
      <c r="C416" s="126" t="s">
        <v>1515</v>
      </c>
      <c r="D416" s="337"/>
      <c r="E416" s="66"/>
    </row>
    <row r="417" spans="2:5" ht="20.100000000000001" customHeight="1" x14ac:dyDescent="0.2">
      <c r="B417" s="17" t="s">
        <v>1516</v>
      </c>
      <c r="C417" s="126" t="s">
        <v>1517</v>
      </c>
      <c r="D417" s="337"/>
      <c r="E417" s="66"/>
    </row>
    <row r="418" spans="2:5" ht="20.100000000000001" customHeight="1" x14ac:dyDescent="0.2">
      <c r="B418" s="17" t="s">
        <v>874</v>
      </c>
      <c r="C418" s="362" t="str">
        <f>CONCATENATE(sample_wld_nsxt_global_mgrb_hostname,".",sample_child_dns_zone)</f>
        <v>sfo-w01-nsx-gm01b.sfo.rainpole.io</v>
      </c>
      <c r="D418" s="337" t="str">
        <f>wld_nsxt_global_mgrb_fqdn</f>
        <v>Value Missing</v>
      </c>
      <c r="E418" s="66"/>
    </row>
    <row r="419" spans="2:5" ht="20.100000000000001" customHeight="1" x14ac:dyDescent="0.2">
      <c r="B419" s="17" t="s">
        <v>875</v>
      </c>
      <c r="C419" s="362" t="str">
        <f>sample_wld_nsxt_global_mgra_ip</f>
        <v>10.11.10.142</v>
      </c>
      <c r="D419" s="337" t="str">
        <f>wld_nsxt_global_mgra_ip</f>
        <v>Value Missing</v>
      </c>
      <c r="E419" s="66"/>
    </row>
    <row r="420" spans="2:5" ht="20.100000000000001" customHeight="1" x14ac:dyDescent="0.2">
      <c r="B420" s="17" t="s">
        <v>876</v>
      </c>
      <c r="C420" s="362" t="str">
        <f>sample_wld_nsxt_global_mgr_cluster_id</f>
        <v>da3bd7dc-aa06-4f2d-a9e1-0c4999354c9b</v>
      </c>
      <c r="D420" s="337" t="str">
        <f>wld_nsxt_global_mgr_cluster_id</f>
        <v>Value Missing</v>
      </c>
      <c r="E420" s="66"/>
    </row>
    <row r="421" spans="2:5" ht="20.100000000000001" customHeight="1" x14ac:dyDescent="0.2">
      <c r="B421" s="17" t="s">
        <v>877</v>
      </c>
      <c r="C421" s="362" t="s">
        <v>878</v>
      </c>
      <c r="D421" s="337"/>
      <c r="E421" s="66"/>
    </row>
    <row r="422" spans="2:5" ht="20.100000000000001" customHeight="1" x14ac:dyDescent="0.2">
      <c r="B422" s="17" t="s">
        <v>879</v>
      </c>
      <c r="C422" s="362" t="str">
        <f>sample_nsxt_gm_admin_password</f>
        <v>VMw@re1!VMw@re1!</v>
      </c>
      <c r="D422" s="337" t="str">
        <f>nsxt_gm_admin_password</f>
        <v>Value Missing</v>
      </c>
      <c r="E422" s="66"/>
    </row>
    <row r="423" spans="2:5" ht="20.100000000000001" customHeight="1" x14ac:dyDescent="0.2">
      <c r="B423" s="17" t="s">
        <v>880</v>
      </c>
      <c r="C423" s="362" t="str">
        <f>sample_wld_nsxt_global_mgr_vmca_signed_thumbprint</f>
        <v>d7a6264cd8f74033e851944a205110afdeb046386af42ce47240939c417acb93</v>
      </c>
      <c r="D423" s="337" t="str">
        <f>wld_nsxt_global_mgr_vmca_signed_thumbprint</f>
        <v>Value Missing</v>
      </c>
      <c r="E423" s="66"/>
    </row>
    <row r="424" spans="2:5" ht="20.100000000000001" customHeight="1" x14ac:dyDescent="0.2">
      <c r="B424" s="17" t="s">
        <v>881</v>
      </c>
      <c r="C424" s="362" t="str">
        <f>CONCATENATE(sample_wld_nsxt_global_mgrc_hostname,".",sample_child_dns_zone)</f>
        <v>sfo-w01-nsx-gm01c.sfo.rainpole.io</v>
      </c>
      <c r="D424" s="337" t="str">
        <f>wld_nsxt_global_mgrc_fqdn</f>
        <v>Value Missing</v>
      </c>
      <c r="E424" s="66"/>
    </row>
    <row r="425" spans="2:5" ht="20.100000000000001" customHeight="1" x14ac:dyDescent="0.2">
      <c r="B425" s="17" t="s">
        <v>1518</v>
      </c>
      <c r="C425" s="362" t="str">
        <f>sample_wld_nsxt_global_mgra_ip</f>
        <v>10.11.10.142</v>
      </c>
      <c r="D425" s="337" t="str">
        <f>wld_nsxt_global_mgra_ip</f>
        <v>Value Missing</v>
      </c>
      <c r="E425" s="66"/>
    </row>
    <row r="426" spans="2:5" ht="20.100000000000001" customHeight="1" x14ac:dyDescent="0.2">
      <c r="B426" s="17" t="s">
        <v>1519</v>
      </c>
      <c r="C426" s="362" t="str">
        <f>sample_wld_nsxt_global_mgr_cluster_id</f>
        <v>da3bd7dc-aa06-4f2d-a9e1-0c4999354c9b</v>
      </c>
      <c r="D426" s="337" t="str">
        <f>wld_nsxt_global_mgr_cluster_id</f>
        <v>Value Missing</v>
      </c>
      <c r="E426" s="66"/>
    </row>
    <row r="427" spans="2:5" ht="20.100000000000001" customHeight="1" x14ac:dyDescent="0.2">
      <c r="B427" s="17" t="s">
        <v>884</v>
      </c>
      <c r="C427" s="362" t="s">
        <v>878</v>
      </c>
      <c r="D427" s="337"/>
      <c r="E427" s="66"/>
    </row>
    <row r="428" spans="2:5" ht="20.100000000000001" customHeight="1" x14ac:dyDescent="0.2">
      <c r="B428" s="17" t="s">
        <v>885</v>
      </c>
      <c r="C428" s="362" t="str">
        <f>sample_nsxt_gm_admin_password</f>
        <v>VMw@re1!VMw@re1!</v>
      </c>
      <c r="D428" s="337" t="str">
        <f>nsxt_gm_admin_password</f>
        <v>Value Missing</v>
      </c>
      <c r="E428" s="66"/>
    </row>
    <row r="429" spans="2:5" ht="20.100000000000001" customHeight="1" x14ac:dyDescent="0.2">
      <c r="B429" s="17" t="s">
        <v>886</v>
      </c>
      <c r="C429" s="362" t="str">
        <f>sample_wld_nsxt_global_mgr_vmca_signed_thumbprint</f>
        <v>d7a6264cd8f74033e851944a205110afdeb046386af42ce47240939c417acb93</v>
      </c>
      <c r="D429" s="337" t="str">
        <f>wld_nsxt_global_mgr_vmca_signed_thumbprint</f>
        <v>Value Missing</v>
      </c>
      <c r="E429" s="66"/>
    </row>
    <row r="430" spans="2:5" ht="15.95" customHeight="1" x14ac:dyDescent="0.2"/>
    <row r="431" spans="2:5" ht="20.100000000000001" customHeight="1" x14ac:dyDescent="0.2">
      <c r="B431" s="514" t="s">
        <v>887</v>
      </c>
      <c r="C431" s="515"/>
      <c r="D431" s="515"/>
      <c r="E431" s="516"/>
    </row>
    <row r="432" spans="2:5" ht="20.100000000000001" customHeight="1" x14ac:dyDescent="0.2">
      <c r="B432" s="346" t="s">
        <v>37</v>
      </c>
      <c r="C432" s="346" t="s">
        <v>276</v>
      </c>
      <c r="D432" s="346" t="s">
        <v>277</v>
      </c>
      <c r="E432" s="346" t="s">
        <v>5</v>
      </c>
    </row>
    <row r="433" spans="2:5" ht="20.100000000000001" customHeight="1" x14ac:dyDescent="0.2">
      <c r="B433" s="4" t="s">
        <v>815</v>
      </c>
      <c r="C433" s="362" t="str">
        <f>sample_mgmt_vc_fqdn</f>
        <v>sfo-m01-vc01.sfo.rainpole.io</v>
      </c>
      <c r="D433" s="337" t="str">
        <f>mgmt_vc_fqdn</f>
        <v>labvcvcf01v.vcf.lab.local</v>
      </c>
      <c r="E433" s="4"/>
    </row>
    <row r="434" spans="2:5" ht="20.100000000000001" customHeight="1" x14ac:dyDescent="0.2">
      <c r="B434" s="4" t="s">
        <v>259</v>
      </c>
      <c r="C434" s="362" t="str">
        <f>CONCATENATE(sample_wld_sddc_domain,"-anti-affinity-rule-nsx-global-managers")</f>
        <v>sfo-w01-anti-affinity-rule-nsx-global-managers</v>
      </c>
      <c r="D434" s="337"/>
      <c r="E434" s="4"/>
    </row>
    <row r="435" spans="2:5" ht="20.100000000000001" customHeight="1" x14ac:dyDescent="0.2">
      <c r="B435" s="4" t="s">
        <v>888</v>
      </c>
      <c r="C435" s="362" t="str">
        <f>sample_wld_nsxt_global_mgra_hostname</f>
        <v>sfo-w01-nsx-gm01a</v>
      </c>
      <c r="D435" s="337" t="str">
        <f>wld_nsxt_global_mgra_hostname</f>
        <v>Value Missing</v>
      </c>
      <c r="E435" s="4"/>
    </row>
    <row r="436" spans="2:5" ht="20.100000000000001" customHeight="1" x14ac:dyDescent="0.2">
      <c r="B436" s="4" t="s">
        <v>889</v>
      </c>
      <c r="C436" s="362" t="str">
        <f>sample_wld_nsxt_global_mgrb_hostname</f>
        <v>sfo-w01-nsx-gm01b</v>
      </c>
      <c r="D436" s="337" t="str">
        <f>wld_nsxt_global_mgrb_hostname</f>
        <v>Value Missing</v>
      </c>
      <c r="E436" s="4"/>
    </row>
    <row r="437" spans="2:5" ht="20.100000000000001" customHeight="1" x14ac:dyDescent="0.2">
      <c r="B437" s="4" t="s">
        <v>890</v>
      </c>
      <c r="C437" s="362" t="str">
        <f>sample_wld_nsxt_global_mgrc_hostname</f>
        <v>sfo-w01-nsx-gm01c</v>
      </c>
      <c r="D437" s="337" t="str">
        <f>wld_nsxt_global_mgrc_hostname</f>
        <v>Value Missing</v>
      </c>
      <c r="E437" s="4"/>
    </row>
    <row r="438" spans="2:5" ht="15.95" customHeight="1" x14ac:dyDescent="0.2"/>
    <row r="439" spans="2:5" ht="20.100000000000001" customHeight="1" x14ac:dyDescent="0.2">
      <c r="B439" s="514" t="s">
        <v>891</v>
      </c>
      <c r="C439" s="515"/>
      <c r="D439" s="515"/>
      <c r="E439" s="516"/>
    </row>
    <row r="440" spans="2:5" ht="20.100000000000001" customHeight="1" x14ac:dyDescent="0.2">
      <c r="B440" s="346" t="s">
        <v>37</v>
      </c>
      <c r="C440" s="346" t="s">
        <v>276</v>
      </c>
      <c r="D440" s="346" t="s">
        <v>277</v>
      </c>
      <c r="E440" s="346" t="s">
        <v>5</v>
      </c>
    </row>
    <row r="441" spans="2:5" ht="20.100000000000001" customHeight="1" x14ac:dyDescent="0.2">
      <c r="B441" s="4" t="s">
        <v>892</v>
      </c>
      <c r="C441" s="362" t="str">
        <f>CONCATENATE(sample_wld_nsxt_global_mgra_hostname,".",sample_child_dns_zone)</f>
        <v>sfo-w01-nsx-gm01a.sfo.rainpole.io</v>
      </c>
      <c r="D441" s="337" t="str">
        <f>wld_nsxt_global_mgra_fqdn</f>
        <v>Value Missing</v>
      </c>
      <c r="E441" s="4"/>
    </row>
    <row r="442" spans="2:5" ht="20.100000000000001" customHeight="1" x14ac:dyDescent="0.2">
      <c r="B442" s="4" t="s">
        <v>893</v>
      </c>
      <c r="C442" s="89" t="str">
        <f>IF(mgmt_dpg_reuse_result="Included",CONCATENATE(prefix_mgmt_az1_cidr,"10.",(141 + (30*(wld_domain_number_chosen - 1)))),CONCATENATE(prefix_mgmt_az1_cidr,"11.",(141 + (30*(wld_domain_number_chosen - 1)))))</f>
        <v>10.11.10.141</v>
      </c>
      <c r="D442" s="337"/>
      <c r="E442" s="4"/>
    </row>
    <row r="443" spans="2:5" ht="20.100000000000001" customHeight="1" x14ac:dyDescent="0.2">
      <c r="B443" s="4" t="s">
        <v>894</v>
      </c>
      <c r="C443" s="89" t="str">
        <f>CONCATENATE(this_instance,"-w0",wld_domain_number_chosen,"-nsx-gm01",".",sample_child_dns_zone)</f>
        <v>sfo-w01-nsx-gm01.sfo.rainpole.io</v>
      </c>
      <c r="D443" s="337"/>
      <c r="E443" s="66"/>
    </row>
    <row r="444" spans="2:5" ht="15.95" customHeight="1" x14ac:dyDescent="0.2"/>
    <row r="445" spans="2:5" ht="20.100000000000001" customHeight="1" x14ac:dyDescent="0.2">
      <c r="B445" s="514" t="s">
        <v>895</v>
      </c>
      <c r="C445" s="515"/>
      <c r="D445" s="515"/>
      <c r="E445" s="516"/>
    </row>
    <row r="446" spans="2:5" ht="20.100000000000001" customHeight="1" x14ac:dyDescent="0.2">
      <c r="B446" s="346" t="s">
        <v>37</v>
      </c>
      <c r="C446" s="346" t="s">
        <v>276</v>
      </c>
      <c r="D446" s="346" t="s">
        <v>277</v>
      </c>
      <c r="E446" s="346" t="s">
        <v>5</v>
      </c>
    </row>
    <row r="447" spans="2:5" ht="20.100000000000001" customHeight="1" x14ac:dyDescent="0.2">
      <c r="B447" s="4" t="s">
        <v>894</v>
      </c>
      <c r="C447" s="362" t="str">
        <f>sample_wld_nsxt_gm_vip_fqdn</f>
        <v>sfo-w01-nsx-gm01.sfo.rainpole.io</v>
      </c>
      <c r="D447" s="337" t="str">
        <f>wld_nsxt_gm_vip_fqdn</f>
        <v>Value Missing</v>
      </c>
      <c r="E447" s="66"/>
    </row>
    <row r="448" spans="2:5" ht="15.95" customHeight="1" x14ac:dyDescent="0.2"/>
    <row r="449" spans="2:5" ht="20.100000000000001" customHeight="1" x14ac:dyDescent="0.2">
      <c r="B449" s="514" t="s">
        <v>896</v>
      </c>
      <c r="C449" s="515"/>
      <c r="D449" s="515"/>
      <c r="E449" s="516"/>
    </row>
    <row r="450" spans="2:5" ht="20.100000000000001" customHeight="1" x14ac:dyDescent="0.2">
      <c r="B450" s="346" t="s">
        <v>37</v>
      </c>
      <c r="C450" s="346" t="s">
        <v>276</v>
      </c>
      <c r="D450" s="346" t="s">
        <v>277</v>
      </c>
      <c r="E450" s="346" t="s">
        <v>5</v>
      </c>
    </row>
    <row r="451" spans="2:5" ht="20.100000000000001" customHeight="1" x14ac:dyDescent="0.2">
      <c r="B451" s="4" t="s">
        <v>894</v>
      </c>
      <c r="C451" s="362" t="str">
        <f>sample_wld_nsxt_gm_vip_fqdn</f>
        <v>sfo-w01-nsx-gm01.sfo.rainpole.io</v>
      </c>
      <c r="D451" s="337" t="str">
        <f>wld_nsxt_gm_vip_fqdn</f>
        <v>Value Missing</v>
      </c>
      <c r="E451" s="66"/>
    </row>
    <row r="452" spans="2:5" ht="20.100000000000001" customHeight="1" x14ac:dyDescent="0.2">
      <c r="B452" s="4" t="s">
        <v>897</v>
      </c>
      <c r="C452" s="126" t="s">
        <v>1520</v>
      </c>
      <c r="D452" s="337"/>
      <c r="E452" s="66"/>
    </row>
    <row r="453" spans="2:5" ht="20.100000000000001" customHeight="1" x14ac:dyDescent="0.2">
      <c r="B453" s="4" t="s">
        <v>892</v>
      </c>
      <c r="C453" s="362" t="str">
        <f>CONCATENATE(sample_wld_nsxt_global_mgra_hostname,".",sample_child_dns_zone)</f>
        <v>sfo-w01-nsx-gm01a.sfo.rainpole.io</v>
      </c>
      <c r="D453" s="337" t="str">
        <f>wld_nsxt_global_mgra_fqdn</f>
        <v>Value Missing</v>
      </c>
      <c r="E453" s="4"/>
    </row>
    <row r="454" spans="2:5" ht="20.100000000000001" customHeight="1" x14ac:dyDescent="0.2">
      <c r="B454" s="4" t="s">
        <v>899</v>
      </c>
      <c r="C454" s="362" t="str">
        <f>sample_wld_nsxt_global_mgr_certificate_id</f>
        <v>b900065b-aeb5-457e-aca6-4612b17d06d9</v>
      </c>
      <c r="D454" s="337" t="str">
        <f>wld_nsxt_global_mgr_certificate_id</f>
        <v>Value Missing</v>
      </c>
      <c r="E454" s="66"/>
    </row>
    <row r="455" spans="2:5" ht="15.95" customHeight="1" x14ac:dyDescent="0.2"/>
    <row r="456" spans="2:5" ht="20.100000000000001" customHeight="1" x14ac:dyDescent="0.2">
      <c r="B456" s="514" t="s">
        <v>900</v>
      </c>
      <c r="C456" s="515"/>
      <c r="D456" s="515"/>
      <c r="E456" s="516"/>
    </row>
    <row r="457" spans="2:5" ht="20.100000000000001" customHeight="1" x14ac:dyDescent="0.2">
      <c r="B457" s="346" t="s">
        <v>37</v>
      </c>
      <c r="C457" s="346" t="s">
        <v>276</v>
      </c>
      <c r="D457" s="346" t="s">
        <v>277</v>
      </c>
      <c r="E457" s="346" t="s">
        <v>5</v>
      </c>
    </row>
    <row r="458" spans="2:5" ht="20.100000000000001" customHeight="1" x14ac:dyDescent="0.2">
      <c r="B458" s="4" t="s">
        <v>894</v>
      </c>
      <c r="C458" s="362" t="str">
        <f>sample_wld_nsxt_gm_vip_fqdn</f>
        <v>sfo-w01-nsx-gm01.sfo.rainpole.io</v>
      </c>
      <c r="D458" s="337" t="str">
        <f>wld_nsxt_gm_vip_fqdn</f>
        <v>Value Missing</v>
      </c>
      <c r="E458" s="66"/>
    </row>
    <row r="459" spans="2:5" ht="20.100000000000001" customHeight="1" x14ac:dyDescent="0.2">
      <c r="B459" s="4" t="s">
        <v>901</v>
      </c>
      <c r="C459" s="362" t="str">
        <f>CONCATENATE(sample_wld_nsxt_global_mgrb_hostname,".",sample_child_dns_zone)</f>
        <v>sfo-w01-nsx-gm01b.sfo.rainpole.io</v>
      </c>
      <c r="D459" s="337" t="str">
        <f>wld_nsxt_global_mgrb_fqdn</f>
        <v>Value Missing</v>
      </c>
      <c r="E459" s="4"/>
    </row>
    <row r="460" spans="2:5" ht="20.100000000000001" customHeight="1" x14ac:dyDescent="0.2">
      <c r="B460" s="4" t="s">
        <v>902</v>
      </c>
      <c r="C460" s="362" t="str">
        <f>CONCATENATE(sample_wld_nsxt_global_mgrc_hostname,".",sample_child_dns_zone)</f>
        <v>sfo-w01-nsx-gm01c.sfo.rainpole.io</v>
      </c>
      <c r="D460" s="337" t="str">
        <f>wld_nsxt_global_mgrc_fqdn</f>
        <v>Value Missing</v>
      </c>
      <c r="E460" s="4"/>
    </row>
    <row r="461" spans="2:5" ht="20.100000000000001" customHeight="1" x14ac:dyDescent="0.2">
      <c r="B461" s="4" t="s">
        <v>899</v>
      </c>
      <c r="C461" s="362" t="str">
        <f>sample_wld_nsxt_global_mgr_certificate_id</f>
        <v>b900065b-aeb5-457e-aca6-4612b17d06d9</v>
      </c>
      <c r="D461" s="337" t="str">
        <f>wld_nsxt_global_mgr_certificate_id</f>
        <v>Value Missing</v>
      </c>
      <c r="E461" s="66"/>
    </row>
    <row r="462" spans="2:5" ht="15.95" customHeight="1" x14ac:dyDescent="0.2"/>
    <row r="463" spans="2:5" ht="20.100000000000001" customHeight="1" x14ac:dyDescent="0.2">
      <c r="B463" s="514" t="s">
        <v>903</v>
      </c>
      <c r="C463" s="515"/>
      <c r="D463" s="515"/>
      <c r="E463" s="516"/>
    </row>
    <row r="464" spans="2:5" ht="20.100000000000001" customHeight="1" x14ac:dyDescent="0.2">
      <c r="B464" s="346" t="s">
        <v>259</v>
      </c>
      <c r="C464" s="346" t="s">
        <v>711</v>
      </c>
      <c r="D464" s="97" t="s">
        <v>277</v>
      </c>
      <c r="E464" s="346" t="s">
        <v>457</v>
      </c>
    </row>
    <row r="465" spans="2:5" ht="20.100000000000001" customHeight="1" x14ac:dyDescent="0.2">
      <c r="B465" s="4" t="s">
        <v>904</v>
      </c>
      <c r="C465" s="362" t="str">
        <f>sample_wld_nsxt_vip_fqdn</f>
        <v>sfo-w01-nsx01.sfo.rainpole.io</v>
      </c>
      <c r="D465" s="337" t="str">
        <f>wld_nsxt_vip_fqdn</f>
        <v>Value Missing</v>
      </c>
      <c r="E465" s="4"/>
    </row>
    <row r="466" spans="2:5" ht="20.100000000000001" customHeight="1" x14ac:dyDescent="0.2">
      <c r="B466" s="4" t="s">
        <v>259</v>
      </c>
      <c r="C466" s="80" t="str">
        <f>CONCATENATE(this_instance,"-w0",wld_domain_number_chosen,"-r01-ip-pool-rtep")</f>
        <v>sfo-w01-r01-ip-pool-rtep</v>
      </c>
      <c r="D466" s="337"/>
      <c r="E466" s="4"/>
    </row>
    <row r="467" spans="2:5" ht="20.100000000000001" customHeight="1" x14ac:dyDescent="0.2">
      <c r="B467" s="17" t="s">
        <v>905</v>
      </c>
      <c r="C467" s="80" t="str">
        <f>CONCATENATE(prefix_wld_az1_cidr,"20.101")</f>
        <v>10.13.20.101</v>
      </c>
      <c r="D467" s="337"/>
      <c r="E467" s="4"/>
    </row>
    <row r="468" spans="2:5" ht="20.100000000000001" customHeight="1" x14ac:dyDescent="0.2">
      <c r="B468" s="22" t="s">
        <v>906</v>
      </c>
      <c r="C468" s="80" t="str">
        <f>IF(wld_stretched_cluster_result="Excluded",CONCATENATE(prefix_wld_az1_cidr,"20.116"),CONCATENATE(prefix_wld_az1_cidr,"20.132"))</f>
        <v>10.13.20.116</v>
      </c>
      <c r="D468" s="337"/>
      <c r="E468" s="4"/>
    </row>
    <row r="469" spans="2:5" ht="20.100000000000001" customHeight="1" x14ac:dyDescent="0.2">
      <c r="B469" s="4" t="s">
        <v>459</v>
      </c>
      <c r="C469" s="80" t="str">
        <f>CONCATENATE(prefix_wld_az1_cidr,"20.0/24")</f>
        <v>10.13.20.0/24</v>
      </c>
      <c r="D469" s="337"/>
      <c r="E469" s="4"/>
    </row>
    <row r="470" spans="2:5" ht="20.100000000000001" customHeight="1" x14ac:dyDescent="0.2">
      <c r="B470" s="4" t="s">
        <v>907</v>
      </c>
      <c r="C470" s="80" t="str">
        <f>CONCATENATE(prefix_wld_az1_cidr,"20.1")</f>
        <v>10.13.20.1</v>
      </c>
      <c r="D470" s="337"/>
      <c r="E470" s="4"/>
    </row>
    <row r="471" spans="2:5" ht="20.100000000000001" customHeight="1" x14ac:dyDescent="0.2"/>
    <row r="472" spans="2:5" ht="20.100000000000001" customHeight="1" x14ac:dyDescent="0.2">
      <c r="B472" s="514" t="s">
        <v>908</v>
      </c>
      <c r="C472" s="515"/>
      <c r="D472" s="515"/>
      <c r="E472" s="516"/>
    </row>
    <row r="473" spans="2:5" ht="20.100000000000001" customHeight="1" x14ac:dyDescent="0.2">
      <c r="B473" s="346" t="s">
        <v>37</v>
      </c>
      <c r="C473" s="346" t="s">
        <v>276</v>
      </c>
      <c r="D473" s="346" t="s">
        <v>277</v>
      </c>
      <c r="E473" s="346" t="s">
        <v>5</v>
      </c>
    </row>
    <row r="474" spans="2:5" ht="20.100000000000001" customHeight="1" x14ac:dyDescent="0.2">
      <c r="B474" s="4" t="s">
        <v>909</v>
      </c>
      <c r="C474" s="362" t="str">
        <f>sample_wld_nsxt_gm_vip_fqdn</f>
        <v>sfo-w01-nsx-gm01.sfo.rainpole.io</v>
      </c>
      <c r="D474" s="337" t="str">
        <f>wld_nsxt_gm_vip_fqdn</f>
        <v>Value Missing</v>
      </c>
      <c r="E474" s="66"/>
    </row>
    <row r="475" spans="2:5" ht="20.100000000000001" customHeight="1" x14ac:dyDescent="0.2">
      <c r="B475" s="4" t="s">
        <v>910</v>
      </c>
      <c r="C475" s="362" t="str">
        <f>sample_wld_nsxt_federation_global_manager_name</f>
        <v>sfo-w01-nsx-gm01</v>
      </c>
      <c r="D475" s="337"/>
      <c r="E475" s="66"/>
    </row>
    <row r="476" spans="2:5" ht="15.95" customHeight="1" x14ac:dyDescent="0.2"/>
    <row r="477" spans="2:5" ht="20.100000000000001" customHeight="1" x14ac:dyDescent="0.2">
      <c r="B477" s="514" t="s">
        <v>911</v>
      </c>
      <c r="C477" s="515"/>
      <c r="D477" s="515"/>
      <c r="E477" s="516"/>
    </row>
    <row r="478" spans="2:5" ht="20.100000000000001" customHeight="1" x14ac:dyDescent="0.2">
      <c r="B478" s="346" t="s">
        <v>37</v>
      </c>
      <c r="C478" s="346" t="s">
        <v>276</v>
      </c>
      <c r="D478" s="346" t="s">
        <v>277</v>
      </c>
      <c r="E478" s="346" t="s">
        <v>5</v>
      </c>
    </row>
    <row r="479" spans="2:5" ht="20.100000000000001" customHeight="1" x14ac:dyDescent="0.2">
      <c r="B479" s="4" t="s">
        <v>912</v>
      </c>
      <c r="C479" s="362" t="str">
        <f>sample_wld_nsxt_gm_vip_fqdn</f>
        <v>sfo-w01-nsx-gm01.sfo.rainpole.io</v>
      </c>
      <c r="D479" s="337" t="str">
        <f>wld_nsxt_gm_vip_fqdn</f>
        <v>Value Missing</v>
      </c>
      <c r="E479" s="66"/>
    </row>
    <row r="480" spans="2:5" ht="20.100000000000001" customHeight="1" x14ac:dyDescent="0.2">
      <c r="B480" s="4" t="s">
        <v>913</v>
      </c>
      <c r="C480" s="362" t="s">
        <v>919</v>
      </c>
      <c r="D480" s="337"/>
      <c r="E480" s="66" t="s">
        <v>1521</v>
      </c>
    </row>
    <row r="481" spans="2:5" ht="20.100000000000001" customHeight="1" x14ac:dyDescent="0.2">
      <c r="B481" s="4" t="s">
        <v>915</v>
      </c>
      <c r="C481" s="362" t="str">
        <f t="array" ref="C481">IF(mgmt_domain_chosen="Initial VCF Instance",CONCATENATE(sample_wld_nsxt_gm_hostname,".",sample_child_dns_zone),sample_wld_existing_active_nsx_gm)</f>
        <v>lax-w01-nsx-gm01.lax.rainpole.io</v>
      </c>
      <c r="D481" s="337" t="str">
        <f>IF(mgmt_domain_chosen="First Domain",wld_nsxt_gm_vip_fqdn,wld_existing_active_nsx_gm)</f>
        <v>Value Missing</v>
      </c>
      <c r="E481" s="66"/>
    </row>
    <row r="482" spans="2:5" ht="20.100000000000001" customHeight="1" x14ac:dyDescent="0.2">
      <c r="B482" s="4" t="s">
        <v>916</v>
      </c>
      <c r="C482" s="126" t="str">
        <f>CONCATENATE(this_instance,"-w0",wld_domain_number_chosen,"-nsx-gm01")</f>
        <v>sfo-w01-nsx-gm01</v>
      </c>
      <c r="D482" s="337" t="str">
        <f>wld_nsxt_federation_global_manager_name</f>
        <v>Value Missing</v>
      </c>
      <c r="E482" s="66"/>
    </row>
    <row r="483" spans="2:5" ht="20.100000000000001" customHeight="1" x14ac:dyDescent="0.2">
      <c r="B483" s="4" t="s">
        <v>917</v>
      </c>
      <c r="C483" s="362" t="str">
        <f>sample_wld_nsxt_gm_vip_fqdn</f>
        <v>sfo-w01-nsx-gm01.sfo.rainpole.io</v>
      </c>
      <c r="D483" s="337" t="str">
        <f>wld_nsxt_gm_vip_fqdn</f>
        <v>Value Missing</v>
      </c>
      <c r="E483" s="66"/>
    </row>
    <row r="484" spans="2:5" ht="20.100000000000001" customHeight="1" x14ac:dyDescent="0.2">
      <c r="B484" s="4" t="s">
        <v>294</v>
      </c>
      <c r="C484" s="362" t="s">
        <v>878</v>
      </c>
      <c r="D484" s="337" t="str">
        <f>C484</f>
        <v>admin</v>
      </c>
      <c r="E484" s="66"/>
    </row>
    <row r="485" spans="2:5" ht="20.100000000000001" customHeight="1" x14ac:dyDescent="0.2">
      <c r="B485" s="4" t="s">
        <v>296</v>
      </c>
      <c r="C485" s="362" t="str">
        <f>sample_wld_nsxt_gm_admin_password</f>
        <v>VMw@re1!VMw@re1!</v>
      </c>
      <c r="D485" s="337" t="str">
        <f>wld_nsxt_gm_admin_password</f>
        <v>Value Missing</v>
      </c>
      <c r="E485" s="66"/>
    </row>
    <row r="486" spans="2:5" ht="20.100000000000001" customHeight="1" x14ac:dyDescent="0.2">
      <c r="B486" s="4" t="s">
        <v>913</v>
      </c>
      <c r="C486" s="362" t="str">
        <f>sample_wld_nsxt_gm_fingerprint</f>
        <v>676edbc9b8c639d9311aaea32a357c7c81226856ad4f8c73a68dd760652d6b5d</v>
      </c>
      <c r="D486" s="337" t="str">
        <f>wld_nsxt_gm_fingerprint</f>
        <v>Value Missing</v>
      </c>
      <c r="E486" s="66"/>
    </row>
    <row r="487" spans="2:5" ht="15.95" customHeight="1" x14ac:dyDescent="0.2"/>
    <row r="488" spans="2:5" ht="20.100000000000001" customHeight="1" x14ac:dyDescent="0.2">
      <c r="B488" s="514" t="s">
        <v>918</v>
      </c>
      <c r="C488" s="515"/>
      <c r="D488" s="515"/>
      <c r="E488" s="516"/>
    </row>
    <row r="489" spans="2:5" ht="20.100000000000001" customHeight="1" x14ac:dyDescent="0.2">
      <c r="B489" s="346" t="s">
        <v>37</v>
      </c>
      <c r="C489" s="346" t="s">
        <v>276</v>
      </c>
      <c r="D489" s="346" t="s">
        <v>277</v>
      </c>
      <c r="E489" s="346" t="s">
        <v>5</v>
      </c>
    </row>
    <row r="490" spans="2:5" ht="20.100000000000001" customHeight="1" x14ac:dyDescent="0.2">
      <c r="B490" s="4" t="s">
        <v>904</v>
      </c>
      <c r="C490" s="362" t="str">
        <f>sample_wld_nsxt_vip_fqdn</f>
        <v>sfo-w01-nsx01.sfo.rainpole.io</v>
      </c>
      <c r="D490" s="337" t="str">
        <f>wld_nsxt_vip_fqdn</f>
        <v>Value Missing</v>
      </c>
      <c r="E490" s="4"/>
    </row>
    <row r="491" spans="2:5" ht="20.100000000000001" customHeight="1" x14ac:dyDescent="0.2">
      <c r="B491" s="4" t="s">
        <v>913</v>
      </c>
      <c r="C491" s="362" t="s">
        <v>914</v>
      </c>
      <c r="D491" s="337"/>
      <c r="E491" s="66" t="s">
        <v>1521</v>
      </c>
    </row>
    <row r="492" spans="2:5" ht="20.100000000000001" customHeight="1" x14ac:dyDescent="0.2">
      <c r="B492" s="4" t="s">
        <v>915</v>
      </c>
      <c r="C492" s="362" t="str">
        <f t="array" ref="C492">IF(mgmt_domain_chosen="Initial VCF Instance",CONCATENATE(sample_wld_nsxt_gm_hostname,".",sample_child_dns_zone),sample_wld_existing_active_nsx_gm)</f>
        <v>lax-w01-nsx-gm01.lax.rainpole.io</v>
      </c>
      <c r="D492" s="337" t="str">
        <f>IF(mgmt_domain_chosen="First Instance",wld_nsxt_gm_vip_fqdn,wld_existing_active_nsx_gm)</f>
        <v>Value Missing</v>
      </c>
      <c r="E492" s="66"/>
    </row>
    <row r="493" spans="2:5" ht="20.100000000000001" customHeight="1" x14ac:dyDescent="0.2">
      <c r="B493" s="4" t="s">
        <v>920</v>
      </c>
      <c r="C493" s="126" t="str">
        <f>CONCATENATE(this_instance,"-w0",wld_domain_number_chosen,)</f>
        <v>sfo-w01</v>
      </c>
      <c r="D493" s="337"/>
      <c r="E493" s="66"/>
    </row>
    <row r="494" spans="2:5" ht="20.100000000000001" customHeight="1" x14ac:dyDescent="0.2">
      <c r="B494" s="4" t="s">
        <v>917</v>
      </c>
      <c r="C494" s="362" t="str">
        <f>sample_wld_nsxt_vip_fqdn</f>
        <v>sfo-w01-nsx01.sfo.rainpole.io</v>
      </c>
      <c r="D494" s="337" t="str">
        <f>wld_nsxt_vip_fqdn</f>
        <v>Value Missing</v>
      </c>
      <c r="E494" s="66"/>
    </row>
    <row r="495" spans="2:5" ht="20.100000000000001" customHeight="1" x14ac:dyDescent="0.2">
      <c r="B495" s="4" t="s">
        <v>294</v>
      </c>
      <c r="C495" s="362" t="s">
        <v>878</v>
      </c>
      <c r="D495" s="337"/>
      <c r="E495" s="66"/>
    </row>
    <row r="496" spans="2:5" ht="20.100000000000001" customHeight="1" x14ac:dyDescent="0.2">
      <c r="B496" s="4" t="s">
        <v>296</v>
      </c>
      <c r="C496" s="362" t="str">
        <f>sample_wld_nsxt_lm_admin_password</f>
        <v>VMw@re1!VMw@re1!</v>
      </c>
      <c r="D496" s="337" t="str">
        <f>wld_nsxt_lm_admin_password</f>
        <v>Value Missing</v>
      </c>
      <c r="E496" s="66"/>
    </row>
    <row r="497" spans="2:5" ht="20.100000000000001" customHeight="1" x14ac:dyDescent="0.2">
      <c r="B497" s="4" t="s">
        <v>913</v>
      </c>
      <c r="C497" s="362" t="str">
        <f>sample_wld_nsxt_lm_fingerprint</f>
        <v>0d472de0d92da89f2b469d4d10ab23505ad4edb90cd7e68f84497008f6c89ff1</v>
      </c>
      <c r="D497" s="337" t="str">
        <f>wld_nsxt_lm_fingerprint</f>
        <v>Value Missing</v>
      </c>
      <c r="E497" s="66"/>
    </row>
    <row r="498" spans="2:5" ht="20.100000000000001" customHeight="1" x14ac:dyDescent="0.2">
      <c r="B498" s="4" t="s">
        <v>921</v>
      </c>
      <c r="C498" s="362" t="s">
        <v>922</v>
      </c>
      <c r="D498" s="337" t="str">
        <f>C498</f>
        <v>nsxDefaultHostSwitch</v>
      </c>
      <c r="E498" s="143"/>
    </row>
    <row r="499" spans="2:5" ht="20.100000000000001" customHeight="1" x14ac:dyDescent="0.2">
      <c r="B499" s="4" t="s">
        <v>923</v>
      </c>
      <c r="C499" s="80" t="str">
        <f>CONCATENATE(prefix_wld_az1_vlan,"20")</f>
        <v>1320</v>
      </c>
      <c r="D499" s="337"/>
      <c r="E499" s="66"/>
    </row>
    <row r="500" spans="2:5" ht="20.100000000000001" customHeight="1" x14ac:dyDescent="0.2">
      <c r="B500" s="4" t="s">
        <v>924</v>
      </c>
      <c r="C500" s="362" t="str">
        <f>sample_wld_az1_rtep_ip_pool_name</f>
        <v>sfo-w01-r01-ip-pool-rtep</v>
      </c>
      <c r="D500" s="337" t="str">
        <f>wld_az1_rtep_ip_pool_name</f>
        <v>Value Missing</v>
      </c>
      <c r="E500" s="66"/>
    </row>
    <row r="501" spans="2:5" ht="15.95" customHeight="1" x14ac:dyDescent="0.2"/>
    <row r="502" spans="2:5" ht="20.100000000000001" customHeight="1" x14ac:dyDescent="0.2">
      <c r="B502" s="514" t="s">
        <v>925</v>
      </c>
      <c r="C502" s="515"/>
      <c r="D502" s="515"/>
      <c r="E502" s="516"/>
    </row>
    <row r="503" spans="2:5" ht="20.100000000000001" customHeight="1" x14ac:dyDescent="0.2">
      <c r="B503" s="346" t="s">
        <v>37</v>
      </c>
      <c r="C503" s="346" t="s">
        <v>276</v>
      </c>
      <c r="D503" s="346" t="s">
        <v>277</v>
      </c>
      <c r="E503" s="346" t="s">
        <v>5</v>
      </c>
    </row>
    <row r="504" spans="2:5" ht="20.100000000000001" customHeight="1" x14ac:dyDescent="0.2">
      <c r="B504" s="4" t="s">
        <v>894</v>
      </c>
      <c r="C504" s="362" t="str">
        <f>sample_wld_nsxt_gm_vip_fqdn</f>
        <v>sfo-w01-nsx-gm01.sfo.rainpole.io</v>
      </c>
      <c r="D504" s="337" t="str">
        <f>wld_nsxt_gm_vip_fqdn</f>
        <v>Value Missing</v>
      </c>
      <c r="E504" s="66"/>
    </row>
    <row r="505" spans="2:5" ht="20.100000000000001" customHeight="1" x14ac:dyDescent="0.2">
      <c r="B505" s="4" t="s">
        <v>926</v>
      </c>
      <c r="C505" s="126" t="str">
        <f>CONCATENATE(prefix_portable_component,"-w0",wld_domain_number_chosen,"-ec01-t1-gw01")</f>
        <v>flt-w01-ec01-t1-gw01</v>
      </c>
      <c r="D505" s="337"/>
      <c r="E505" s="66"/>
    </row>
    <row r="506" spans="2:5" ht="20.100000000000001" customHeight="1" x14ac:dyDescent="0.2">
      <c r="B506" s="4" t="s">
        <v>927</v>
      </c>
      <c r="C506" s="362" t="str">
        <f>sample_wld_tier0_name</f>
        <v>sfo-w01-ec01-t0-gw01</v>
      </c>
      <c r="D506" s="337" t="str">
        <f>wld_tier0_name</f>
        <v>Value Missing</v>
      </c>
      <c r="E506" s="66"/>
    </row>
    <row r="507" spans="2:5" ht="20.100000000000001" customHeight="1" x14ac:dyDescent="0.2">
      <c r="B507" s="4" t="s">
        <v>928</v>
      </c>
      <c r="C507" s="362" t="str">
        <f>sample_wld_nsxt_federation_location_name</f>
        <v>sfo-w01</v>
      </c>
      <c r="D507" s="337" t="str">
        <f>wld_nsxt_federation_location_name</f>
        <v>Value Missing</v>
      </c>
      <c r="E507" s="25"/>
    </row>
    <row r="508" spans="2:5" ht="20.100000000000001" customHeight="1" x14ac:dyDescent="0.2">
      <c r="B508" s="4" t="s">
        <v>574</v>
      </c>
      <c r="C508" s="362" t="str">
        <f>sample_wld_ec_name</f>
        <v>sfo-w01-ec01</v>
      </c>
      <c r="D508" s="337" t="str">
        <f>wld_ec_name</f>
        <v>Value Missing</v>
      </c>
      <c r="E508" s="66"/>
    </row>
    <row r="509" spans="2:5" ht="15.95" customHeight="1" x14ac:dyDescent="0.2"/>
    <row r="510" spans="2:5" ht="20.100000000000001" customHeight="1" x14ac:dyDescent="0.2">
      <c r="B510" s="514" t="s">
        <v>932</v>
      </c>
      <c r="C510" s="515"/>
      <c r="D510" s="515"/>
      <c r="E510" s="516"/>
    </row>
    <row r="511" spans="2:5" ht="20.100000000000001" customHeight="1" x14ac:dyDescent="0.2">
      <c r="B511" s="346" t="s">
        <v>37</v>
      </c>
      <c r="C511" s="346" t="s">
        <v>276</v>
      </c>
      <c r="D511" s="346" t="s">
        <v>277</v>
      </c>
      <c r="E511" s="346" t="s">
        <v>5</v>
      </c>
    </row>
    <row r="512" spans="2:5" ht="20.100000000000001" customHeight="1" x14ac:dyDescent="0.2">
      <c r="B512" s="4" t="s">
        <v>915</v>
      </c>
      <c r="C512" s="362" t="str">
        <f>IF(mgmt_domain_chosen="First Domain",CONCATENATE(this_instance,"-w01-nsx-gm01.",this_instance,".",sample_parent_dns_zone),CONCATENATE(other_instance,"-w01-nsx-gm01.",other_instance,".",sample_parent_dns_zone))</f>
        <v>lax-w01-nsx-gm01.lax.rainpole.io</v>
      </c>
      <c r="D512" s="337"/>
      <c r="E512" s="66"/>
    </row>
    <row r="513" spans="2:5" ht="20.100000000000001" customHeight="1" x14ac:dyDescent="0.2">
      <c r="B513" s="4" t="s">
        <v>933</v>
      </c>
      <c r="C513" s="362" t="str">
        <f>CONCATENATE(this_instance,"-w01-ec01-t0-gw01")</f>
        <v>sfo-w01-ec01-t0-gw01</v>
      </c>
      <c r="D513" s="337"/>
      <c r="E513" s="66"/>
    </row>
    <row r="514" spans="2:5" ht="20.100000000000001" customHeight="1" x14ac:dyDescent="0.2">
      <c r="B514" s="4" t="s">
        <v>928</v>
      </c>
      <c r="C514" s="362" t="str">
        <f>sample_wld_nsxt_federation_location_name</f>
        <v>sfo-w01</v>
      </c>
      <c r="D514" s="337" t="str">
        <f>wld_nsxt_federation_location_name</f>
        <v>Value Missing</v>
      </c>
      <c r="E514" s="25"/>
    </row>
    <row r="515" spans="2:5" ht="20.100000000000001" customHeight="1" x14ac:dyDescent="0.2">
      <c r="B515" s="4" t="s">
        <v>574</v>
      </c>
      <c r="C515" s="362" t="str">
        <f>sample_wld_ec_name</f>
        <v>sfo-w01-ec01</v>
      </c>
      <c r="D515" s="337" t="str">
        <f>wld_ec_name</f>
        <v>Value Missing</v>
      </c>
      <c r="E515" s="66"/>
    </row>
    <row r="516" spans="2:5" ht="20.100000000000001" customHeight="1" x14ac:dyDescent="0.2">
      <c r="B516" s="4" t="s">
        <v>935</v>
      </c>
      <c r="C516" s="362" t="str">
        <f>CONCATENATE(sample_wld_az1_en1_hostname,"_VCF-edge_",sample_wld_ec_name,"_segment_",sample_wld_az1_uplink01_vlan,"_",sample_wld_az1_en1_uplink01_interface_cidr)</f>
        <v>sfo-w01-r01-en01_VCF-edge_sfo-w01-ec01_segment_1317_10.13.17.2/24</v>
      </c>
      <c r="D516" s="337" t="str">
        <f>CONCATENATE(wld_az1_en1_hostname,"_VCF-edge_",wld_ec_name,"_segment_",wld_az1_uplink01_vlan,"_",wld_az1_en1_uplink01_interface_cidr)</f>
        <v>Value Missing_VCF-edge_Value Missing_segment_Value Missing_Value Missing</v>
      </c>
      <c r="E516" s="66"/>
    </row>
    <row r="517" spans="2:5" ht="20.100000000000001" customHeight="1" x14ac:dyDescent="0.2">
      <c r="B517" s="4" t="s">
        <v>936</v>
      </c>
      <c r="C517" s="362" t="str">
        <f>sample_wld_nsxt_federation_location_name</f>
        <v>sfo-w01</v>
      </c>
      <c r="D517" s="337" t="str">
        <f>wld_nsxt_federation_location_name</f>
        <v>Value Missing</v>
      </c>
      <c r="E517" s="66"/>
    </row>
    <row r="518" spans="2:5" ht="20.100000000000001" customHeight="1" x14ac:dyDescent="0.2">
      <c r="B518" s="4" t="s">
        <v>937</v>
      </c>
      <c r="C518" s="362" t="str">
        <f>sample_wld_az1_en1_uplink01_interface_cidr</f>
        <v>10.13.17.2/24</v>
      </c>
      <c r="D518" s="337" t="str">
        <f>wld_az1_en1_uplink01_interface_cidr</f>
        <v>Value Missing</v>
      </c>
      <c r="E518" s="66"/>
    </row>
    <row r="519" spans="2:5" ht="20.100000000000001" customHeight="1" x14ac:dyDescent="0.2">
      <c r="B519" s="4" t="s">
        <v>938</v>
      </c>
      <c r="C519" s="362" t="str">
        <f>CONCATENATE("VCF-edge_",sample_wld_ec_name,"_segment_uplink1_",sample_wld_az1_uplink01_vlan)</f>
        <v>VCF-edge_sfo-w01-ec01_segment_uplink1_1317</v>
      </c>
      <c r="D519" s="337" t="str">
        <f>CONCATENATE("VCF-edge_",wld_ec_name,"_segment_uplink1_",wld_az1_uplink01_vlan)</f>
        <v>VCF-edge_Value Missing_segment_uplink1_Value Missing</v>
      </c>
      <c r="E519" s="66"/>
    </row>
    <row r="520" spans="2:5" ht="20.100000000000001" customHeight="1" x14ac:dyDescent="0.2">
      <c r="B520" s="4" t="s">
        <v>1522</v>
      </c>
      <c r="C520" s="362" t="str">
        <f>CONCATENATE(this_instance,"-w0",wld_domain_number_chosen,"-r01-en01")</f>
        <v>sfo-w01-r01-en01</v>
      </c>
      <c r="D520" s="337" t="str">
        <f>wld_az1_en1_hostname</f>
        <v>Value Missing</v>
      </c>
      <c r="E520" s="66"/>
    </row>
    <row r="521" spans="2:5" ht="20.100000000000001" customHeight="1" x14ac:dyDescent="0.2">
      <c r="B521" s="4" t="s">
        <v>1523</v>
      </c>
      <c r="C521" s="362">
        <f>sample_wld_az1_uplink01_mtu</f>
        <v>9000</v>
      </c>
      <c r="D521" s="337" t="str">
        <f>wld_az1_uplink01_mtu</f>
        <v>Value Missing</v>
      </c>
      <c r="E521" s="66"/>
    </row>
    <row r="522" spans="2:5" ht="20.100000000000001" customHeight="1" x14ac:dyDescent="0.2">
      <c r="B522" s="4" t="s">
        <v>1524</v>
      </c>
      <c r="C522" s="362" t="str">
        <f>CONCATENATE(sample_wld_az1_en1_hostname,"_VCF-edge_",sample_wld_ec_name,"_segment_",sample_wld_az1_uplink02_vlan,"_",sample_wld_az1_en1_uplink02_interface_cidr)</f>
        <v>sfo-w01-r01-en01_VCF-edge_sfo-w01-ec01_segment_1318_10.13.18.2/24</v>
      </c>
      <c r="D522" s="337" t="str">
        <f>CONCATENATE(wld_az1_en1_hostname,"_VCF-edge_",wld_ec_name,"_segment_",wld_az1_uplink02_vlan,"_",wld_az1_en1_uplink02_interface_cidr)</f>
        <v>Value Missing_VCF-edge_Value Missing_segment_Value Missing_Value Missing</v>
      </c>
      <c r="E522" s="66"/>
    </row>
    <row r="523" spans="2:5" ht="20.100000000000001" customHeight="1" x14ac:dyDescent="0.2">
      <c r="B523" s="4" t="s">
        <v>1525</v>
      </c>
      <c r="C523" s="362" t="str">
        <f>sample_wld_nsxt_federation_location_name</f>
        <v>sfo-w01</v>
      </c>
      <c r="D523" s="337" t="str">
        <f>wld_nsxt_federation_location_name</f>
        <v>Value Missing</v>
      </c>
      <c r="E523" s="66"/>
    </row>
    <row r="524" spans="2:5" ht="20.100000000000001" customHeight="1" x14ac:dyDescent="0.2">
      <c r="B524" s="4" t="s">
        <v>944</v>
      </c>
      <c r="C524" s="362" t="str">
        <f>sample_wld_az1_en1_uplink02_interface_cidr</f>
        <v>10.13.18.2/24</v>
      </c>
      <c r="D524" s="337" t="str">
        <f>wld_az1_en1_uplink02_interface_cidr</f>
        <v>Value Missing</v>
      </c>
      <c r="E524" s="66"/>
    </row>
    <row r="525" spans="2:5" ht="20.100000000000001" customHeight="1" x14ac:dyDescent="0.2">
      <c r="B525" s="17" t="s">
        <v>1526</v>
      </c>
      <c r="C525" s="362" t="str">
        <f>CONCATENATE("VCF-edge_",sample_wld_ec_name,"_segment_uplink2_",sample_wld_az1_uplink02_vlan)</f>
        <v>VCF-edge_sfo-w01-ec01_segment_uplink2_1318</v>
      </c>
      <c r="D525" s="337" t="str">
        <f>CONCATENATE("VCF-edge_",wld_ec_name,"_segment_uplink2_",wld_az1_uplink02_vlan)</f>
        <v>VCF-edge_Value Missing_segment_uplink2_Value Missing</v>
      </c>
      <c r="E525" s="66"/>
    </row>
    <row r="526" spans="2:5" ht="20.100000000000001" customHeight="1" x14ac:dyDescent="0.2">
      <c r="B526" s="4" t="s">
        <v>946</v>
      </c>
      <c r="C526" s="362" t="str">
        <f>sample_wld_az1_en1_hostname</f>
        <v>sfo-w01-r01-en01</v>
      </c>
      <c r="D526" s="337" t="str">
        <f>wld_az1_en1_hostname</f>
        <v>Value Missing</v>
      </c>
      <c r="E526" s="66"/>
    </row>
    <row r="527" spans="2:5" ht="20.100000000000001" customHeight="1" x14ac:dyDescent="0.2">
      <c r="B527" s="4" t="s">
        <v>948</v>
      </c>
      <c r="C527" s="362">
        <f>sample_wld_az1_uplink01_mtu</f>
        <v>9000</v>
      </c>
      <c r="D527" s="337" t="str">
        <f>wld_az1_uplink02_mtu</f>
        <v>Value Missing</v>
      </c>
      <c r="E527" s="66"/>
    </row>
    <row r="528" spans="2:5" ht="20.100000000000001" customHeight="1" x14ac:dyDescent="0.2">
      <c r="B528" s="4" t="s">
        <v>949</v>
      </c>
      <c r="C528" s="362" t="str">
        <f>CONCATENATE(sample_wld_az1_en2_hostname,"_VCF-edge_",sample_wld_ec_name,"_segment_",sample_wld_az1_uplink01_vlan,"_",sample_wld_az1_en2_uplink01_interface_cidr)</f>
        <v>sfo-w01-r01-en02_VCF-edge_sfo-w01-ec01_segment_1317_10.13.17.3/24</v>
      </c>
      <c r="D528" s="337" t="str">
        <f>CONCATENATE(wld_az1_en2_hostname,"_VCF-edge_",wld_ec_name,"_segment_",wld_az1_uplink01_vlan,"_",wld_az1_en2_uplink01_interface_cidr)</f>
        <v>Value Missing_VCF-edge_Value Missing_segment_Value Missing_Value Missing</v>
      </c>
      <c r="E528" s="66"/>
    </row>
    <row r="529" spans="2:5" ht="20.100000000000001" customHeight="1" x14ac:dyDescent="0.2">
      <c r="B529" s="4" t="s">
        <v>1527</v>
      </c>
      <c r="C529" s="362" t="str">
        <f>sample_wld_nsxt_federation_location_name</f>
        <v>sfo-w01</v>
      </c>
      <c r="D529" s="337" t="str">
        <f>wld_nsxt_federation_location_name</f>
        <v>Value Missing</v>
      </c>
      <c r="E529" s="66"/>
    </row>
    <row r="530" spans="2:5" ht="20.100000000000001" customHeight="1" x14ac:dyDescent="0.2">
      <c r="B530" s="4" t="s">
        <v>1528</v>
      </c>
      <c r="C530" s="362" t="str">
        <f>sample_wld_az1_en2_uplink01_interface_cidr</f>
        <v>10.13.17.3/24</v>
      </c>
      <c r="D530" s="337" t="str">
        <f>wld_az1_en2_uplink01_interface_cidr</f>
        <v>Value Missing</v>
      </c>
      <c r="E530" s="66"/>
    </row>
    <row r="531" spans="2:5" ht="20.100000000000001" customHeight="1" x14ac:dyDescent="0.2">
      <c r="B531" s="17" t="s">
        <v>1529</v>
      </c>
      <c r="C531" s="362" t="str">
        <f>CONCATENATE("VCF-edge_",sample_wld_ec_name,"_segment_uplink1_",sample_wld_az1_uplink01_vlan)</f>
        <v>VCF-edge_sfo-w01-ec01_segment_uplink1_1317</v>
      </c>
      <c r="D531" s="337" t="str">
        <f>CONCATENATE("VCF-edge_",wld_ec_name,"_segment_uplink1_",wld_az1_uplink01_vlan)</f>
        <v>VCF-edge_Value Missing_segment_uplink1_Value Missing</v>
      </c>
      <c r="E531" s="66"/>
    </row>
    <row r="532" spans="2:5" ht="20.100000000000001" customHeight="1" x14ac:dyDescent="0.2">
      <c r="B532" s="4" t="s">
        <v>1530</v>
      </c>
      <c r="C532" s="362" t="str">
        <f>CONCATENATE(this_instance,"-w0",wld_domain_number_chosen,"-r01-en02")</f>
        <v>sfo-w01-r01-en02</v>
      </c>
      <c r="D532" s="337" t="str">
        <f>wld_az1_en2_hostname</f>
        <v>Value Missing</v>
      </c>
      <c r="E532" s="66"/>
    </row>
    <row r="533" spans="2:5" ht="20.100000000000001" customHeight="1" x14ac:dyDescent="0.2">
      <c r="B533" s="4" t="s">
        <v>1531</v>
      </c>
      <c r="C533" s="362">
        <f>sample_wld_az1_uplink01_mtu</f>
        <v>9000</v>
      </c>
      <c r="D533" s="337" t="str">
        <f>wld_az1_uplink01_mtu</f>
        <v>Value Missing</v>
      </c>
      <c r="E533" s="66"/>
    </row>
    <row r="534" spans="2:5" ht="20.100000000000001" customHeight="1" x14ac:dyDescent="0.2">
      <c r="B534" s="4" t="s">
        <v>955</v>
      </c>
      <c r="C534" s="362" t="str">
        <f>CONCATENATE(sample_wld_az1_en2_hostname,"_VCF-edge_",sample_wld_ec_name,"_segment_",sample_wld_az1_uplink02_vlan,"_",sample_wld_az1_en2_uplink02_interface_cidr)</f>
        <v>sfo-w01-r01-en02_VCF-edge_sfo-w01-ec01_segment_1318_10.13.18.3/24</v>
      </c>
      <c r="D534" s="337" t="str">
        <f>CONCATENATE(wld_az1_en2_hostname,"_VCF-edge_",wld_ec_name,"_segment_",wld_az1_uplink02_vlan,"_",wld_az1_en2_uplink02_interface_cidr)</f>
        <v>Value Missing_VCF-edge_Value Missing_segment_Value Missing_Value Missing</v>
      </c>
      <c r="E534" s="66"/>
    </row>
    <row r="535" spans="2:5" ht="20.100000000000001" customHeight="1" x14ac:dyDescent="0.2">
      <c r="B535" s="4" t="s">
        <v>956</v>
      </c>
      <c r="C535" s="362" t="str">
        <f>sample_wld_nsxt_federation_location_name</f>
        <v>sfo-w01</v>
      </c>
      <c r="D535" s="337" t="str">
        <f>wld_nsxt_federation_location_name</f>
        <v>Value Missing</v>
      </c>
      <c r="E535" s="66"/>
    </row>
    <row r="536" spans="2:5" ht="20.100000000000001" customHeight="1" x14ac:dyDescent="0.2">
      <c r="B536" s="4" t="s">
        <v>1532</v>
      </c>
      <c r="C536" s="362" t="str">
        <f>sample_wld_az1_en2_uplink02_interface_cidr</f>
        <v>10.13.18.3/24</v>
      </c>
      <c r="D536" s="337" t="str">
        <f>wld_az1_en2_uplink02_interface_cidr</f>
        <v>Value Missing</v>
      </c>
      <c r="E536" s="66"/>
    </row>
    <row r="537" spans="2:5" ht="20.100000000000001" customHeight="1" x14ac:dyDescent="0.2">
      <c r="B537" s="17" t="s">
        <v>958</v>
      </c>
      <c r="C537" s="362" t="str">
        <f>CONCATENATE("VCF-edge_",sample_wld_ec_name,"_segment_uplink2_",sample_wld_az1_uplink02_vlan)</f>
        <v>VCF-edge_sfo-w01-ec01_segment_uplink2_1318</v>
      </c>
      <c r="D537" s="337" t="str">
        <f>CONCATENATE("VCF-edge_",wld_ec_name,"_segment_uplink2_",wld_az1_uplink02_vlan)</f>
        <v>VCF-edge_Value Missing_segment_uplink2_Value Missing</v>
      </c>
      <c r="E537" s="66"/>
    </row>
    <row r="538" spans="2:5" ht="20.100000000000001" customHeight="1" x14ac:dyDescent="0.2">
      <c r="B538" s="4" t="s">
        <v>1533</v>
      </c>
      <c r="C538" s="362" t="str">
        <f>sample_wld_az1_en2_hostname</f>
        <v>sfo-w01-r01-en02</v>
      </c>
      <c r="D538" s="337" t="str">
        <f>wld_az1_en2_hostname</f>
        <v>Value Missing</v>
      </c>
      <c r="E538" s="66"/>
    </row>
    <row r="539" spans="2:5" ht="20.100000000000001" customHeight="1" x14ac:dyDescent="0.2">
      <c r="B539" s="4" t="s">
        <v>960</v>
      </c>
      <c r="C539" s="362">
        <f>sample_wld_az1_uplink01_mtu</f>
        <v>9000</v>
      </c>
      <c r="D539" s="337" t="str">
        <f>wld_az1_uplink02_mtu</f>
        <v>Value Missing</v>
      </c>
      <c r="E539" s="66"/>
    </row>
    <row r="540" spans="2:5" ht="20.100000000000001" customHeight="1" x14ac:dyDescent="0.2">
      <c r="B540" s="4" t="s">
        <v>961</v>
      </c>
      <c r="C540" s="362" t="str">
        <f>sample_wld_az1_tor1_peer_ip</f>
        <v>10.13.17.10</v>
      </c>
      <c r="D540" s="337" t="str">
        <f>wld_az1_tor1_peer_ip</f>
        <v>Value Missing</v>
      </c>
      <c r="E540" s="66"/>
    </row>
    <row r="541" spans="2:5" ht="20.100000000000001" customHeight="1" x14ac:dyDescent="0.2">
      <c r="B541" s="4" t="s">
        <v>1534</v>
      </c>
      <c r="C541" s="362" t="str">
        <f>sample_wld_nsxt_federation_location_name</f>
        <v>sfo-w01</v>
      </c>
      <c r="D541" s="337" t="str">
        <f>wld_nsxt_federation_location_name</f>
        <v>Value Missing</v>
      </c>
      <c r="E541" s="66"/>
    </row>
    <row r="542" spans="2:5" ht="20.100000000000001" customHeight="1" x14ac:dyDescent="0.2">
      <c r="B542" s="4" t="s">
        <v>963</v>
      </c>
      <c r="C542" s="362" t="str">
        <f>sample_wld_az1_tor1_peer_asn</f>
        <v>65131</v>
      </c>
      <c r="D542" s="337" t="str">
        <f>wld_az1_tor1_peer_asn</f>
        <v>Value Missing</v>
      </c>
      <c r="E542" s="66"/>
    </row>
    <row r="543" spans="2:5" ht="20.100000000000001" customHeight="1" x14ac:dyDescent="0.2">
      <c r="B543" s="4" t="s">
        <v>1535</v>
      </c>
      <c r="C543" s="362" t="str">
        <f>sample_wld_az1_en1_uplink01_interface_cidr</f>
        <v>10.13.17.2/24</v>
      </c>
      <c r="D543" s="337" t="str">
        <f>wld_az1_en1_uplink01_interface_cidr</f>
        <v>Value Missing</v>
      </c>
      <c r="E543" s="66"/>
    </row>
    <row r="544" spans="2:5" ht="20.100000000000001" customHeight="1" x14ac:dyDescent="0.2">
      <c r="B544" s="4" t="s">
        <v>1536</v>
      </c>
      <c r="C544" s="362" t="str">
        <f>sample_wld_az1_en2_uplink01_interface_cidr</f>
        <v>10.13.17.3/24</v>
      </c>
      <c r="D544" s="337" t="str">
        <f>wld_az1_en2_uplink01_interface_cidr</f>
        <v>Value Missing</v>
      </c>
      <c r="E544" s="66"/>
    </row>
    <row r="545" spans="2:5" ht="20.100000000000001" customHeight="1" x14ac:dyDescent="0.2">
      <c r="B545" s="4" t="s">
        <v>1537</v>
      </c>
      <c r="C545" s="362" t="str">
        <f>sample_wld_az1_tor1_peer_bgp_password</f>
        <v>VMw@re1!</v>
      </c>
      <c r="D545" s="337" t="str">
        <f>wld_az1_tor1_peer_bgp_password</f>
        <v>Value Missing</v>
      </c>
      <c r="E545" s="66"/>
    </row>
    <row r="546" spans="2:5" ht="20.100000000000001" customHeight="1" x14ac:dyDescent="0.2">
      <c r="B546" s="4" t="s">
        <v>1538</v>
      </c>
      <c r="C546" s="362" t="str">
        <f>sample_wld_az1_tor2_peer_ip</f>
        <v>10.13.18.10</v>
      </c>
      <c r="D546" s="337" t="str">
        <f>wld_az1_tor2_peer_ip</f>
        <v>Value Missing</v>
      </c>
      <c r="E546" s="66"/>
    </row>
    <row r="547" spans="2:5" ht="20.100000000000001" customHeight="1" x14ac:dyDescent="0.2">
      <c r="B547" s="4" t="s">
        <v>968</v>
      </c>
      <c r="C547" s="362" t="str">
        <f>sample_wld_nsxt_federation_location_name</f>
        <v>sfo-w01</v>
      </c>
      <c r="D547" s="337" t="str">
        <f>wld_nsxt_federation_location_name</f>
        <v>Value Missing</v>
      </c>
      <c r="E547" s="66"/>
    </row>
    <row r="548" spans="2:5" ht="20.100000000000001" customHeight="1" x14ac:dyDescent="0.2">
      <c r="B548" s="4" t="s">
        <v>1539</v>
      </c>
      <c r="C548" s="362" t="str">
        <f>sample_wld_az1_tor1_peer_asn</f>
        <v>65131</v>
      </c>
      <c r="D548" s="337" t="str">
        <f>wld_az1_tor1_peer_asn</f>
        <v>Value Missing</v>
      </c>
      <c r="E548" s="66"/>
    </row>
    <row r="549" spans="2:5" ht="20.100000000000001" customHeight="1" x14ac:dyDescent="0.2">
      <c r="B549" s="4" t="s">
        <v>1540</v>
      </c>
      <c r="C549" s="362" t="str">
        <f>sample_wld_az1_en1_uplink02_interface_cidr</f>
        <v>10.13.18.2/24</v>
      </c>
      <c r="D549" s="337" t="str">
        <f>wld_az1_en1_uplink02_interface_cidr</f>
        <v>Value Missing</v>
      </c>
      <c r="E549" s="66"/>
    </row>
    <row r="550" spans="2:5" ht="20.100000000000001" customHeight="1" x14ac:dyDescent="0.2">
      <c r="B550" s="4" t="s">
        <v>1541</v>
      </c>
      <c r="C550" s="362" t="str">
        <f>sample_wld_az1_en2_uplink02_interface_cidr</f>
        <v>10.13.18.3/24</v>
      </c>
      <c r="D550" s="337" t="str">
        <f>wld_az1_en2_uplink02_interface_cidr</f>
        <v>Value Missing</v>
      </c>
      <c r="E550" s="66"/>
    </row>
    <row r="551" spans="2:5" ht="20.100000000000001" customHeight="1" x14ac:dyDescent="0.2">
      <c r="B551" s="4" t="s">
        <v>972</v>
      </c>
      <c r="C551" s="362" t="str">
        <f>sample_wld_az1_tor2_peer_bgp_password</f>
        <v>VMw@re1!</v>
      </c>
      <c r="D551" s="337" t="str">
        <f>wld_az1_tor2_peer_bgp_password</f>
        <v>Value Missing</v>
      </c>
      <c r="E551" s="66"/>
    </row>
    <row r="552" spans="2:5" ht="15.95" customHeight="1" x14ac:dyDescent="0.2"/>
    <row r="553" spans="2:5" ht="20.100000000000001" customHeight="1" x14ac:dyDescent="0.2">
      <c r="B553" s="514" t="s">
        <v>973</v>
      </c>
      <c r="C553" s="515"/>
      <c r="D553" s="515"/>
      <c r="E553" s="516"/>
    </row>
    <row r="554" spans="2:5" ht="20.100000000000001" customHeight="1" x14ac:dyDescent="0.2">
      <c r="B554" s="346" t="s">
        <v>37</v>
      </c>
      <c r="C554" s="346" t="s">
        <v>276</v>
      </c>
      <c r="D554" s="346" t="s">
        <v>277</v>
      </c>
      <c r="E554" s="346" t="s">
        <v>5</v>
      </c>
    </row>
    <row r="555" spans="2:5" ht="20.100000000000001" customHeight="1" x14ac:dyDescent="0.2">
      <c r="B555" s="4" t="s">
        <v>915</v>
      </c>
      <c r="C555" s="362" t="str">
        <f>sample_wld_existing_active_nsx_gm</f>
        <v>lax-w01-nsx-gm01.lax.rainpole.io</v>
      </c>
      <c r="D555" s="337" t="str">
        <f>IF(mgmt_domain_chosen="First Domain",wld_nsxt_gm_vip_fqdn,wld_existing_active_nsx_gm)</f>
        <v>Value Missing</v>
      </c>
      <c r="E555" s="66"/>
    </row>
    <row r="556" spans="2:5" ht="20.100000000000001" customHeight="1" x14ac:dyDescent="0.2">
      <c r="B556" s="4" t="s">
        <v>931</v>
      </c>
      <c r="C556" s="362" t="str">
        <f>sample_wld_nsxt_xreg_t1_name</f>
        <v>flt-w01-ec01-t1-gw01</v>
      </c>
      <c r="D556" s="337" t="str">
        <f>IF(mgmt_domain_chosen="First Domain",wld_nsxt_xreg_t1_name,wld_existing_cross_instance_t0_name)</f>
        <v>Value Missing</v>
      </c>
      <c r="E556" s="66"/>
    </row>
    <row r="557" spans="2:5" ht="20.100000000000001" customHeight="1" x14ac:dyDescent="0.2">
      <c r="B557" s="4" t="s">
        <v>928</v>
      </c>
      <c r="C557" s="362" t="str">
        <f>sample_wld_nsxt_federation_location_name</f>
        <v>sfo-w01</v>
      </c>
      <c r="D557" s="337" t="str">
        <f>wld_nsxt_federation_location_name</f>
        <v>Value Missing</v>
      </c>
      <c r="E557" s="25"/>
    </row>
    <row r="558" spans="2:5" ht="20.100000000000001" customHeight="1" x14ac:dyDescent="0.2">
      <c r="B558" s="4" t="s">
        <v>574</v>
      </c>
      <c r="C558" s="362" t="str">
        <f>sample_wld_ec_name</f>
        <v>sfo-w01-ec01</v>
      </c>
      <c r="D558" s="337" t="str">
        <f>wld_ec_name</f>
        <v>Value Missing</v>
      </c>
      <c r="E558" s="66"/>
    </row>
  </sheetData>
  <sheetProtection algorithmName="SHA-512" hashValue="XLSrfEdTL17LLF72EPi/ZktFLyGhjhz/0NQ8rZmPWTn31SwiE2XForxDhJ+77B+/k7cARCmW/s5NRgSdUdy9zw==" saltValue="O+IVLz86Kx3hLIRh0/as9g==" spinCount="100000" sheet="1" selectLockedCells="1"/>
  <mergeCells count="68">
    <mergeCell ref="B377:E377"/>
    <mergeCell ref="B394:E394"/>
    <mergeCell ref="B220:E220"/>
    <mergeCell ref="B338:E338"/>
    <mergeCell ref="B342:E342"/>
    <mergeCell ref="B357:E357"/>
    <mergeCell ref="B356:E356"/>
    <mergeCell ref="B294:E294"/>
    <mergeCell ref="B334:E334"/>
    <mergeCell ref="B300:E300"/>
    <mergeCell ref="B283:E283"/>
    <mergeCell ref="B289:E289"/>
    <mergeCell ref="B262:E262"/>
    <mergeCell ref="B229:E229"/>
    <mergeCell ref="B255:E255"/>
    <mergeCell ref="B333:E333"/>
    <mergeCell ref="B553:E553"/>
    <mergeCell ref="B488:E488"/>
    <mergeCell ref="B502:E502"/>
    <mergeCell ref="B510:E510"/>
    <mergeCell ref="B477:E477"/>
    <mergeCell ref="B463:E463"/>
    <mergeCell ref="B472:E472"/>
    <mergeCell ref="B413:E413"/>
    <mergeCell ref="B431:E431"/>
    <mergeCell ref="B439:E439"/>
    <mergeCell ref="B445:E445"/>
    <mergeCell ref="B456:E456"/>
    <mergeCell ref="B449:E449"/>
    <mergeCell ref="B360:E360"/>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191:E191"/>
    <mergeCell ref="B204:E204"/>
    <mergeCell ref="B212:E212"/>
    <mergeCell ref="B168:E168"/>
    <mergeCell ref="B173:E173"/>
    <mergeCell ref="B196:E196"/>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s>
  <phoneticPr fontId="0" type="noConversion"/>
  <conditionalFormatting sqref="B11">
    <cfRule type="expression" dxfId="1137" priority="1531">
      <formula>AND((vcf_granular_option_chosen="Deploy a new VCF fleet"),(wld_signed_certs_chosen="Include"),(wld_signed_certs_result="Excluded"))</formula>
    </cfRule>
    <cfRule type="expression" dxfId="1136" priority="1532">
      <formula>AND((wld_signed_certs_chosen="Include"),(wld_signed_certs_result="Excluded"))</formula>
    </cfRule>
    <cfRule type="expression" dxfId="1135" priority="1533">
      <formula>AND((wld_signed_certs_chosen="Include"),(wld_signed_certs_result="Included"))</formula>
    </cfRule>
    <cfRule type="expression" dxfId="1134" priority="1530">
      <formula>(wld_signed_certs_chosen="Exclude")</formula>
    </cfRule>
  </conditionalFormatting>
  <conditionalFormatting sqref="B12 D12:E12">
    <cfRule type="expression" dxfId="1133" priority="1522">
      <formula>AND((wld_bgp_chosen&lt;&gt;"Exclude"),(wld_bgp_result="Excluded"))</formula>
    </cfRule>
  </conditionalFormatting>
  <conditionalFormatting sqref="B12">
    <cfRule type="expression" dxfId="1132" priority="1542">
      <formula>(wld_bgp_chosen="Exclude")</formula>
    </cfRule>
  </conditionalFormatting>
  <conditionalFormatting sqref="B12:B14">
    <cfRule type="expression" dxfId="1131" priority="1545">
      <formula>AND((wld_bgp_chosen&lt;&gt;"Exclude"),(wld_bgp_result="Included"))</formula>
    </cfRule>
  </conditionalFormatting>
  <conditionalFormatting sqref="B13 D13:E13">
    <cfRule type="expression" dxfId="1130" priority="1490">
      <formula>AND((wld_avi_loadbalancer_chosen&lt;&gt;"Exclude"),(wld_avi_loadbalancer_result="Excluded"))</formula>
    </cfRule>
    <cfRule type="expression" dxfId="1129" priority="1523">
      <formula>AND((vcf_granular_option_chosen&lt;&gt;"Additional MGMT Cluster"),(wld_avi_loadbalancer_chosen="Include"),(wld_avi_loadbalancer_result="Excluded"))</formula>
    </cfRule>
    <cfRule type="expression" dxfId="1128" priority="1492">
      <formula>AND((wld_avi_loadbalancer_chosen="Include"),(wld_avi_loadbalancer_result="Included"))</formula>
    </cfRule>
    <cfRule type="expression" dxfId="1127" priority="1491">
      <formula>wld_avi_loadbalancer_result="Excluded"</formula>
    </cfRule>
  </conditionalFormatting>
  <conditionalFormatting sqref="B14 D14:E14">
    <cfRule type="expression" dxfId="1126" priority="178">
      <formula>AND((wld_stretched_cluster_chosen="Include"),(wld_stretched_cluster_result="Excluded"))</formula>
    </cfRule>
  </conditionalFormatting>
  <conditionalFormatting sqref="B15">
    <cfRule type="expression" dxfId="1125" priority="1534">
      <formula>(wld_nsxt_federation_chosen="Exclude")</formula>
    </cfRule>
    <cfRule type="expression" dxfId="1124" priority="1535">
      <formula>AND((wld_nsxt_federation_chosen&lt;&gt;"Exclude"),(wld_nsxt_federation_result="Excluded"))</formula>
    </cfRule>
    <cfRule type="expression" dxfId="1123" priority="1536">
      <formula>AND((wld_nsxt_federation_chosen&lt;&gt;"Exclude"),(wld_nsxt_federation_result="Included"))</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notContainsBlanks" dxfId="1121" priority="1354">
      <formula>LEN(TRIM(D20))&gt;0</formula>
    </cfRule>
  </conditionalFormatting>
  <conditionalFormatting sqref="D20:D27 D447 D451:D454 D474:D475 D479:D486 D490:D500 D555:D558 D116:D129 D54:D66 D151 D153 D155:D161 D337 D340:D341 D344:D354 D441:D443 D465:D470 D512:D551 D359 D361:D376 D378:D393 D395:D411 D415:D429 D433:D437 D504:D508 D303:D332 D80:D93 D101:D114 D42:D52 D68:D78 D169:D172 D213:D219 D174:D189 D232:D253 D33 D38:D40 D95:D99 D131:D132 D35:D36 D257:D260 D136:D138 D140:D142 D144:D145 D197:D203 D205:D211 D265:D282 D134 D194:D195 D221:D227 D285:D288 D291:D293 D296:D298">
    <cfRule type="containsBlanks" dxfId="1120" priority="1342">
      <formula>LEN(TRIM(D20))=0</formula>
    </cfRule>
  </conditionalFormatting>
  <conditionalFormatting sqref="D20:D27">
    <cfRule type="expression" dxfId="1119" priority="1339">
      <formula>wld_signed_certs_result="Excluded"</formula>
    </cfRule>
  </conditionalFormatting>
  <conditionalFormatting sqref="D35:D36">
    <cfRule type="expression" dxfId="1118" priority="149" stopIfTrue="1">
      <formula>input_wld_ec_gateway_type="Centralized Connectivity"</formula>
    </cfRule>
    <cfRule type="expression" dxfId="1117" priority="131">
      <formula>wld_bgp_chosen="Exclude"</formula>
    </cfRule>
  </conditionalFormatting>
  <conditionalFormatting sqref="D38:D40 D42:D52 D54:D66 D68:D78 D80:D93 D96:D99 D101:D114 D116:D129">
    <cfRule type="expression" dxfId="1116" priority="52">
      <formula>wld_bgp_chosen="Distributed Connectivity"</formula>
    </cfRule>
  </conditionalFormatting>
  <conditionalFormatting sqref="D46 D72">
    <cfRule type="expression" dxfId="1115" priority="637">
      <formula>wld_ec01_host_group_affinity_rule_chosen="No"</formula>
    </cfRule>
  </conditionalFormatting>
  <conditionalFormatting sqref="D50:D51">
    <cfRule type="expression" dxfId="1114" priority="337">
      <formula>wld_az1_en1_ip_allocation_chosen="DHCP"</formula>
    </cfRule>
  </conditionalFormatting>
  <conditionalFormatting sqref="D54:D66 D101:D114 D116:D129 D80:D93 D38:D40 D42:D52 D68:D78 D96:D99 D33 D131:D132">
    <cfRule type="expression" dxfId="1113" priority="150">
      <formula>wld_bgp_result="Excluded"</formula>
    </cfRule>
  </conditionalFormatting>
  <conditionalFormatting sqref="D58:D66 D84:D91">
    <cfRule type="expression" dxfId="1112" priority="154">
      <formula>wld_ec01_use_host_overlay_chosen="Selected"</formula>
    </cfRule>
  </conditionalFormatting>
  <conditionalFormatting sqref="D60:D62">
    <cfRule type="expression" dxfId="1111" priority="636">
      <formula>wld_az1_en1_edge_overlay_network_ip_allocation_chosen&lt;&gt;"IP Pool"</formula>
    </cfRule>
  </conditionalFormatting>
  <conditionalFormatting sqref="D63:D64 D66">
    <cfRule type="expression" dxfId="1110" priority="788">
      <formula>wld_az1_en1_edge_overlay_network_ip_allocation_chosen&lt;&gt;"Static IP List"</formula>
    </cfRule>
  </conditionalFormatting>
  <conditionalFormatting sqref="D65">
    <cfRule type="expression" dxfId="1109" priority="148">
      <formula>wld_az1_en1_edge_overlay_network_ip_allocation_chosen="DHCP"</formula>
    </cfRule>
  </conditionalFormatting>
  <conditionalFormatting sqref="D76:D77">
    <cfRule type="expression" dxfId="1108" priority="248">
      <formula>wld_az1_en2_ip_allocation_chosen="DHCP"</formula>
    </cfRule>
  </conditionalFormatting>
  <conditionalFormatting sqref="D86">
    <cfRule type="expression" dxfId="1107" priority="231" stopIfTrue="1">
      <formula>wld_az1_en2_edge_overlay_network_ip_allocation_chosen&lt;&gt;"IP Pool"</formula>
    </cfRule>
  </conditionalFormatting>
  <conditionalFormatting sqref="D87:D90">
    <cfRule type="expression" dxfId="1106" priority="639">
      <formula>wld_az1_en2_edge_overlay_network_ip_allocation_chosen&lt;&gt;"Static IP List"</formula>
    </cfRule>
  </conditionalFormatting>
  <conditionalFormatting sqref="D92:D93">
    <cfRule type="expression" dxfId="1105" priority="134">
      <formula>wld_az1_ec01_password_creation_chosen="Selected"</formula>
    </cfRule>
  </conditionalFormatting>
  <conditionalFormatting sqref="D95">
    <cfRule type="expression" dxfId="1104" priority="23">
      <formula>wld_bgp_chosen&lt;&gt;"Centralized Connectivity"</formula>
    </cfRule>
    <cfRule type="expression" dxfId="1103" priority="21">
      <formula>wld_bgp_result="Excluded"</formula>
    </cfRule>
  </conditionalFormatting>
  <conditionalFormatting sqref="D96:D99">
    <cfRule type="expression" dxfId="1102" priority="15">
      <formula>wld_tier0_skip_chosen="Selected"</formula>
    </cfRule>
    <cfRule type="expression" dxfId="1101" priority="14">
      <formula>OR((wld_nsxt_federation_chosen="Standby Global Manager"),(wld_nsxt_federation_chosen="Connect Instance"))</formula>
    </cfRule>
  </conditionalFormatting>
  <conditionalFormatting sqref="D103:D107 D110:D114 D118:D122 D125:D129">
    <cfRule type="expression" dxfId="1100" priority="135">
      <formula>wld_gateway_routing_type_chosen="STATIC"</formula>
    </cfRule>
  </conditionalFormatting>
  <conditionalFormatting sqref="D105">
    <cfRule type="expression" dxfId="1099" priority="638">
      <formula>AND(wld_multi_rack_count_result&lt;&gt;"Excluded",wld_dedicated_edge_cluster_chosen_first&lt;&gt;1,wld_dedicated_edge_cluster_chosen_second&lt;&gt;1)</formula>
    </cfRule>
  </conditionalFormatting>
  <conditionalFormatting sqref="D118 D121:D122 D125 D128:D129">
    <cfRule type="expression" dxfId="1098" priority="805">
      <formula>(mgmt_vns_chosen="VLAN-Backed")</formula>
    </cfRule>
  </conditionalFormatting>
  <conditionalFormatting sqref="D134">
    <cfRule type="expression" dxfId="1097" priority="24">
      <formula>(wld_bgp_chosen="Exclude")</formula>
    </cfRule>
    <cfRule type="expression" dxfId="1096" priority="5267">
      <formula>AND((wld_bgp_chosen&lt;&gt;"Exclude"),(wld_bgp_result="Included"))</formula>
    </cfRule>
    <cfRule type="expression" dxfId="1095" priority="25">
      <formula>$D$134="Exclude"</formula>
    </cfRule>
    <cfRule type="expression" dxfId="1094" priority="37">
      <formula>AND((wld_bgp_chosen&lt;&gt;"Exclude"),(wld_bgp_result="Excluded"))</formula>
    </cfRule>
  </conditionalFormatting>
  <conditionalFormatting sqref="D136 D140">
    <cfRule type="expression" dxfId="1093" priority="7">
      <formula>wld_ec_api_chosen="Exclude"</formula>
    </cfRule>
  </conditionalFormatting>
  <conditionalFormatting sqref="D136:D138">
    <cfRule type="expression" dxfId="1092" priority="67">
      <formula>AND(wld_multi_rack_count_result&lt;&gt;"Excluded",wld_dedicated_edge_cluster_chosen_first&lt;&gt;1,wld_dedicated_edge_cluster_chosen_second&lt;&gt;1)</formula>
    </cfRule>
    <cfRule type="expression" dxfId="1091" priority="73">
      <formula>OR((wld_domain_result="Excluded"),(wld_bgp_result="Excluded"))</formula>
    </cfRule>
  </conditionalFormatting>
  <conditionalFormatting sqref="D137:D138 D141:D142 D144:D145">
    <cfRule type="expression" dxfId="1090" priority="1">
      <formula>wld_bgp_chosen="Distributed Connectivity"</formula>
    </cfRule>
  </conditionalFormatting>
  <conditionalFormatting sqref="D140:D142">
    <cfRule type="expression" dxfId="1089" priority="62">
      <formula>OR((wld_domain_result="Excluded"),(wld_bgp_result="Excluded"))</formula>
    </cfRule>
  </conditionalFormatting>
  <conditionalFormatting sqref="D143">
    <cfRule type="expression" dxfId="1088" priority="115">
      <formula>input_mgmt_principal_storage_chosen="VMFS on Fibre Channel (FC)"</formula>
    </cfRule>
    <cfRule type="expression" dxfId="1087" priority="116">
      <formula>mgmt_domain_existing_vcenter_chosen="Selected"</formula>
    </cfRule>
    <cfRule type="notContainsBlanks" dxfId="1085" priority="118">
      <formula>LEN(TRIM(D143))&gt;0</formula>
    </cfRule>
    <cfRule type="containsBlanks" dxfId="1084" priority="119">
      <formula>LEN(TRIM(D143))=0</formula>
    </cfRule>
  </conditionalFormatting>
  <conditionalFormatting sqref="D144:D145">
    <cfRule type="expression" dxfId="1083" priority="57">
      <formula>OR((wld_domain_result="Excluded"),(wld_bgp_result="Excluded"))</formula>
    </cfRule>
  </conditionalFormatting>
  <conditionalFormatting sqref="D151 D153 D155:D161 D163">
    <cfRule type="expression" dxfId="1082" priority="728">
      <formula>wld_avi_loadbalancer_result="Excluded"</formula>
    </cfRule>
  </conditionalFormatting>
  <conditionalFormatting sqref="D169:D172 D174:D189 D194:D195 D197:D203 D205:D211 D213:D219 D221:D227 D232:D253 D285:D288 D291:D293 D296:D298 D303:D332 D258">
    <cfRule type="expression" dxfId="1081" priority="12">
      <formula>OR((wld_domain_result="Excluded"),(wld_stretched_cluster_result="Excluded"))</formula>
    </cfRule>
  </conditionalFormatting>
  <conditionalFormatting sqref="D169:D172">
    <cfRule type="expression" dxfId="1080" priority="229">
      <formula>wld_multi_rack_count_result&lt;&gt;"Excluded"</formula>
    </cfRule>
  </conditionalFormatting>
  <conditionalFormatting sqref="D174:D189">
    <cfRule type="expression" dxfId="1079" priority="153">
      <formula>wld_multi_rack_count_result&lt;&gt;"Excluded"</formula>
    </cfRule>
  </conditionalFormatting>
  <conditionalFormatting sqref="D197:D203 D205:D211 D213:D219">
    <cfRule type="expression" dxfId="1078" priority="51">
      <formula>wld_az2_reuse_vcf_networkpool_chosen="Re-use an existing VCF Network Pool"</formula>
    </cfRule>
  </conditionalFormatting>
  <conditionalFormatting sqref="D204">
    <cfRule type="expression" dxfId="1077" priority="327">
      <formula>input_mgmt_principal_storage_chosen="VMFS on Fibre Channel (FC)"</formula>
    </cfRule>
    <cfRule type="expression" dxfId="1076" priority="328">
      <formula>mgmt_domain_existing_vcenter_chosen="Selected"</formula>
    </cfRule>
    <cfRule type="containsBlanks" dxfId="1074" priority="330">
      <formula>LEN(TRIM(D204))=0</formula>
    </cfRule>
    <cfRule type="notContainsBlanks" dxfId="1073" priority="331">
      <formula>LEN(TRIM(D204))&gt;0</formula>
    </cfRule>
  </conditionalFormatting>
  <conditionalFormatting sqref="D205:D211">
    <cfRule type="expression" dxfId="1072" priority="13">
      <formula>AND((wld_principal_storage_chosen&lt;&gt;"vSAN-ESA"),(wld_principal_storage_chosen&lt;&gt;"vSAN-OSA"))</formula>
    </cfRule>
  </conditionalFormatting>
  <conditionalFormatting sqref="D213:D219">
    <cfRule type="expression" dxfId="1071" priority="168">
      <formula>OR((wld_domain_result="Excluded"),(wld_stretched_cluster_result="Excluded"),(wld_secondary_storage_result="Excluded"))</formula>
    </cfRule>
  </conditionalFormatting>
  <conditionalFormatting sqref="D221:D227">
    <cfRule type="expression" dxfId="1070" priority="9">
      <formula>wld_principal_storage_chosen&lt;&gt;"vSAN Storage Cluster"</formula>
    </cfRule>
  </conditionalFormatting>
  <conditionalFormatting sqref="D248:D253">
    <cfRule type="expression" dxfId="1069" priority="152">
      <formula>wld_domain_result="Excluded"</formula>
    </cfRule>
  </conditionalFormatting>
  <conditionalFormatting sqref="D255">
    <cfRule type="expression" dxfId="1068" priority="145">
      <formula>mgmt_domain_existing_vcenter_chosen="Selected"</formula>
    </cfRule>
  </conditionalFormatting>
  <conditionalFormatting sqref="D257">
    <cfRule type="expression" dxfId="1067" priority="121">
      <formula>wld_multi_rack_count_result&lt;&gt;"Excluded"</formula>
    </cfRule>
    <cfRule type="expression" dxfId="1066" priority="130">
      <formula>OR((wld_domain_result="Excluded"),(wld_stretched_cluster_result="Excluded"))</formula>
    </cfRule>
  </conditionalFormatting>
  <conditionalFormatting sqref="D257:D260">
    <cfRule type="expression" dxfId="1065" priority="78">
      <formula>mgmt_domain_deployment_type_chosen="VMware vSphere Foundation"</formula>
    </cfRule>
  </conditionalFormatting>
  <conditionalFormatting sqref="D259">
    <cfRule type="expression" dxfId="1064" priority="86">
      <formula>wld_multi_rack_count_result&lt;&gt;"Excluded"</formula>
    </cfRule>
    <cfRule type="expression" dxfId="1063" priority="120">
      <formula>OR((wld_domain_result="Excluded"),(wld_stretched_cluster_result="Excluded"))</formula>
    </cfRule>
  </conditionalFormatting>
  <conditionalFormatting sqref="D260">
    <cfRule type="expression" dxfId="1062" priority="85">
      <formula>OR((wld_domain_result="Excluded"),(wld_stretched_cluster_result="Excluded"))</formula>
    </cfRule>
  </conditionalFormatting>
  <conditionalFormatting sqref="D265:D282">
    <cfRule type="expression" dxfId="1061" priority="38">
      <formula>OR((wld_domain_result="Excluded"),(wld_stretched_cluster_result="Excluded"))</formula>
    </cfRule>
  </conditionalFormatting>
  <conditionalFormatting sqref="D303:D318">
    <cfRule type="expression" dxfId="1060" priority="643">
      <formula>wld_multi_rack_count_result&lt;&gt;"Excluded"</formula>
    </cfRule>
    <cfRule type="expression" dxfId="1059" priority="647">
      <formula>OR((wld_domain_result="Excluded"),(wld_stretched_cluster_result="Excluded"))</formula>
    </cfRule>
  </conditionalFormatting>
  <conditionalFormatting sqref="D320">
    <cfRule type="expression" dxfId="1058" priority="48" stopIfTrue="1">
      <formula>wld_domain_result="Excluded"</formula>
    </cfRule>
    <cfRule type="expression" dxfId="1057" priority="50">
      <formula>wld_multirack_result="Included"</formula>
    </cfRule>
    <cfRule type="expression" dxfId="1056" priority="42">
      <formula>wld_domain_chosen="Import Workload Domain"</formula>
    </cfRule>
    <cfRule type="expression" dxfId="1055" priority="44" stopIfTrue="1">
      <formula>wld_domain_result="Excluded"</formula>
    </cfRule>
    <cfRule type="expression" dxfId="1054" priority="46">
      <formula>wld_host_overlay_addressing_chosen="DHCP"</formula>
    </cfRule>
  </conditionalFormatting>
  <conditionalFormatting sqref="D324:D328">
    <cfRule type="expression" dxfId="1053" priority="53">
      <formula>wld_multi_rack_count_result&lt;&gt;"Excluded"</formula>
    </cfRule>
  </conditionalFormatting>
  <conditionalFormatting sqref="D327:D328">
    <cfRule type="expression" dxfId="1052" priority="161">
      <formula>OR((wld_domain_result="Excluded"),(wld_stretched_cluster_result="Excluded"),(wld_host_overlay_addressing_chosen&lt;&gt;"Static IP Pool"))</formula>
    </cfRule>
  </conditionalFormatting>
  <conditionalFormatting sqref="D337 D340:D341 D344:D354">
    <cfRule type="expression" dxfId="1051" priority="727">
      <formula>OR((wld_domain_result="Excluded"),(wld_stretched_cluster_result="Excluded"),(wld_bgp_chosen&lt;&gt;"Centralized Connectivity"))</formula>
    </cfRule>
  </conditionalFormatting>
  <conditionalFormatting sqref="D359 D361:D376 D378:D393 D395:D411 D415:D429 D433:D437 D441:D443 D452 D454 D458:D461 D474:D475 D479:D486 D504:D508">
    <cfRule type="expression" dxfId="1050" priority="666" stopIfTrue="1">
      <formula>OR((wld_nsxt_federation_result="Excluded"),(wld_nsxt_federation_chosen="Connect Instance"))</formula>
    </cfRule>
  </conditionalFormatting>
  <conditionalFormatting sqref="D442:D443">
    <cfRule type="expression" dxfId="1049" priority="709">
      <formula>OR((wld_domain_result="Excluded"),(wld_nsxt_federation_result="Excluded"),(wld_nsxt_federation_chosen="Connect Instance"))</formula>
    </cfRule>
  </conditionalFormatting>
  <conditionalFormatting sqref="D447">
    <cfRule type="expression" dxfId="1048" priority="1336">
      <formula>OR((wld_nsxt_federation_result="Excluded"),(wld_nsxt_federation_chosen="Connect Instance"),(wld_signed_certs_result="Excluded"))</formula>
    </cfRule>
  </conditionalFormatting>
  <conditionalFormatting sqref="D451:D454">
    <cfRule type="expression" dxfId="1047" priority="1333">
      <formula>OR((wld_nsxt_federation_result="Excluded"),(wld_nsxt_federation_chosen="Connect Instance"),(wld_signed_certs_result="Excluded"))</formula>
    </cfRule>
  </conditionalFormatting>
  <conditionalFormatting sqref="D458:D461 D20:D27 D33 D35:D36 D38:D40 D42:D52 D54:D66 D68:D78 D80:D93 D96:D99 D101:D114 D116:D129 D131:D132 D151 D153 D155:D161 D169:D172 D174:D189 D194:D195 D197:D203 D205:D211 D213:D219 D221:D227 D232:D253 D265 D267:D282 D285:D288 D291:D293 D296:D298 D303:D332 D337 D340:D341 D344:D354 D359 D361:D376 D378:D393 D395:D411 D415:D429 D433:D437 D441:D443 D447 D451:D454 D465:D470 D474:D475 D479:D486 D490:D500 D504:D508 D512:D551 D555:D558">
    <cfRule type="expression" dxfId="1046" priority="10">
      <formula>mgmt_domain_deployment_type_chosen="VMware vSphere Foundation"</formula>
    </cfRule>
  </conditionalFormatting>
  <conditionalFormatting sqref="D458:D461">
    <cfRule type="containsBlanks" dxfId="1045" priority="3">
      <formula>LEN(TRIM(D458))=0</formula>
    </cfRule>
    <cfRule type="notContainsBlanks" dxfId="1043" priority="5">
      <formula>LEN(TRIM(D458))&gt;0</formula>
    </cfRule>
    <cfRule type="expression" dxfId="1042" priority="2">
      <formula>OR((wld_nsxt_federation_result="Excluded"),(wld_nsxt_federation_chosen="Connect Instance"),(wld_signed_certs_result="Excluded"))</formula>
    </cfRule>
    <cfRule type="expression" dxfId="1041" priority="1341">
      <formula>OR((wld_nsxt_federation_result="Excluded"),(wld_nsxt_federation_chosen="Connect Instance"),(wld_signed_certs_result="Excluded"))</formula>
    </cfRule>
  </conditionalFormatting>
  <conditionalFormatting sqref="D465:D470">
    <cfRule type="expression" dxfId="1040" priority="665">
      <formula>OR((wld_domain_result="Excluded"),(wld_nsxt_federation_result="Excluded"))</formula>
    </cfRule>
  </conditionalFormatting>
  <conditionalFormatting sqref="D467:D468">
    <cfRule type="expression" dxfId="1039" priority="648">
      <formula>wld_domain_result="Excluded"</formula>
    </cfRule>
  </conditionalFormatting>
  <conditionalFormatting sqref="D469:D470">
    <cfRule type="expression" dxfId="1038" priority="708">
      <formula>OR((wld_domain_result="Excluded"),(wld_nsxt_federation_result="Excluded"))</formula>
    </cfRule>
    <cfRule type="expression" dxfId="1037" priority="707">
      <formula>AND(wld_multi_rack_count_result&lt;&gt;"Excluded",wld_dedicated_edge_cluster_chosen_first&lt;&gt;1,wld_dedicated_edge_cluster_chosen_second&lt;&gt;1)</formula>
    </cfRule>
  </conditionalFormatting>
  <conditionalFormatting sqref="D474:D475">
    <cfRule type="expression" dxfId="1036" priority="1055">
      <formula>OR((wld_nsxt_federation_result="Excluded"),(wld_nsxt_federation_chosen&lt;&gt;"Active Global Manager"))</formula>
    </cfRule>
  </conditionalFormatting>
  <conditionalFormatting sqref="D479:D486 D490:D500">
    <cfRule type="expression" dxfId="1035" priority="935">
      <formula>OR((wld_nsxt_federation_result="Excluded"),(wld_nsxt_federation_chosen&lt;&gt;"Standby Global Manager"))</formula>
    </cfRule>
  </conditionalFormatting>
  <conditionalFormatting sqref="D512">
    <cfRule type="expression" dxfId="1034" priority="699">
      <formula>wld_domain_result="Excluded"</formula>
    </cfRule>
    <cfRule type="expression" dxfId="1033" priority="701">
      <formula>OR((wld_domain_result="Excluded"),(wld_nsxt_federation_result="Excluded"))</formula>
    </cfRule>
  </conditionalFormatting>
  <conditionalFormatting sqref="D512:D551">
    <cfRule type="expression" dxfId="1032" priority="41">
      <formula>OR((wld_nsxt_federation_result="Excluded"),(wld_nsxt_federation_chosen="Active Global Manager"))</formula>
    </cfRule>
  </conditionalFormatting>
  <conditionalFormatting sqref="D555:D558">
    <cfRule type="expression" dxfId="1031" priority="887">
      <formula>OR((wld_nsxt_federation_result="Excluded"),(wld_nsxt_federation_chosen="Active Global Manager"))</formula>
    </cfRule>
  </conditionalFormatting>
  <conditionalFormatting sqref="D11:E11 B11">
    <cfRule type="expression" dxfId="1030" priority="183">
      <formula>AND((wld_signed_certs_chosen&lt;&gt;"Exclude"),(wld_signed_certs_result="Excluded"))</formula>
    </cfRule>
  </conditionalFormatting>
  <conditionalFormatting sqref="D11:E11">
    <cfRule type="expression" dxfId="1029" priority="1487">
      <formula>(wld_signed_certs_chosen="Exclude")</formula>
    </cfRule>
    <cfRule type="expression" dxfId="1028" priority="1488">
      <formula>AND((wld_signed_certs_chosen="Include"),(wld_signed_certs_result="Excluded"))</formula>
    </cfRule>
    <cfRule type="expression" dxfId="1027" priority="1529">
      <formula>AND((wld_signed_certs_chosen="Include"),(wld_signed_certs_result="Included"))</formula>
    </cfRule>
    <cfRule type="expression" dxfId="1026" priority="1528">
      <formula>AND((vcf_granular_option_chosen="Full Deployment"),(wld_signed_certs_chosen="Include"),(wld_signed_certs_result="Excluded"))</formula>
    </cfRule>
  </conditionalFormatting>
  <conditionalFormatting sqref="D12:E12">
    <cfRule type="expression" dxfId="1025" priority="1537">
      <formula>(wld_bgp_result="Excluded")</formula>
    </cfRule>
    <cfRule type="expression" dxfId="1024" priority="1539">
      <formula>AND((wld_bgp_chosen&lt;&gt;"Exclude"),(wld_bgp_result="Included"))</formula>
    </cfRule>
  </conditionalFormatting>
  <conditionalFormatting sqref="D14:E14 B14">
    <cfRule type="expression" dxfId="1023" priority="1540">
      <formula>(wld_stretched_cluster_chosen="Exclude")</formula>
    </cfRule>
    <cfRule type="expression" dxfId="1022" priority="1543">
      <formula>AND((wld_stretched_cluster_chosen="Include"),(wld_stretched_cluster_result="Included"))</formula>
    </cfRule>
  </conditionalFormatting>
  <conditionalFormatting sqref="D14:E14">
    <cfRule type="expression" dxfId="1021" priority="1541">
      <formula>AND((wld_stretched_cluster_chosen="Include"),(wld_stretched_cluster_result="Excluded"))</formula>
    </cfRule>
    <cfRule type="expression" dxfId="1020" priority="1544">
      <formula>AND((wld_stretched_cluster_chosen="Include"),(wld_stretched_cluster_result="Included"))</formula>
    </cfRule>
  </conditionalFormatting>
  <conditionalFormatting sqref="D15:E15">
    <cfRule type="expression" dxfId="1019" priority="1525">
      <formula>(wld_nsxt_federation_chosen="Exclude")</formula>
    </cfRule>
    <cfRule type="expression" dxfId="1018" priority="1526">
      <formula>AND((wld_nsxt_federation_chosen&lt;&gt;"Exclude"),(wld_nsxt_federation_result="Excluded"))</formula>
    </cfRule>
    <cfRule type="expression" dxfId="1017" priority="1527">
      <formula>AND((wld_nsxt_federation_chosen&lt;&gt;"Exclude"),(wld_nsxt_federation_result="Included"))</formula>
    </cfRule>
  </conditionalFormatting>
  <conditionalFormatting sqref="E14:E15">
    <cfRule type="containsText" dxfId="1015"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20"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64" xr:uid="{F610C192-E65D-4841-85C4-A947DAA7556F}">
      <formula1>"Small,Medium,Large,X-Large"</formula1>
    </dataValidation>
  </dataValidations>
  <hyperlinks>
    <hyperlink ref="B5" location="'Configure Workload Domain'!navigation_apply_signed_certs_wld_domain" display="Apply Signed Certificates" xr:uid="{00000000-0004-0000-0800-000000000000}"/>
    <hyperlink ref="C5" location="'Configure Workload Domain'!navigation_nsx_routing_wld_domain" display="NSX Network Connectivity for the Workload Domain" xr:uid="{00000000-0004-0000-0800-000001000000}"/>
    <hyperlink ref="D5" location="'Configure Workload Domain'!navigation_avi_lb_wld_domain" display="Deploy AVI Loadbalancer " xr:uid="{00000000-0004-0000-0800-000002000000}"/>
    <hyperlink ref="E5" location="'Configure Workload Domain'!navigation_stretched_cluster_wld_domain" display="Stretched Cluster" xr:uid="{00000000-0004-0000-0800-000003000000}"/>
    <hyperlink ref="B7" location="'Configure Workload Domain'!navigation_nsx_federation_for_wld_domain" display="NSX Federation for Workload Domain" xr:uid="{00000000-0004-0000-0800-000004000000}"/>
    <hyperlink ref="E20" location="'Configure Workload Domain'!navigation_apply_signed_certs_mgmt_domain" display="navigation_apply_signed_certs_mgmt_domain" xr:uid="{00000000-0004-0000-0800-000005000000}"/>
    <hyperlink ref="E43" location="'Deploy Workload Domain'!D163" display="Values are set based on vSphere Cluster configuration in the Deploy Workload Domain Tab. Click to Redirect" xr:uid="{00000000-0004-0000-0800-000006000000}"/>
    <hyperlink ref="E47" location="'Deploy Workload Domain'!D199" display="Values are set based on Datastore configuration in the Deploy Workload Domain Tab. Click to Redirect" xr:uid="{00000000-0004-0000-0800-000007000000}"/>
    <hyperlink ref="E49" location="'Deploy Workload Domain'!D250" display="Must be precreated in vCenter, Value is deterimined based on input in Deploy Workload Domain Tab." xr:uid="{00000000-0004-0000-0800-000008000000}"/>
    <hyperlink ref="E51" location="'Deploy Workload Domain'!D332" display="Value is deterimined based on input in Deploy Workload Domain Tab. Click to Redirect" xr:uid="{00000000-0004-0000-0800-000009000000}"/>
    <hyperlink ref="E69" location="'Deploy Workload Domain'!D163" display="Values are set based on vSphere Cluster configuration in the Deploy Workload Domain Tab. Click to Redirect" xr:uid="{00000000-0004-0000-0800-00000A000000}"/>
    <hyperlink ref="E70" location="'Deploy Workload Domain'!L94" display="Values are set based on vSphere Cluster configuration in the Deploy Workload Domain Tab" xr:uid="{00000000-0004-0000-0800-00000B000000}"/>
    <hyperlink ref="E73" location="'Deploy Workload Domain'!D199" display="Values are set based on Datastore configuration in the Deploy Workload Domain Tab. Click to Redirect" xr:uid="{00000000-0004-0000-0800-00000C000000}"/>
    <hyperlink ref="E75" location="'Deploy Workload Domain'!D250" display="Must be precreated in vCenter, Value is deterimined based on input in Deploy Workload Domain Tab." xr:uid="{00000000-0004-0000-0800-00000D000000}"/>
    <hyperlink ref="E77" location="'Deploy Workload Domain'!D332" display="Value is deterimined based on input in Deploy Workload Domain Tab. Click to Redirect" xr:uid="{00000000-0004-0000-0800-00000E000000}"/>
    <hyperlink ref="E480" location="'VI Workload Domain'!input_wld_nsxt_gm_fingerprint" display="Note: Click this cell to redirect to the location for storing this output" xr:uid="{00000000-0004-0000-0800-00000F000000}"/>
    <hyperlink ref="E491" location="'VI Workload Domain'!input_wld_nsxt_lm_fingerprint" display="Note: Click this cell to redirect to the location for storing this output" xr:uid="{00000000-0004-0000-0800-000010000000}"/>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Missing",D458)))</xm:f>
            <xm:f>"Value Missing"</xm:f>
            <x14:dxf>
              <fill>
                <patternFill>
                  <bgColor rgb="FFFFBE29"/>
                </patternFill>
              </fill>
            </x14:dxf>
          </x14:cfRule>
          <xm:sqref>D458:D461</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41"/>
  <sheetViews>
    <sheetView showGridLines="0" workbookViewId="0">
      <pane ySplit="4" topLeftCell="A5" activePane="bottomLeft" state="frozen"/>
      <selection pane="bottomLeft"/>
    </sheetView>
  </sheetViews>
  <sheetFormatPr defaultColWidth="10.875" defaultRowHeight="15" x14ac:dyDescent="0.2"/>
  <cols>
    <col min="1" max="1" width="2.875" style="8" customWidth="1"/>
    <col min="2" max="2" width="75.875" style="8" customWidth="1"/>
    <col min="3" max="4" width="75.875" style="2" customWidth="1"/>
    <col min="5" max="5" width="125.875" style="2" customWidth="1"/>
    <col min="6" max="10" width="10.875" style="8" customWidth="1"/>
    <col min="11" max="16384" width="10.875" style="8"/>
  </cols>
  <sheetData>
    <row r="1" spans="1:10" s="2" customFormat="1" ht="15.95" customHeight="1" x14ac:dyDescent="0.2">
      <c r="A1" s="1"/>
      <c r="F1" s="8"/>
      <c r="G1" s="8"/>
      <c r="H1" s="8"/>
      <c r="I1" s="8"/>
      <c r="J1" s="8"/>
    </row>
    <row r="2" spans="1:10" s="2" customFormat="1" ht="54" customHeight="1" x14ac:dyDescent="0.2">
      <c r="B2" s="546" t="s">
        <v>1542</v>
      </c>
      <c r="C2" s="547"/>
      <c r="D2" s="547"/>
      <c r="E2" s="548"/>
      <c r="F2" s="8"/>
      <c r="G2" s="8"/>
      <c r="H2" s="8"/>
      <c r="I2" s="8"/>
      <c r="J2" s="8"/>
    </row>
    <row r="3" spans="1:10" s="2" customFormat="1" ht="20.100000000000001" customHeight="1" x14ac:dyDescent="0.2">
      <c r="B3" s="549" t="s">
        <v>1188</v>
      </c>
      <c r="C3" s="550"/>
      <c r="D3" s="550"/>
      <c r="E3" s="551"/>
      <c r="F3" s="8"/>
      <c r="G3" s="8"/>
      <c r="H3" s="8"/>
      <c r="I3" s="8"/>
      <c r="J3" s="8"/>
    </row>
    <row r="4" spans="1:10" s="2" customFormat="1" x14ac:dyDescent="0.25">
      <c r="B4" s="2" t="s">
        <v>1413</v>
      </c>
      <c r="D4" s="10"/>
      <c r="E4" s="3"/>
      <c r="F4" s="3"/>
    </row>
    <row r="6" spans="1:10" ht="33.950000000000003" customHeight="1" x14ac:dyDescent="0.2">
      <c r="B6" s="377" t="s">
        <v>1543</v>
      </c>
      <c r="C6" s="378"/>
      <c r="D6" s="378"/>
      <c r="E6" s="396"/>
    </row>
    <row r="7" spans="1:10" ht="20.100000000000001" customHeight="1" x14ac:dyDescent="0.2">
      <c r="B7" s="157" t="s">
        <v>1544</v>
      </c>
      <c r="C7" s="158" t="s">
        <v>38</v>
      </c>
      <c r="D7" s="158" t="s">
        <v>125</v>
      </c>
      <c r="E7" s="158" t="s">
        <v>126</v>
      </c>
    </row>
    <row r="8" spans="1:10" ht="20.100000000000001" customHeight="1" x14ac:dyDescent="0.2">
      <c r="B8" s="79" t="s">
        <v>1545</v>
      </c>
      <c r="C8" s="255" t="s">
        <v>1546</v>
      </c>
      <c r="D8" s="256"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57"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100000000000001" customHeight="1" x14ac:dyDescent="0.2">
      <c r="A9" s="120"/>
      <c r="B9" s="254" t="s">
        <v>228</v>
      </c>
      <c r="C9" s="255" t="s">
        <v>1191</v>
      </c>
      <c r="D9" s="112"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337"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100000000000001" customHeight="1" x14ac:dyDescent="0.2">
      <c r="B10" s="254" t="s">
        <v>228</v>
      </c>
      <c r="C10" s="362" t="s">
        <v>1192</v>
      </c>
      <c r="D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337"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100000000000001" customHeight="1" x14ac:dyDescent="0.2">
      <c r="B11" s="79" t="s">
        <v>368</v>
      </c>
      <c r="C11" s="255" t="s">
        <v>1194</v>
      </c>
      <c r="D11" s="77" t="str">
        <f>IF((cluster_result="Excluded"),"Excluded",
IF(AND(cluster_chosen="Deploy a Multi-Rack Layer 3 Cluster",AND(cluster_principal_storage_chosen&lt;&gt;"vSAN-ESA",cluster_principal_storage_chosen&lt;&gt;"vSAN-OSA",cluster_principal_storage_chosen&lt;&gt;"vSAN Compute Cluster")),"Excluded","Included"))</f>
        <v>Excluded</v>
      </c>
      <c r="E11" s="253"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100000000000001" customHeight="1" x14ac:dyDescent="0.2">
      <c r="B12" s="79" t="s">
        <v>228</v>
      </c>
      <c r="C12" s="362" t="s">
        <v>1547</v>
      </c>
      <c r="D12" s="77"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12"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100000000000001" customHeight="1" x14ac:dyDescent="0.2">
      <c r="B13" s="79" t="s">
        <v>704</v>
      </c>
      <c r="C13" s="362" t="s">
        <v>1195</v>
      </c>
      <c r="D13" s="77" t="str">
        <f>IF((cluster_result="Excluded"),"Excluded","Included")</f>
        <v>Excluded</v>
      </c>
      <c r="E13" s="112"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100000000000001" customHeight="1" x14ac:dyDescent="0.2">
      <c r="B14" s="299" t="s">
        <v>228</v>
      </c>
      <c r="C14" s="362" t="s">
        <v>507</v>
      </c>
      <c r="D14" s="247" t="str">
        <f>IF(cluster_chosen="Deploy a Multi-Rack Layer 3 Cluster","Excluded",
IF(cluster_stretched_cluster_chosen="Exclude","Excluded","Included"))</f>
        <v>Excluded</v>
      </c>
      <c r="E14" s="274"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5.95" customHeight="1" x14ac:dyDescent="0.2"/>
    <row r="16" spans="1:10" ht="33.950000000000003" customHeight="1" x14ac:dyDescent="0.2">
      <c r="B16" s="505" t="s">
        <v>1199</v>
      </c>
      <c r="C16" s="506"/>
      <c r="D16" s="506"/>
      <c r="E16" s="507"/>
    </row>
    <row r="17" spans="2:5" ht="20.100000000000001" customHeight="1" x14ac:dyDescent="0.2">
      <c r="B17" s="346" t="s">
        <v>37</v>
      </c>
      <c r="C17" s="346" t="s">
        <v>276</v>
      </c>
      <c r="D17" s="346" t="s">
        <v>277</v>
      </c>
      <c r="E17" s="346" t="s">
        <v>5</v>
      </c>
    </row>
    <row r="18" spans="2:5" ht="20.100000000000001" customHeight="1" x14ac:dyDescent="0.2">
      <c r="B18" s="405" t="s">
        <v>354</v>
      </c>
      <c r="C18" s="406"/>
      <c r="D18" s="406"/>
      <c r="E18" s="407"/>
    </row>
    <row r="19" spans="2:5" ht="20.100000000000001" customHeight="1" x14ac:dyDescent="0.2">
      <c r="B19" s="4" t="s">
        <v>259</v>
      </c>
      <c r="C19" s="80"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347"/>
      <c r="E19" s="93"/>
    </row>
    <row r="20" spans="2:5" ht="15.95" customHeight="1" x14ac:dyDescent="0.2"/>
    <row r="21" spans="2:5" ht="33.950000000000003" customHeight="1" x14ac:dyDescent="0.2">
      <c r="B21" s="505" t="s">
        <v>1228</v>
      </c>
      <c r="C21" s="506"/>
      <c r="D21" s="506"/>
      <c r="E21" s="507"/>
    </row>
    <row r="22" spans="2:5" ht="20.100000000000001" customHeight="1" x14ac:dyDescent="0.2">
      <c r="B22" s="346" t="s">
        <v>37</v>
      </c>
      <c r="C22" s="346" t="s">
        <v>276</v>
      </c>
      <c r="D22" s="346" t="s">
        <v>277</v>
      </c>
      <c r="E22" s="346" t="s">
        <v>5</v>
      </c>
    </row>
    <row r="23" spans="2:5" ht="20.100000000000001" customHeight="1" x14ac:dyDescent="0.2">
      <c r="B23" s="405" t="s">
        <v>397</v>
      </c>
      <c r="C23" s="406"/>
      <c r="D23" s="406"/>
      <c r="E23" s="407"/>
    </row>
    <row r="24" spans="2:5" ht="20.100000000000001" customHeight="1" x14ac:dyDescent="0.2">
      <c r="B24" s="4" t="s">
        <v>398</v>
      </c>
      <c r="C24" s="80" t="str">
        <f>IF(cluster_wld_domain_chosen="VI Workload Domain",CONCATENATE(prefix_wld_az1_vlan,"11"),CONCATENATE(prefix_mgmt_az1_vlan,"11"))</f>
        <v>1311</v>
      </c>
      <c r="D24" s="347"/>
      <c r="E24" s="93"/>
    </row>
    <row r="25" spans="2:5" ht="20.100000000000001" customHeight="1" x14ac:dyDescent="0.2">
      <c r="B25" s="4" t="s">
        <v>399</v>
      </c>
      <c r="C25" s="80" t="str">
        <f>IF(cluster_wld_domain_chosen="VI Workload Domain",CONCATENATE(prefix_wld_az1_cidr,"11.1"),CONCATENATE(prefix_mgmt_az1_cidr,"11.1"))</f>
        <v>10.13.11.1</v>
      </c>
      <c r="D25" s="347"/>
      <c r="E25" s="337"/>
    </row>
    <row r="26" spans="2:5" ht="20.100000000000001" customHeight="1" x14ac:dyDescent="0.2">
      <c r="B26" s="4" t="s">
        <v>400</v>
      </c>
      <c r="C26" s="80" t="str">
        <f>IF(cluster_wld_domain_chosen="VI Workload Domain",CONCATENATE(prefix_wld_az1_cidr,"11.0/24"),CONCATENATE(prefix_mgmt_az1_cidr,"11.0/24"))</f>
        <v>10.13.11.0/24</v>
      </c>
      <c r="D26" s="347"/>
      <c r="E26" s="337"/>
    </row>
    <row r="27" spans="2:5" ht="20.100000000000001" customHeight="1" x14ac:dyDescent="0.2">
      <c r="B27" s="4" t="s">
        <v>401</v>
      </c>
      <c r="C27" s="80">
        <v>1500</v>
      </c>
      <c r="D27" s="347"/>
      <c r="E27" s="337"/>
    </row>
    <row r="28" spans="2:5" ht="20.100000000000001" customHeight="1" x14ac:dyDescent="0.2">
      <c r="B28" s="508" t="s">
        <v>476</v>
      </c>
      <c r="C28" s="509"/>
      <c r="D28" s="509"/>
      <c r="E28" s="510"/>
    </row>
    <row r="29" spans="2:5" ht="20.100000000000001" customHeight="1" x14ac:dyDescent="0.2">
      <c r="B29" s="17" t="s">
        <v>686</v>
      </c>
      <c r="C29" s="89" t="str">
        <f>IF(cluster_wld_domain_chosen="VI Workload Domain",CONCATENATE(prefix_wld_az1_cidr,"11.101"),CONCATENATE(prefix_mgmt_az1_cidr,"11.101"))</f>
        <v>10.13.11.101</v>
      </c>
      <c r="D29" s="347"/>
      <c r="E29" s="132" t="s">
        <v>477</v>
      </c>
    </row>
    <row r="30" spans="2:5" ht="20.100000000000001" customHeight="1" x14ac:dyDescent="0.2">
      <c r="B30" s="17" t="s">
        <v>687</v>
      </c>
      <c r="C30" s="89" t="str">
        <f>IF(cluster_wld_domain_chosen="VI Workload Domain",CONCATENATE(prefix_wld_az1_cidr,"11.102"),CONCATENATE(prefix_mgmt_az1_cidr,"11.102"))</f>
        <v>10.13.11.102</v>
      </c>
      <c r="D30" s="347"/>
      <c r="E30" s="132" t="s">
        <v>478</v>
      </c>
    </row>
    <row r="31" spans="2:5" ht="20.100000000000001" customHeight="1" x14ac:dyDescent="0.2">
      <c r="B31" s="17" t="s">
        <v>688</v>
      </c>
      <c r="C31" s="89" t="str">
        <f>IF(cluster_wld_domain_chosen="VI Workload Domain",CONCATENATE(prefix_wld_az1_cidr,"11.103"),CONCATENATE(prefix_mgmt_az1_cidr,"11.103"))</f>
        <v>10.13.11.103</v>
      </c>
      <c r="D31" s="347"/>
      <c r="E31" s="132" t="s">
        <v>479</v>
      </c>
    </row>
    <row r="32" spans="2:5" ht="20.100000000000001" customHeight="1" x14ac:dyDescent="0.2">
      <c r="B32" s="17" t="s">
        <v>689</v>
      </c>
      <c r="C32" s="89" t="str">
        <f>IF(cluster_wld_domain_chosen="VI Workload Domain",CONCATENATE(prefix_wld_az1_cidr,"11.104"),CONCATENATE(prefix_mgmt_az1_cidr,"11.104"))</f>
        <v>10.13.11.104</v>
      </c>
      <c r="D32" s="347"/>
      <c r="E32" s="132" t="s">
        <v>480</v>
      </c>
    </row>
    <row r="33" spans="2:5" ht="20.100000000000001" customHeight="1" x14ac:dyDescent="0.2">
      <c r="B33" s="17" t="s">
        <v>690</v>
      </c>
      <c r="C33" s="89" t="str">
        <f>IF(cluster_wld_domain_chosen="VI Workload Domain",CONCATENATE(prefix_wld_az1_cidr,"11.105"),CONCATENATE(prefix_mgmt_az1_cidr,"11.105"))</f>
        <v>10.13.11.105</v>
      </c>
      <c r="D33" s="347"/>
      <c r="E33" s="132" t="s">
        <v>481</v>
      </c>
    </row>
    <row r="34" spans="2:5" ht="20.100000000000001" customHeight="1" x14ac:dyDescent="0.2">
      <c r="B34" s="17" t="s">
        <v>691</v>
      </c>
      <c r="C34" s="89" t="str">
        <f>IF(cluster_wld_domain_chosen="VI Workload Domain",CONCATENATE(prefix_wld_az1_cidr,"11.106"),CONCATENATE(prefix_mgmt_az1_cidr,"11.106"))</f>
        <v>10.13.11.106</v>
      </c>
      <c r="D34" s="347"/>
      <c r="E34" s="132" t="s">
        <v>482</v>
      </c>
    </row>
    <row r="35" spans="2:5" ht="20.100000000000001" customHeight="1" x14ac:dyDescent="0.2">
      <c r="B35" s="17" t="s">
        <v>692</v>
      </c>
      <c r="C35" s="89" t="str">
        <f>IF(cluster_wld_domain_chosen="VI Workload Domain",CONCATENATE(prefix_wld_az1_cidr,"11.107"),CONCATENATE(prefix_mgmt_az1_cidr,"11.107"))</f>
        <v>10.13.11.107</v>
      </c>
      <c r="D35" s="347"/>
      <c r="E35" s="132" t="s">
        <v>483</v>
      </c>
    </row>
    <row r="36" spans="2:5" ht="20.100000000000001" customHeight="1" x14ac:dyDescent="0.2">
      <c r="B36" s="17" t="s">
        <v>693</v>
      </c>
      <c r="C36" s="89" t="str">
        <f>IF(cluster_wld_domain_chosen="VI Workload Domain",CONCATENATE(prefix_wld_az1_cidr,"11.108"),CONCATENATE(prefix_mgmt_az1_cidr,"11.108"))</f>
        <v>10.13.11.108</v>
      </c>
      <c r="D36" s="347"/>
      <c r="E36" s="132" t="s">
        <v>484</v>
      </c>
    </row>
    <row r="37" spans="2:5" ht="20.100000000000001" customHeight="1" x14ac:dyDescent="0.2">
      <c r="B37" s="17" t="s">
        <v>694</v>
      </c>
      <c r="C37" s="89" t="str">
        <f>IF(cluster_wld_domain_chosen="VI Workload Domain",CONCATENATE(prefix_wld_az1_cidr,"11.109"),CONCATENATE(prefix_mgmt_az1_cidr,"11.109"))</f>
        <v>10.13.11.109</v>
      </c>
      <c r="D37" s="347"/>
      <c r="E37" s="132" t="s">
        <v>485</v>
      </c>
    </row>
    <row r="38" spans="2:5" ht="20.100000000000001" customHeight="1" x14ac:dyDescent="0.2">
      <c r="B38" s="17" t="s">
        <v>695</v>
      </c>
      <c r="C38" s="89" t="str">
        <f>IF(cluster_wld_domain_chosen="VI Workload Domain",CONCATENATE(prefix_wld_az1_cidr,"11.110"),CONCATENATE(prefix_mgmt_az1_cidr,"11.110"))</f>
        <v>10.13.11.110</v>
      </c>
      <c r="D38" s="347"/>
      <c r="E38" s="132" t="s">
        <v>486</v>
      </c>
    </row>
    <row r="39" spans="2:5" ht="20.100000000000001" customHeight="1" x14ac:dyDescent="0.2">
      <c r="B39" s="17" t="s">
        <v>696</v>
      </c>
      <c r="C39" s="89" t="str">
        <f>IF(cluster_wld_domain_chosen="VI Workload Domain",CONCATENATE(prefix_wld_az1_cidr,"11.111"),CONCATENATE(prefix_mgmt_az1_cidr,"11.111"))</f>
        <v>10.13.11.111</v>
      </c>
      <c r="D39" s="347"/>
      <c r="E39" s="132" t="s">
        <v>487</v>
      </c>
    </row>
    <row r="40" spans="2:5" ht="20.100000000000001" customHeight="1" x14ac:dyDescent="0.2">
      <c r="B40" s="17" t="s">
        <v>697</v>
      </c>
      <c r="C40" s="89" t="str">
        <f>IF(cluster_wld_domain_chosen="VI Workload Domain",CONCATENATE(prefix_wld_az1_cidr,"11.112"),CONCATENATE(prefix_mgmt_az1_cidr,"11.112"))</f>
        <v>10.13.11.112</v>
      </c>
      <c r="D40" s="347"/>
      <c r="E40" s="132" t="s">
        <v>488</v>
      </c>
    </row>
    <row r="41" spans="2:5" ht="20.100000000000001" customHeight="1" x14ac:dyDescent="0.2">
      <c r="B41" s="17" t="s">
        <v>698</v>
      </c>
      <c r="C41" s="89" t="str">
        <f>IF(cluster_wld_domain_chosen="VI Workload Domain",CONCATENATE(prefix_wld_az1_cidr,"11.113"),CONCATENATE(prefix_mgmt_az1_cidr,"11.113"))</f>
        <v>10.13.11.113</v>
      </c>
      <c r="D41" s="347"/>
      <c r="E41" s="132" t="s">
        <v>489</v>
      </c>
    </row>
    <row r="42" spans="2:5" ht="20.100000000000001" customHeight="1" x14ac:dyDescent="0.2">
      <c r="B42" s="17" t="s">
        <v>699</v>
      </c>
      <c r="C42" s="89" t="str">
        <f>IF(cluster_wld_domain_chosen="VI Workload Domain",CONCATENATE(prefix_wld_az1_cidr,"11.114"),CONCATENATE(prefix_mgmt_az1_cidr,"11.114"))</f>
        <v>10.13.11.114</v>
      </c>
      <c r="D42" s="347"/>
      <c r="E42" s="132" t="s">
        <v>490</v>
      </c>
    </row>
    <row r="43" spans="2:5" ht="20.100000000000001" customHeight="1" x14ac:dyDescent="0.2">
      <c r="B43" s="17" t="s">
        <v>700</v>
      </c>
      <c r="C43" s="89" t="str">
        <f>IF(cluster_wld_domain_chosen="VI Workload Domain",CONCATENATE(prefix_wld_az1_cidr,"11.115"),CONCATENATE(prefix_mgmt_az1_cidr,"11.115"))</f>
        <v>10.13.11.115</v>
      </c>
      <c r="D43" s="347"/>
      <c r="E43" s="132" t="s">
        <v>491</v>
      </c>
    </row>
    <row r="44" spans="2:5" ht="20.100000000000001" customHeight="1" x14ac:dyDescent="0.2">
      <c r="B44" s="17" t="s">
        <v>701</v>
      </c>
      <c r="C44" s="89" t="str">
        <f>IF(cluster_wld_domain_chosen="VI Workload Domain",CONCATENATE(prefix_wld_az1_cidr,"11.116"),CONCATENATE(prefix_mgmt_az1_cidr,"11.116"))</f>
        <v>10.13.11.116</v>
      </c>
      <c r="D44" s="347"/>
      <c r="E44" s="132" t="s">
        <v>492</v>
      </c>
    </row>
    <row r="45" spans="2:5" ht="15.95" customHeight="1" x14ac:dyDescent="0.2"/>
    <row r="46" spans="2:5" ht="33.950000000000003" customHeight="1" x14ac:dyDescent="0.2">
      <c r="B46" s="505" t="str">
        <f>IF(cluster_az1_reuse_vcf_networkpool_result="Excluded","Create Network Pool","Current Network Pool")</f>
        <v>Create Network Pool</v>
      </c>
      <c r="C46" s="506"/>
      <c r="D46" s="506"/>
      <c r="E46" s="507"/>
    </row>
    <row r="47" spans="2:5" ht="20.100000000000001" customHeight="1" x14ac:dyDescent="0.2">
      <c r="B47" s="346" t="s">
        <v>37</v>
      </c>
      <c r="C47" s="346" t="s">
        <v>276</v>
      </c>
      <c r="D47" s="346" t="s">
        <v>277</v>
      </c>
      <c r="E47" s="346" t="s">
        <v>5</v>
      </c>
    </row>
    <row r="48" spans="2:5" ht="20.100000000000001" customHeight="1" x14ac:dyDescent="0.2">
      <c r="B48" s="17" t="s">
        <v>705</v>
      </c>
      <c r="C48" s="80" t="str">
        <f>IF(cluster_wld_domain_chosen="VI Workload Domain",CONCATENATE(this_instance,"01-w0",wld_domain_number_chosen,"-r01-network-pool-01"),CONCATENATE(this_instance,"01-m01","-r01-network-pool-01"))</f>
        <v>sfo01-w01-r01-network-pool-01</v>
      </c>
      <c r="D48" s="347"/>
      <c r="E48" s="337"/>
    </row>
    <row r="49" spans="2:5" ht="20.100000000000001" customHeight="1" x14ac:dyDescent="0.2">
      <c r="B49" s="405" t="s">
        <v>404</v>
      </c>
      <c r="C49" s="406"/>
      <c r="D49" s="406"/>
      <c r="E49" s="407"/>
    </row>
    <row r="50" spans="2:5" ht="20.100000000000001" customHeight="1" x14ac:dyDescent="0.2">
      <c r="B50" s="4" t="s">
        <v>398</v>
      </c>
      <c r="C50" s="80" t="str">
        <f>IF(cluster_wld_domain_chosen="VI Workload Domain",CONCATENATE(prefix_wld_az1_vlan,"12"),CONCATENATE(prefix_mgmt_az1_vlan,"12"))</f>
        <v>1312</v>
      </c>
      <c r="D50" s="347"/>
      <c r="E50" s="93"/>
    </row>
    <row r="51" spans="2:5" ht="20.100000000000001" customHeight="1" x14ac:dyDescent="0.2">
      <c r="B51" s="4" t="s">
        <v>401</v>
      </c>
      <c r="C51" s="80">
        <v>9000</v>
      </c>
      <c r="D51" s="347"/>
      <c r="E51" s="337"/>
    </row>
    <row r="52" spans="2:5" ht="20.100000000000001" customHeight="1" x14ac:dyDescent="0.2">
      <c r="B52" s="4" t="s">
        <v>400</v>
      </c>
      <c r="C52" s="80" t="str">
        <f>IF(cluster_wld_domain_chosen="VI Workload Domain",CONCATENATE(prefix_wld_az1_cidr,"12.0"),CONCATENATE(prefix_mgmt_az1_cidr,"12.0"))</f>
        <v>10.13.12.0</v>
      </c>
      <c r="D52" s="347"/>
      <c r="E52" s="337"/>
    </row>
    <row r="53" spans="2:5" ht="20.100000000000001" customHeight="1" x14ac:dyDescent="0.2">
      <c r="B53" s="4" t="s">
        <v>732</v>
      </c>
      <c r="C53" s="80" t="s">
        <v>612</v>
      </c>
      <c r="D53" s="347"/>
      <c r="E53" s="337"/>
    </row>
    <row r="54" spans="2:5" ht="20.100000000000001" customHeight="1" x14ac:dyDescent="0.2">
      <c r="B54" s="4" t="s">
        <v>399</v>
      </c>
      <c r="C54" s="80" t="str">
        <f>IF(cluster_wld_domain_chosen="VI Workload Domain",CONCATENATE(prefix_wld_az1_cidr,"12.1"),CONCATENATE(prefix_mgmt_az1_cidr,"12.1"))</f>
        <v>10.13.12.1</v>
      </c>
      <c r="D54" s="347"/>
      <c r="E54" s="337"/>
    </row>
    <row r="55" spans="2:5" ht="20.100000000000001" customHeight="1" x14ac:dyDescent="0.2">
      <c r="B55" s="17" t="s">
        <v>460</v>
      </c>
      <c r="C55" s="80" t="str">
        <f>IF(cluster_wld_domain_chosen="VI Workload Domain",CONCATENATE(prefix_wld_az1_cidr,"12.101"),CONCATENATE(prefix_mgmt_az1_cidr,"12.101"))</f>
        <v>10.13.12.101</v>
      </c>
      <c r="D55" s="347"/>
      <c r="E55" s="337"/>
    </row>
    <row r="56" spans="2:5" ht="20.100000000000001" customHeight="1" x14ac:dyDescent="0.2">
      <c r="B56" s="17" t="s">
        <v>461</v>
      </c>
      <c r="C56" s="80" t="str">
        <f>IF(cluster_wld_domain_chosen="VI Workload Domain",CONCATENATE(prefix_wld_az1_cidr,"12.116"),CONCATENATE(prefix_mgmt_az1_cidr,"12.116"))</f>
        <v>10.13.12.116</v>
      </c>
      <c r="D56" s="347"/>
      <c r="E56" s="337"/>
    </row>
    <row r="57" spans="2:5" ht="20.100000000000001" customHeight="1" x14ac:dyDescent="0.2">
      <c r="B57" s="405" t="str">
        <f>IF(cluster_principal_storage_chosen="NFSv3","NFS Network","vSAN Network")</f>
        <v>vSAN Network</v>
      </c>
      <c r="C57" s="406"/>
      <c r="D57" s="406"/>
      <c r="E57" s="407"/>
    </row>
    <row r="58" spans="2:5" ht="20.100000000000001" customHeight="1" x14ac:dyDescent="0.2">
      <c r="B58" s="4" t="s">
        <v>398</v>
      </c>
      <c r="C58" s="80" t="str">
        <f>IF(cluster_wld_domain_chosen="VI Workload Domain",CONCATENATE(prefix_wld_az1_vlan,"13"),CONCATENATE(prefix_mgmt_az1_vlan,"13"))</f>
        <v>1313</v>
      </c>
      <c r="D58" s="148"/>
      <c r="E58" s="337"/>
    </row>
    <row r="59" spans="2:5" ht="20.100000000000001" customHeight="1" x14ac:dyDescent="0.2">
      <c r="B59" s="4" t="s">
        <v>401</v>
      </c>
      <c r="C59" s="80">
        <v>9000</v>
      </c>
      <c r="D59" s="347"/>
      <c r="E59" s="337"/>
    </row>
    <row r="60" spans="2:5" ht="20.100000000000001" customHeight="1" x14ac:dyDescent="0.2">
      <c r="B60" s="4" t="s">
        <v>400</v>
      </c>
      <c r="C60" s="80" t="str">
        <f>IF(cluster_wld_domain_chosen="VI Workload Domain",CONCATENATE(prefix_wld_az1_cidr,"13.0"),CONCATENATE(prefix_mgmt_az1_cidr,"13.0"))</f>
        <v>10.13.13.0</v>
      </c>
      <c r="D60" s="347"/>
      <c r="E60" s="345"/>
    </row>
    <row r="61" spans="2:5" ht="20.100000000000001" customHeight="1" x14ac:dyDescent="0.2">
      <c r="B61" s="4" t="s">
        <v>732</v>
      </c>
      <c r="C61" s="80" t="s">
        <v>612</v>
      </c>
      <c r="D61" s="347"/>
      <c r="E61" s="337"/>
    </row>
    <row r="62" spans="2:5" ht="20.100000000000001" customHeight="1" x14ac:dyDescent="0.2">
      <c r="B62" s="4" t="s">
        <v>399</v>
      </c>
      <c r="C62" s="80" t="str">
        <f>IF(cluster_wld_domain_chosen="VI Workload Domain",CONCATENATE(prefix_wld_az1_cidr,"13.1"),CONCATENATE(prefix_mgmt_az1_cidr,"13.1"))</f>
        <v>10.13.13.1</v>
      </c>
      <c r="D62" s="347"/>
      <c r="E62" s="337" t="str">
        <f>IF(AND(mgmt_stretched_cluster_result="Included",mgmt_dpg_reuse_result="Excluded"),"Stretched L2","")</f>
        <v/>
      </c>
    </row>
    <row r="63" spans="2:5" ht="20.100000000000001" customHeight="1" x14ac:dyDescent="0.2">
      <c r="B63" s="17" t="s">
        <v>460</v>
      </c>
      <c r="C63" s="80" t="str">
        <f>IF(cluster_wld_domain_chosen="VI Workload Domain",CONCATENATE(prefix_wld_az1_cidr,"13.101"),CONCATENATE(prefix_mgmt_az1_cidr,"13.101"))</f>
        <v>10.13.13.101</v>
      </c>
      <c r="D63" s="347"/>
      <c r="E63" s="345"/>
    </row>
    <row r="64" spans="2:5" ht="20.100000000000001" customHeight="1" x14ac:dyDescent="0.2">
      <c r="B64" s="17" t="s">
        <v>461</v>
      </c>
      <c r="C64" s="80" t="str">
        <f>IF(cluster_wld_domain_chosen="VI Workload Domain",CONCATENATE(prefix_wld_az1_cidr,"13.116"),CONCATENATE(prefix_mgmt_az1_cidr,"13.116"))</f>
        <v>10.13.13.116</v>
      </c>
      <c r="D64" s="347"/>
      <c r="E64" s="345"/>
    </row>
    <row r="65" spans="2:5" ht="20.100000000000001" customHeight="1" x14ac:dyDescent="0.2">
      <c r="B65" s="405" t="str">
        <f>IF(cluster_secondary_storage_chosen="Secondary NFS Storage Network","NFS Storage Network","vSAN Storage Client")</f>
        <v>vSAN Storage Client</v>
      </c>
      <c r="C65" s="406"/>
      <c r="D65" s="406"/>
      <c r="E65" s="407"/>
    </row>
    <row r="66" spans="2:5" ht="20.100000000000001" customHeight="1" x14ac:dyDescent="0.2">
      <c r="B66" s="4" t="s">
        <v>398</v>
      </c>
      <c r="C66" s="80" t="str">
        <f>IF(cluster_wld_domain_chosen="VI Workload Domain",CONCATENATE(prefix_wld_az1_vlan,"15"),CONCATENATE(prefix_mgmt_az1_vlan,"15"))</f>
        <v>1315</v>
      </c>
      <c r="D66" s="347"/>
      <c r="E66" s="337"/>
    </row>
    <row r="67" spans="2:5" ht="20.100000000000001" customHeight="1" x14ac:dyDescent="0.2">
      <c r="B67" s="4" t="s">
        <v>401</v>
      </c>
      <c r="C67" s="80">
        <v>9000</v>
      </c>
      <c r="D67" s="347"/>
      <c r="E67" s="345"/>
    </row>
    <row r="68" spans="2:5" ht="20.100000000000001" customHeight="1" x14ac:dyDescent="0.2">
      <c r="B68" s="4" t="s">
        <v>400</v>
      </c>
      <c r="C68" s="80" t="str">
        <f>IF(cluster_wld_domain_chosen="VI Workload Domain",CONCATENATE(prefix_wld_az1_cidr,"15.0"),CONCATENATE(prefix_mgmt_az1_cidr,"15.0"))</f>
        <v>10.13.15.0</v>
      </c>
      <c r="D68" s="347"/>
      <c r="E68" s="337"/>
    </row>
    <row r="69" spans="2:5" ht="20.100000000000001" customHeight="1" x14ac:dyDescent="0.2">
      <c r="B69" s="4" t="s">
        <v>732</v>
      </c>
      <c r="C69" s="80" t="s">
        <v>612</v>
      </c>
      <c r="D69" s="347"/>
      <c r="E69" s="337"/>
    </row>
    <row r="70" spans="2:5" ht="20.100000000000001" customHeight="1" x14ac:dyDescent="0.2">
      <c r="B70" s="4" t="s">
        <v>399</v>
      </c>
      <c r="C70" s="80" t="str">
        <f>IF(cluster_wld_domain_chosen="VI Workload Domain",CONCATENATE(prefix_wld_az1_cidr,"15.1"),CONCATENATE(prefix_mgmt_az1_cidr,"15.1"))</f>
        <v>10.13.15.1</v>
      </c>
      <c r="D70" s="347"/>
      <c r="E70" s="337" t="str">
        <f>IF(AND(mgmt_stretched_cluster_result="Included",mgmt_dpg_reuse_result="Excluded"),"Stretched L2","")</f>
        <v/>
      </c>
    </row>
    <row r="71" spans="2:5" ht="20.100000000000001" customHeight="1" x14ac:dyDescent="0.2">
      <c r="B71" s="17" t="s">
        <v>460</v>
      </c>
      <c r="C71" s="80" t="str">
        <f>IF(cluster_wld_domain_chosen="VI Workload Domain",CONCATENATE(prefix_wld_az1_cidr,"15.101"),CONCATENATE(prefix_mgmt_az1_cidr,"15.101"))</f>
        <v>10.13.15.101</v>
      </c>
      <c r="D71" s="347"/>
      <c r="E71" s="345"/>
    </row>
    <row r="72" spans="2:5" ht="20.100000000000001" customHeight="1" x14ac:dyDescent="0.2">
      <c r="B72" s="17" t="s">
        <v>461</v>
      </c>
      <c r="C72" s="80" t="str">
        <f>IF(cluster_wld_domain_chosen="VI Workload Domain",CONCATENATE(prefix_wld_az1_cidr,"15.116"),CONCATENATE(prefix_mgmt_az1_cidr,"15.116"))</f>
        <v>10.13.15.116</v>
      </c>
      <c r="D72" s="347"/>
      <c r="E72" s="345"/>
    </row>
    <row r="73" spans="2:5" ht="20.100000000000001" customHeight="1" x14ac:dyDescent="0.2">
      <c r="B73" s="405" t="s">
        <v>1231</v>
      </c>
      <c r="C73" s="406"/>
      <c r="D73" s="406"/>
      <c r="E73" s="407"/>
    </row>
    <row r="74" spans="2:5" ht="20.100000000000001" customHeight="1" x14ac:dyDescent="0.2">
      <c r="B74" s="4" t="s">
        <v>398</v>
      </c>
      <c r="C74" s="80" t="str">
        <f>IF(cluster_wld_domain_chosen="VI Workload Domain",CONCATENATE(prefix_wld_az1_vlan,"16"),CONCATENATE(prefix_mgmt_az1_vlan,"16"))</f>
        <v>1316</v>
      </c>
      <c r="D74" s="347"/>
      <c r="E74" s="337"/>
    </row>
    <row r="75" spans="2:5" ht="20.100000000000001" customHeight="1" x14ac:dyDescent="0.2">
      <c r="B75" s="4" t="s">
        <v>401</v>
      </c>
      <c r="C75" s="80">
        <v>9000</v>
      </c>
      <c r="D75" s="347"/>
      <c r="E75" s="345"/>
    </row>
    <row r="76" spans="2:5" ht="20.100000000000001" customHeight="1" x14ac:dyDescent="0.2">
      <c r="B76" s="4" t="s">
        <v>400</v>
      </c>
      <c r="C76" s="80" t="str">
        <f>IF(cluster_wld_domain_chosen="VI Workload Domain",CONCATENATE(prefix_wld_az1_cidr,"16.0"),CONCATENATE(prefix_mgmt_az1_cidr,"16.0"))</f>
        <v>10.13.16.0</v>
      </c>
      <c r="D76" s="347"/>
      <c r="E76" s="337"/>
    </row>
    <row r="77" spans="2:5" ht="20.100000000000001" customHeight="1" x14ac:dyDescent="0.2">
      <c r="B77" s="4" t="s">
        <v>732</v>
      </c>
      <c r="C77" s="80" t="s">
        <v>612</v>
      </c>
      <c r="D77" s="347"/>
      <c r="E77" s="337"/>
    </row>
    <row r="78" spans="2:5" ht="20.100000000000001" customHeight="1" x14ac:dyDescent="0.2">
      <c r="B78" s="4" t="s">
        <v>399</v>
      </c>
      <c r="C78" s="80" t="str">
        <f>IF(cluster_wld_domain_chosen="VI Workload Domain",CONCATENATE(prefix_wld_az1_cidr,"16.1"),CONCATENATE(prefix_mgmt_az1_cidr,"16.1"))</f>
        <v>10.13.16.1</v>
      </c>
      <c r="D78" s="347"/>
      <c r="E78" s="337" t="str">
        <f>IF(AND(mgmt_stretched_cluster_result="Included",mgmt_dpg_reuse_result="Excluded"),"Stretched L2","")</f>
        <v/>
      </c>
    </row>
    <row r="79" spans="2:5" ht="20.100000000000001" customHeight="1" x14ac:dyDescent="0.2">
      <c r="B79" s="17" t="s">
        <v>460</v>
      </c>
      <c r="C79" s="80" t="str">
        <f>IF(cluster_wld_domain_chosen="VI Workload Domain",CONCATENATE(prefix_wld_az1_cidr,"16.101"),CONCATENATE(prefix_mgmt_az1_cidr,"16.101"))</f>
        <v>10.13.16.101</v>
      </c>
      <c r="D79" s="347"/>
      <c r="E79" s="345"/>
    </row>
    <row r="80" spans="2:5" ht="20.100000000000001" customHeight="1" x14ac:dyDescent="0.2">
      <c r="B80" s="17" t="s">
        <v>461</v>
      </c>
      <c r="C80" s="80" t="str">
        <f>IF(cluster_wld_domain_chosen="VI Workload Domain",CONCATENATE(prefix_wld_az1_cidr,"16.116"),CONCATENATE(prefix_mgmt_az1_cidr,"16.116"))</f>
        <v>10.13.16.116</v>
      </c>
      <c r="D80" s="347"/>
      <c r="E80" s="345"/>
    </row>
    <row r="81" spans="2:5" ht="15.95" customHeight="1" x14ac:dyDescent="0.2"/>
    <row r="82" spans="2:5" ht="33.950000000000003" customHeight="1" x14ac:dyDescent="0.2">
      <c r="B82" s="505" t="s">
        <v>1232</v>
      </c>
      <c r="C82" s="506"/>
      <c r="D82" s="506"/>
      <c r="E82" s="507"/>
    </row>
    <row r="83" spans="2:5" ht="20.100000000000001" customHeight="1" x14ac:dyDescent="0.2">
      <c r="B83" s="346" t="s">
        <v>37</v>
      </c>
      <c r="C83" s="346" t="s">
        <v>276</v>
      </c>
      <c r="D83" s="346" t="s">
        <v>277</v>
      </c>
      <c r="E83" s="346" t="s">
        <v>5</v>
      </c>
    </row>
    <row r="84" spans="2:5" ht="20.100000000000001" customHeight="1" x14ac:dyDescent="0.2">
      <c r="B84" s="17" t="s">
        <v>686</v>
      </c>
      <c r="C84" s="89" t="str">
        <f>IF(cluster_wld_domain_chosen="VI Workload Domain",CONCATENATE(this_instance,"01-w0",wld_domain_number_chosen,"-r01-esx01",".",sample_child_dns_zone),CONCATENATE(this_instance,"01-m01","-r01-esx01",".",sample_child_dns_zone))</f>
        <v>sfo01-w01-r01-esx01.sfo.rainpole.io</v>
      </c>
      <c r="D84" s="347"/>
      <c r="E84" s="337"/>
    </row>
    <row r="85" spans="2:5" ht="20.100000000000001" customHeight="1" x14ac:dyDescent="0.2">
      <c r="B85" s="17" t="s">
        <v>687</v>
      </c>
      <c r="C85" s="89" t="str">
        <f>IF(cluster_wld_domain_chosen="VI Workload Domain",CONCATENATE(this_instance,"01-w0",wld_domain_number_chosen,"-r01-esx02",".",sample_child_dns_zone),CONCATENATE(this_instance,"01-m01","-r01-esx02",".",sample_child_dns_zone))</f>
        <v>sfo01-w01-r01-esx02.sfo.rainpole.io</v>
      </c>
      <c r="D85" s="347"/>
      <c r="E85" s="337"/>
    </row>
    <row r="86" spans="2:5" ht="20.100000000000001" customHeight="1" x14ac:dyDescent="0.2">
      <c r="B86" s="17" t="s">
        <v>688</v>
      </c>
      <c r="C86" s="89" t="str">
        <f>IF(cluster_wld_domain_chosen="VI Workload Domain",CONCATENATE(this_instance,"01-w0",wld_domain_number_chosen,"-r01-esx03",".",sample_child_dns_zone),CONCATENATE(this_instance,"01-m01","-r01-esx03",".",sample_child_dns_zone))</f>
        <v>sfo01-w01-r01-esx03.sfo.rainpole.io</v>
      </c>
      <c r="D86" s="347"/>
      <c r="E86" s="337"/>
    </row>
    <row r="87" spans="2:5" ht="20.100000000000001" customHeight="1" x14ac:dyDescent="0.2">
      <c r="B87" s="17" t="s">
        <v>689</v>
      </c>
      <c r="C87" s="89" t="str">
        <f>IF(cluster_wld_domain_chosen="VI Workload Domain",CONCATENATE(this_instance,"01-w0",wld_domain_number_chosen,"-r01-esx04",".",sample_child_dns_zone),CONCATENATE(this_instance,"01-m01","-r01-esx04",".",sample_child_dns_zone))</f>
        <v>sfo01-w01-r01-esx04.sfo.rainpole.io</v>
      </c>
      <c r="D87" s="347"/>
      <c r="E87" s="337"/>
    </row>
    <row r="88" spans="2:5" ht="20.100000000000001" customHeight="1" x14ac:dyDescent="0.2">
      <c r="B88" s="17" t="s">
        <v>690</v>
      </c>
      <c r="C88" s="89" t="str">
        <f>IF(cluster_wld_domain_chosen="VI Workload Domain",CONCATENATE(this_instance,"01-w0",wld_domain_number_chosen,"-r01-esx05",".",sample_child_dns_zone),CONCATENATE(this_instance,"01-m01","-r01-esx05",".",sample_child_dns_zone))</f>
        <v>sfo01-w01-r01-esx05.sfo.rainpole.io</v>
      </c>
      <c r="D88" s="347"/>
      <c r="E88" s="337"/>
    </row>
    <row r="89" spans="2:5" ht="20.100000000000001" customHeight="1" x14ac:dyDescent="0.2">
      <c r="B89" s="17" t="s">
        <v>691</v>
      </c>
      <c r="C89" s="89" t="str">
        <f>IF(cluster_wld_domain_chosen="VI Workload Domain",CONCATENATE(this_instance,"01-w0",wld_domain_number_chosen,"-r01-esx06",".",sample_child_dns_zone),CONCATENATE(this_instance,"01-m01","-r01-esx06",".",sample_child_dns_zone))</f>
        <v>sfo01-w01-r01-esx06.sfo.rainpole.io</v>
      </c>
      <c r="D89" s="347"/>
      <c r="E89" s="337"/>
    </row>
    <row r="90" spans="2:5" ht="20.100000000000001" customHeight="1" x14ac:dyDescent="0.2">
      <c r="B90" s="17" t="s">
        <v>692</v>
      </c>
      <c r="C90" s="89" t="str">
        <f>IF(cluster_wld_domain_chosen="VI Workload Domain",CONCATENATE(this_instance,"01-w0",wld_domain_number_chosen,"-r01-esx07",".",sample_child_dns_zone),CONCATENATE(this_instance,"01-m01","-r01-esx07",".",sample_child_dns_zone))</f>
        <v>sfo01-w01-r01-esx07.sfo.rainpole.io</v>
      </c>
      <c r="D90" s="347"/>
      <c r="E90" s="337"/>
    </row>
    <row r="91" spans="2:5" ht="20.100000000000001" customHeight="1" x14ac:dyDescent="0.2">
      <c r="B91" s="17" t="s">
        <v>693</v>
      </c>
      <c r="C91" s="89" t="str">
        <f>IF(cluster_wld_domain_chosen="VI Workload Domain",CONCATENATE(this_instance,"01-w0",wld_domain_number_chosen,"-r01-esx08",".",sample_child_dns_zone),CONCATENATE(this_instance,"01-m01","-r01-esx08",".",sample_child_dns_zone))</f>
        <v>sfo01-w01-r01-esx08.sfo.rainpole.io</v>
      </c>
      <c r="D91" s="347"/>
      <c r="E91" s="337"/>
    </row>
    <row r="92" spans="2:5" ht="20.100000000000001" customHeight="1" x14ac:dyDescent="0.2">
      <c r="B92" s="17" t="s">
        <v>694</v>
      </c>
      <c r="C92" s="89" t="str">
        <f>IF(cluster_wld_domain_chosen="VI Workload Domain",CONCATENATE(this_instance,"01-w0",wld_domain_number_chosen,"-r01-esx09",".",sample_child_dns_zone),CONCATENATE(this_instance,"01-m01","-r01-esx09",".",sample_child_dns_zone))</f>
        <v>sfo01-w01-r01-esx09.sfo.rainpole.io</v>
      </c>
      <c r="D92" s="347"/>
      <c r="E92" s="337"/>
    </row>
    <row r="93" spans="2:5" ht="20.100000000000001" customHeight="1" x14ac:dyDescent="0.2">
      <c r="B93" s="17" t="s">
        <v>695</v>
      </c>
      <c r="C93" s="89" t="str">
        <f>IF(cluster_wld_domain_chosen="VI Workload Domain",CONCATENATE(this_instance,"01-w0",wld_domain_number_chosen,"-r01-esx10",".",sample_child_dns_zone),CONCATENATE(this_instance,"01-m01","-r01-esx10",".",sample_child_dns_zone))</f>
        <v>sfo01-w01-r01-esx10.sfo.rainpole.io</v>
      </c>
      <c r="D93" s="347"/>
      <c r="E93" s="337"/>
    </row>
    <row r="94" spans="2:5" ht="20.100000000000001" customHeight="1" x14ac:dyDescent="0.2">
      <c r="B94" s="17" t="s">
        <v>696</v>
      </c>
      <c r="C94" s="89" t="str">
        <f>IF(cluster_wld_domain_chosen="VI Workload Domain",CONCATENATE(this_instance,"01-w0",wld_domain_number_chosen,"-r01-esx11",".",sample_child_dns_zone),CONCATENATE(this_instance,"01-m01","-r01-esx11",".",sample_child_dns_zone))</f>
        <v>sfo01-w01-r01-esx11.sfo.rainpole.io</v>
      </c>
      <c r="D94" s="347"/>
      <c r="E94" s="337"/>
    </row>
    <row r="95" spans="2:5" ht="20.100000000000001" customHeight="1" x14ac:dyDescent="0.2">
      <c r="B95" s="17" t="s">
        <v>697</v>
      </c>
      <c r="C95" s="89" t="str">
        <f>IF(cluster_wld_domain_chosen="VI Workload Domain",CONCATENATE(this_instance,"01-w0",wld_domain_number_chosen,"-r01-esx12",".",sample_child_dns_zone),CONCATENATE(this_instance,"01-m01","-r01-esx12",".",sample_child_dns_zone))</f>
        <v>sfo01-w01-r01-esx12.sfo.rainpole.io</v>
      </c>
      <c r="D95" s="347"/>
      <c r="E95" s="337"/>
    </row>
    <row r="96" spans="2:5" ht="20.100000000000001" customHeight="1" x14ac:dyDescent="0.2">
      <c r="B96" s="17" t="s">
        <v>698</v>
      </c>
      <c r="C96" s="89" t="str">
        <f>IF(cluster_wld_domain_chosen="VI Workload Domain",CONCATENATE(this_instance,"01-w0",wld_domain_number_chosen,"-r01-esx13",".",sample_child_dns_zone),CONCATENATE(this_instance,"01-m01","-r01-esx13",".",sample_child_dns_zone))</f>
        <v>sfo01-w01-r01-esx13.sfo.rainpole.io</v>
      </c>
      <c r="D96" s="347"/>
      <c r="E96" s="337"/>
    </row>
    <row r="97" spans="2:5" ht="20.100000000000001" customHeight="1" x14ac:dyDescent="0.2">
      <c r="B97" s="17" t="s">
        <v>699</v>
      </c>
      <c r="C97" s="89" t="str">
        <f>IF(cluster_wld_domain_chosen="VI Workload Domain",CONCATENATE(this_instance,"01-w0",wld_domain_number_chosen,"-r01-esx14",".",sample_child_dns_zone),CONCATENATE(this_instance,"01-m01","-r01-esx14",".",sample_child_dns_zone))</f>
        <v>sfo01-w01-r01-esx14.sfo.rainpole.io</v>
      </c>
      <c r="D97" s="347"/>
      <c r="E97" s="337"/>
    </row>
    <row r="98" spans="2:5" ht="20.100000000000001" customHeight="1" x14ac:dyDescent="0.2">
      <c r="B98" s="17" t="s">
        <v>700</v>
      </c>
      <c r="C98" s="89" t="str">
        <f>IF(cluster_wld_domain_chosen="VI Workload Domain",CONCATENATE(this_instance,"01-w0",wld_domain_number_chosen,"-r01-esx15",".",sample_child_dns_zone),CONCATENATE(this_instance,"01-m01","-r01-esx15",".",sample_child_dns_zone))</f>
        <v>sfo01-w01-r01-esx15.sfo.rainpole.io</v>
      </c>
      <c r="D98" s="347"/>
      <c r="E98" s="337"/>
    </row>
    <row r="99" spans="2:5" ht="20.100000000000001" customHeight="1" x14ac:dyDescent="0.2">
      <c r="B99" s="17" t="s">
        <v>701</v>
      </c>
      <c r="C99" s="89" t="str">
        <f>IF(cluster_wld_domain_chosen="VI Workload Domain",CONCATENATE(this_instance,"01-w0",wld_domain_number_chosen,"-r01-esx16",".",sample_child_dns_zone),CONCATENATE(this_instance,"01-m01","-r01-esx16",".",sample_child_dns_zone))</f>
        <v>sfo01-w01-r01-esx16.sfo.rainpole.io</v>
      </c>
      <c r="D99" s="347"/>
      <c r="E99" s="337"/>
    </row>
    <row r="100" spans="2:5" ht="20.100000000000001" customHeight="1" x14ac:dyDescent="0.2">
      <c r="B100" s="17" t="s">
        <v>712</v>
      </c>
      <c r="C100" s="78" t="s">
        <v>713</v>
      </c>
      <c r="D100" s="337"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337"/>
    </row>
    <row r="101" spans="2:5" ht="20.100000000000001" customHeight="1" x14ac:dyDescent="0.2">
      <c r="B101" s="17" t="s">
        <v>714</v>
      </c>
      <c r="C101" s="78" t="s">
        <v>715</v>
      </c>
      <c r="D101" s="337"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100000000000001" customHeight="1" x14ac:dyDescent="0.2">
      <c r="B102" s="17" t="s">
        <v>716</v>
      </c>
      <c r="C102" s="78" t="s">
        <v>323</v>
      </c>
      <c r="D102" s="337" t="str">
        <f>IF(OR(cluster_principal_storage_chosen="vSAN-ESA",cluster_principal_storage_chosen="vSAN Storage Cluster",cluster_principal_storage_chosen="vSAN Compute Cluster"),"Selected","Unselected")</f>
        <v>Selected</v>
      </c>
      <c r="E102" s="337"/>
    </row>
    <row r="103" spans="2:5" ht="20.100000000000001" customHeight="1" x14ac:dyDescent="0.2">
      <c r="B103" s="17" t="s">
        <v>705</v>
      </c>
      <c r="C103" s="78" t="str">
        <f>C48</f>
        <v>sfo01-w01-r01-network-pool-01</v>
      </c>
      <c r="D103" s="337" t="str">
        <f>cluster_az1_pool_name</f>
        <v>Value Missing</v>
      </c>
      <c r="E103" s="337"/>
    </row>
    <row r="104" spans="2:5" ht="20.100000000000001" customHeight="1" x14ac:dyDescent="0.2">
      <c r="B104" s="17" t="s">
        <v>535</v>
      </c>
      <c r="C104" s="78" t="s">
        <v>717</v>
      </c>
      <c r="D104" s="347"/>
      <c r="E104" s="337"/>
    </row>
    <row r="105" spans="2:5" ht="20.100000000000001" customHeight="1" x14ac:dyDescent="0.2">
      <c r="B105" s="17" t="s">
        <v>296</v>
      </c>
      <c r="C105" s="78" t="s">
        <v>379</v>
      </c>
      <c r="D105" s="347"/>
      <c r="E105" s="337"/>
    </row>
    <row r="106" spans="2:5" ht="15.95" customHeight="1" x14ac:dyDescent="0.2"/>
    <row r="107" spans="2:5" ht="33.950000000000003" customHeight="1" x14ac:dyDescent="0.2">
      <c r="B107" s="505" t="s">
        <v>1548</v>
      </c>
      <c r="C107" s="506"/>
      <c r="D107" s="506"/>
      <c r="E107" s="507"/>
    </row>
    <row r="108" spans="2:5" ht="15.95" customHeight="1" x14ac:dyDescent="0.2"/>
    <row r="109" spans="2:5" ht="33.950000000000003" customHeight="1" x14ac:dyDescent="0.2">
      <c r="B109" s="408" t="s">
        <v>1257</v>
      </c>
      <c r="C109" s="409"/>
      <c r="D109" s="409"/>
      <c r="E109" s="410"/>
    </row>
    <row r="110" spans="2:5" ht="20.100000000000001" customHeight="1" x14ac:dyDescent="0.2">
      <c r="B110" s="405" t="s">
        <v>1549</v>
      </c>
      <c r="C110" s="406"/>
      <c r="D110" s="406"/>
      <c r="E110" s="407"/>
    </row>
    <row r="111" spans="2:5" ht="20.100000000000001" customHeight="1" x14ac:dyDescent="0.2">
      <c r="B111" s="346" t="s">
        <v>37</v>
      </c>
      <c r="C111" s="346" t="s">
        <v>276</v>
      </c>
      <c r="D111" s="346" t="s">
        <v>277</v>
      </c>
      <c r="E111" s="346" t="s">
        <v>5</v>
      </c>
    </row>
    <row r="112" spans="2:5" ht="20.100000000000001" customHeight="1" x14ac:dyDescent="0.2">
      <c r="B112" s="17" t="s">
        <v>1257</v>
      </c>
      <c r="C112" s="362" t="s">
        <v>368</v>
      </c>
      <c r="D112" s="337" t="str">
        <f>IF(cluster_principal_storage_chosen="vSAN Storage Cluster","vSAN-ESA",cluster_principal_storage_chosen)</f>
        <v>vSAN-ESA</v>
      </c>
      <c r="E112" s="337"/>
    </row>
    <row r="113" spans="2:5" ht="15.95" customHeight="1" x14ac:dyDescent="0.2"/>
    <row r="114" spans="2:5" ht="33.950000000000003" customHeight="1" x14ac:dyDescent="0.2">
      <c r="B114" s="408" t="s">
        <v>1550</v>
      </c>
      <c r="C114" s="409"/>
      <c r="D114" s="409"/>
      <c r="E114" s="410"/>
    </row>
    <row r="115" spans="2:5" ht="20.100000000000001" customHeight="1" x14ac:dyDescent="0.2">
      <c r="B115" s="405" t="s">
        <v>1551</v>
      </c>
      <c r="C115" s="406"/>
      <c r="D115" s="406"/>
      <c r="E115" s="407"/>
    </row>
    <row r="116" spans="2:5" ht="20.100000000000001" customHeight="1" x14ac:dyDescent="0.2">
      <c r="B116" s="346" t="s">
        <v>37</v>
      </c>
      <c r="C116" s="346" t="s">
        <v>276</v>
      </c>
      <c r="D116" s="346" t="s">
        <v>277</v>
      </c>
      <c r="E116" s="346" t="s">
        <v>5</v>
      </c>
    </row>
    <row r="117" spans="2:5" ht="20.100000000000001" customHeight="1" x14ac:dyDescent="0.2">
      <c r="B117" s="17" t="s">
        <v>353</v>
      </c>
      <c r="C117" s="362" t="str">
        <f>IF(cluster_wld_domain_chosen="VI Workload Domain",CONCATENATE(this_instance,"-w0",wld_domain_number_chosen,"-cl02"),CONCATENATE(this_instance,"-m01","-cl02"))</f>
        <v>sfo-w01-cl02</v>
      </c>
      <c r="D117" s="347"/>
      <c r="E117" s="337"/>
    </row>
    <row r="118" spans="2:5" ht="15.95" customHeight="1" x14ac:dyDescent="0.2"/>
    <row r="119" spans="2:5" ht="33.950000000000003" customHeight="1" x14ac:dyDescent="0.2">
      <c r="B119" s="408" t="s">
        <v>1244</v>
      </c>
      <c r="C119" s="409"/>
      <c r="D119" s="409"/>
      <c r="E119" s="410"/>
    </row>
    <row r="120" spans="2:5" ht="20.100000000000001" customHeight="1" x14ac:dyDescent="0.2">
      <c r="B120" s="405" t="s">
        <v>1245</v>
      </c>
      <c r="C120" s="406"/>
      <c r="D120" s="406"/>
      <c r="E120" s="407"/>
    </row>
    <row r="121" spans="2:5" ht="20.100000000000001" customHeight="1" x14ac:dyDescent="0.2">
      <c r="B121" s="346" t="s">
        <v>37</v>
      </c>
      <c r="C121" s="346" t="s">
        <v>276</v>
      </c>
      <c r="D121" s="346" t="s">
        <v>277</v>
      </c>
      <c r="E121" s="346" t="s">
        <v>5</v>
      </c>
    </row>
    <row r="122" spans="2:5" ht="20.100000000000001" customHeight="1" x14ac:dyDescent="0.2">
      <c r="B122" s="17" t="s">
        <v>1244</v>
      </c>
      <c r="C122" s="362" t="str">
        <f>IF(cluster_wld_domain_chosen="VI Workload Domain",CONCATENATE(this_instance,"-w0",wld_domain_number_chosen,"-cl02"),CONCATENATE(this_instance,"-m01","-cl02"))</f>
        <v>sfo-w01-cl02</v>
      </c>
      <c r="D122" s="347"/>
      <c r="E122" s="337"/>
    </row>
    <row r="123" spans="2:5" ht="15.95" customHeight="1" x14ac:dyDescent="0.2"/>
    <row r="124" spans="2:5" ht="33.950000000000003" customHeight="1" x14ac:dyDescent="0.2">
      <c r="B124" s="408" t="str">
        <f>IF(OR(wld_principal_storage_chosen="vSAN-ESA",wld_principal_storage_chosen="vSAN-OSA"),"vSAN Storage",IF(wld_principal_storage_chosen="NFSv3","NFS Storage",""))</f>
        <v>vSAN Storage</v>
      </c>
      <c r="C124" s="409"/>
      <c r="D124" s="409"/>
      <c r="E124" s="410"/>
    </row>
    <row r="125" spans="2:5" ht="20.100000000000001" customHeight="1" x14ac:dyDescent="0.2">
      <c r="B125" s="405" t="s">
        <v>1552</v>
      </c>
      <c r="C125" s="406"/>
      <c r="D125" s="406"/>
      <c r="E125" s="407"/>
    </row>
    <row r="126" spans="2:5" ht="20.100000000000001" customHeight="1" x14ac:dyDescent="0.2">
      <c r="B126" s="346" t="s">
        <v>37</v>
      </c>
      <c r="C126" s="346" t="s">
        <v>276</v>
      </c>
      <c r="D126" s="346" t="s">
        <v>277</v>
      </c>
      <c r="E126" s="346" t="s">
        <v>5</v>
      </c>
    </row>
    <row r="127" spans="2:5" ht="20.100000000000001" customHeight="1" x14ac:dyDescent="0.2">
      <c r="B127" s="4" t="s">
        <v>1260</v>
      </c>
      <c r="C127" s="362" t="s">
        <v>1261</v>
      </c>
      <c r="D127" s="337" t="str">
        <f>cluster_vsan_type</f>
        <v>vSAN HCI</v>
      </c>
      <c r="E127" s="4" t="s">
        <v>1553</v>
      </c>
    </row>
    <row r="128" spans="2:5" ht="20.100000000000001" customHeight="1" x14ac:dyDescent="0.2">
      <c r="B128" s="4" t="s">
        <v>1554</v>
      </c>
      <c r="C128" s="362" t="str">
        <f>CONCATENATE(this_instance,"-w0",wld_domain_number_chosen,"-cl01")</f>
        <v>sfo-w01-cl01</v>
      </c>
      <c r="D128" s="347"/>
      <c r="E128" s="4"/>
    </row>
    <row r="129" spans="2:5" ht="20.100000000000001" customHeight="1" x14ac:dyDescent="0.2">
      <c r="B129" s="4" t="s">
        <v>727</v>
      </c>
      <c r="C129" s="362" t="str">
        <f>IF(cluster_wld_domain_chosen="VI Workload Domain",CONCATENATE(sample_wld_sddc_domain,"-",sample_cluster_name,"-vsan01"),CONCATENATE(sample_mgmt_sddc_domain,"-",sample_cluster_name,"-vsan01"))</f>
        <v>sfo-w01-sfo-w01-cl02-vsan01</v>
      </c>
      <c r="D129" s="347"/>
      <c r="E129" s="337" t="s">
        <v>1262</v>
      </c>
    </row>
    <row r="130" spans="2:5" ht="20.100000000000001" customHeight="1" x14ac:dyDescent="0.2">
      <c r="B130" s="4" t="s">
        <v>1263</v>
      </c>
      <c r="C130" s="362" t="s">
        <v>286</v>
      </c>
      <c r="D130" s="337" t="str">
        <f>IF(cluster_secondary_storage_result="Included","Selected","Unselected")</f>
        <v>Unselected</v>
      </c>
      <c r="E130" s="337" t="str">
        <f>IF(AND(cluster_secondary_storage_chosen&lt;&gt;"vSAN Storage Client Network",cluster_vsan_type="vSAN Storage"),"To use vSAN Storage Client Network it should be enabled in Deploy and New Cluster Options section","")</f>
        <v/>
      </c>
    </row>
    <row r="131" spans="2:5" ht="20.100000000000001" customHeight="1" x14ac:dyDescent="0.2">
      <c r="B131" s="4" t="str">
        <f>IF(wld_principal_storage_chosen="vSAN-ESA","Storage Policy", "vSAN: Failures to Tolerate (FTT)")</f>
        <v>Storage Policy</v>
      </c>
      <c r="C131" s="362">
        <v>1</v>
      </c>
      <c r="D131" s="347" t="s">
        <v>371</v>
      </c>
      <c r="E131" s="337"/>
    </row>
    <row r="132" spans="2:5" ht="20.100000000000001" customHeight="1" x14ac:dyDescent="0.2">
      <c r="B132" s="4" t="s">
        <v>1264</v>
      </c>
      <c r="C132" s="362" t="s">
        <v>286</v>
      </c>
      <c r="D132" s="347" t="s">
        <v>286</v>
      </c>
      <c r="E132" s="337"/>
    </row>
    <row r="133" spans="2:5" ht="20.100000000000001" customHeight="1" x14ac:dyDescent="0.2">
      <c r="B133" s="152" t="s">
        <v>1265</v>
      </c>
      <c r="C133" s="362" t="str">
        <f>IF(cluster_wld_domain_chosen="VI Workload Domain",CONCATENATE(this_instance,"-w0",wld_domain_number_chosen,"-cl02-ds-vmfs01"),CONCATENATE(this_instance,"-m01","-cl02-ds-vmfs01"))</f>
        <v>sfo-w01-cl02-ds-vmfs01</v>
      </c>
      <c r="D133" s="347"/>
      <c r="E133" s="337"/>
    </row>
    <row r="134" spans="2:5" ht="20.100000000000001" customHeight="1" x14ac:dyDescent="0.2">
      <c r="B134" s="22" t="s">
        <v>1266</v>
      </c>
      <c r="C134" s="362" t="str">
        <f>IF(cluster_wld_domain_chosen="VI Workload Domain",CONCATENATE(this_instance,"-w0",wld_domain_number_chosen,"-cl02-ds-nfs01"),CONCATENATE(this_instance,"-m01","-cl02-ds-nfs01"))</f>
        <v>sfo-w01-cl02-ds-nfs01</v>
      </c>
      <c r="D134" s="347"/>
      <c r="E134" s="337"/>
    </row>
    <row r="135" spans="2:5" ht="20.100000000000001" customHeight="1" x14ac:dyDescent="0.2">
      <c r="B135" s="22" t="s">
        <v>1267</v>
      </c>
      <c r="C135" s="362" t="str">
        <f>IF(cluster_wld_domain_chosen="VI Workload Domain",CONCATENATE(this_instance,"-w0",wld_domain_number_chosen,"-cl02-ds-nfs01-share"),CONCATENATE(this_instance,"-m01","-cl02-ds-nfs01-share"))</f>
        <v>sfo-w01-cl02-ds-nfs01-share</v>
      </c>
      <c r="D135" s="347"/>
      <c r="E135" s="337"/>
    </row>
    <row r="136" spans="2:5" ht="20.100000000000001" customHeight="1" x14ac:dyDescent="0.2">
      <c r="B136" s="22" t="s">
        <v>1268</v>
      </c>
      <c r="C136" s="362" t="str">
        <f>IF(cluster_wld_domain_chosen="VI Workload Domain",CONCATENATE(prefix_wld_az1_cidr,"15.4"),CONCATENATE(prefix_mgmt_az1_cidr,"15.4"))</f>
        <v>10.13.15.4</v>
      </c>
      <c r="D136" s="347"/>
      <c r="E136" s="337"/>
    </row>
    <row r="137" spans="2:5" ht="15.95" customHeight="1" x14ac:dyDescent="0.2">
      <c r="B137" s="7"/>
      <c r="C137" s="7"/>
      <c r="D137" s="7"/>
      <c r="E137" s="7"/>
    </row>
    <row r="138" spans="2:5" ht="33.950000000000003" customHeight="1" x14ac:dyDescent="0.2">
      <c r="B138" s="408" t="s">
        <v>1269</v>
      </c>
      <c r="C138" s="409"/>
      <c r="D138" s="409"/>
      <c r="E138" s="410"/>
    </row>
    <row r="139" spans="2:5" ht="20.100000000000001" customHeight="1" x14ac:dyDescent="0.2">
      <c r="B139" s="405"/>
      <c r="C139" s="406"/>
      <c r="D139" s="406"/>
      <c r="E139" s="407"/>
    </row>
    <row r="140" spans="2:5" ht="20.100000000000001" customHeight="1" x14ac:dyDescent="0.2">
      <c r="B140" s="346" t="s">
        <v>37</v>
      </c>
      <c r="C140" s="346" t="s">
        <v>276</v>
      </c>
      <c r="D140" s="346" t="s">
        <v>277</v>
      </c>
      <c r="E140" s="346" t="s">
        <v>5</v>
      </c>
    </row>
    <row r="141" spans="2:5" ht="20.100000000000001" customHeight="1" x14ac:dyDescent="0.2">
      <c r="B141" s="17" t="s">
        <v>686</v>
      </c>
      <c r="C141" s="362" t="str">
        <f t="array" ref="C141:C156">sample_wld_az1_host_fqdns</f>
        <v>sfo01-w01-r01-esx01.sfo.rainpole.io</v>
      </c>
      <c r="D141" s="337" t="str">
        <f t="array" ref="D141:D156">cluster_az1_host_fqdns</f>
        <v>Value Missing</v>
      </c>
      <c r="E141" s="337"/>
    </row>
    <row r="142" spans="2:5" ht="20.100000000000001" customHeight="1" x14ac:dyDescent="0.2">
      <c r="B142" s="17" t="s">
        <v>687</v>
      </c>
      <c r="C142" s="362" t="str">
        <v>sfo01-w01-r01-esx02.sfo.rainpole.io</v>
      </c>
      <c r="D142" s="337" t="str">
        <v>Value Missing</v>
      </c>
      <c r="E142" s="337"/>
    </row>
    <row r="143" spans="2:5" ht="20.100000000000001" customHeight="1" x14ac:dyDescent="0.2">
      <c r="B143" s="17" t="s">
        <v>688</v>
      </c>
      <c r="C143" s="362" t="str">
        <v>sfo01-w01-r01-esx03.sfo.rainpole.io</v>
      </c>
      <c r="D143" s="337" t="str">
        <v>Value Missing</v>
      </c>
      <c r="E143" s="337"/>
    </row>
    <row r="144" spans="2:5" ht="20.100000000000001" customHeight="1" x14ac:dyDescent="0.2">
      <c r="B144" s="17" t="s">
        <v>689</v>
      </c>
      <c r="C144" s="362" t="str">
        <v>sfo01-w01-r01-esx04.sfo.rainpole.io</v>
      </c>
      <c r="D144" s="337" t="str">
        <v>Value Missing</v>
      </c>
      <c r="E144" s="337"/>
    </row>
    <row r="145" spans="2:5" ht="20.100000000000001" customHeight="1" x14ac:dyDescent="0.2">
      <c r="B145" s="17" t="s">
        <v>690</v>
      </c>
      <c r="C145" s="362" t="str">
        <v>sfo01-w01-r01-esx05.sfo.rainpole.io</v>
      </c>
      <c r="D145" s="337" t="str">
        <v>Value Missing</v>
      </c>
      <c r="E145" s="17"/>
    </row>
    <row r="146" spans="2:5" ht="20.100000000000001" customHeight="1" x14ac:dyDescent="0.2">
      <c r="B146" s="17" t="s">
        <v>691</v>
      </c>
      <c r="C146" s="362" t="str">
        <v>sfo01-w01-r01-esx06.sfo.rainpole.io</v>
      </c>
      <c r="D146" s="337" t="str">
        <v>Value Missing</v>
      </c>
      <c r="E146" s="17"/>
    </row>
    <row r="147" spans="2:5" ht="20.100000000000001" customHeight="1" x14ac:dyDescent="0.2">
      <c r="B147" s="17" t="s">
        <v>692</v>
      </c>
      <c r="C147" s="362" t="str">
        <v>sfo01-w01-r01-esx07.sfo.rainpole.io</v>
      </c>
      <c r="D147" s="337" t="str">
        <v>Value Missing</v>
      </c>
      <c r="E147" s="17"/>
    </row>
    <row r="148" spans="2:5" ht="20.100000000000001" customHeight="1" x14ac:dyDescent="0.2">
      <c r="B148" s="17" t="s">
        <v>693</v>
      </c>
      <c r="C148" s="362" t="str">
        <v>sfo01-w01-r01-esx08.sfo.rainpole.io</v>
      </c>
      <c r="D148" s="337" t="str">
        <v>Value Missing</v>
      </c>
      <c r="E148" s="17"/>
    </row>
    <row r="149" spans="2:5" ht="20.100000000000001" customHeight="1" x14ac:dyDescent="0.2">
      <c r="B149" s="17" t="s">
        <v>694</v>
      </c>
      <c r="C149" s="362" t="str">
        <v>sfo01-w01-r01-esx09.sfo.rainpole.io</v>
      </c>
      <c r="D149" s="337" t="str">
        <v>Value Missing</v>
      </c>
      <c r="E149" s="17"/>
    </row>
    <row r="150" spans="2:5" ht="20.100000000000001" customHeight="1" x14ac:dyDescent="0.2">
      <c r="B150" s="17" t="s">
        <v>695</v>
      </c>
      <c r="C150" s="362" t="str">
        <v>sfo01-w01-r01-esx10.sfo.rainpole.io</v>
      </c>
      <c r="D150" s="337" t="str">
        <v>Value Missing</v>
      </c>
      <c r="E150" s="153"/>
    </row>
    <row r="151" spans="2:5" ht="20.100000000000001" customHeight="1" x14ac:dyDescent="0.2">
      <c r="B151" s="17" t="s">
        <v>696</v>
      </c>
      <c r="C151" s="362" t="str">
        <v>sfo01-w01-r01-esx11.sfo.rainpole.io</v>
      </c>
      <c r="D151" s="337" t="str">
        <v>Value Missing</v>
      </c>
      <c r="E151" s="17"/>
    </row>
    <row r="152" spans="2:5" ht="20.100000000000001" customHeight="1" x14ac:dyDescent="0.2">
      <c r="B152" s="17" t="s">
        <v>697</v>
      </c>
      <c r="C152" s="362" t="str">
        <v>sfo01-w01-r01-esx12.sfo.rainpole.io</v>
      </c>
      <c r="D152" s="337" t="str">
        <v>Value Missing</v>
      </c>
      <c r="E152" s="17"/>
    </row>
    <row r="153" spans="2:5" ht="20.100000000000001" customHeight="1" x14ac:dyDescent="0.2">
      <c r="B153" s="17" t="s">
        <v>698</v>
      </c>
      <c r="C153" s="362" t="str">
        <v>sfo01-w01-r01-esx13.sfo.rainpole.io</v>
      </c>
      <c r="D153" s="337" t="str">
        <v>Value Missing</v>
      </c>
      <c r="E153" s="17"/>
    </row>
    <row r="154" spans="2:5" ht="20.100000000000001" customHeight="1" x14ac:dyDescent="0.2">
      <c r="B154" s="17" t="s">
        <v>699</v>
      </c>
      <c r="C154" s="362" t="str">
        <v>sfo01-w01-r01-esx14.sfo.rainpole.io</v>
      </c>
      <c r="D154" s="337" t="str">
        <v>Value Missing</v>
      </c>
      <c r="E154" s="17"/>
    </row>
    <row r="155" spans="2:5" ht="20.100000000000001" customHeight="1" x14ac:dyDescent="0.2">
      <c r="B155" s="17" t="s">
        <v>700</v>
      </c>
      <c r="C155" s="362" t="str">
        <v>sfo01-w01-r01-esx15.sfo.rainpole.io</v>
      </c>
      <c r="D155" s="337" t="str">
        <v>Value Missing</v>
      </c>
      <c r="E155" s="17"/>
    </row>
    <row r="156" spans="2:5" ht="20.100000000000001" customHeight="1" x14ac:dyDescent="0.2">
      <c r="B156" s="17" t="s">
        <v>701</v>
      </c>
      <c r="C156" s="362" t="str">
        <v>sfo01-w01-r01-esx16.sfo.rainpole.io</v>
      </c>
      <c r="D156" s="337" t="str">
        <v>Value Missing</v>
      </c>
      <c r="E156" s="17"/>
    </row>
    <row r="157" spans="2:5" ht="15.95" customHeight="1" x14ac:dyDescent="0.2"/>
    <row r="158" spans="2:5" ht="33.950000000000003" customHeight="1" x14ac:dyDescent="0.2">
      <c r="B158" s="408" t="s">
        <v>413</v>
      </c>
      <c r="C158" s="409"/>
      <c r="D158" s="409"/>
      <c r="E158" s="410"/>
    </row>
    <row r="159" spans="2:5" ht="20.100000000000001" customHeight="1" x14ac:dyDescent="0.2">
      <c r="B159" s="405" t="s">
        <v>1270</v>
      </c>
      <c r="C159" s="406"/>
      <c r="D159" s="406"/>
      <c r="E159" s="407"/>
    </row>
    <row r="160" spans="2:5" ht="20.100000000000001" customHeight="1" x14ac:dyDescent="0.2">
      <c r="B160" s="346" t="s">
        <v>37</v>
      </c>
      <c r="C160" s="346" t="s">
        <v>276</v>
      </c>
      <c r="D160" s="346" t="s">
        <v>277</v>
      </c>
      <c r="E160" s="346" t="s">
        <v>5</v>
      </c>
    </row>
    <row r="161" spans="2:5" ht="20.100000000000001" customHeight="1" x14ac:dyDescent="0.2">
      <c r="B161" s="17" t="s">
        <v>415</v>
      </c>
      <c r="C161" s="362" t="s">
        <v>215</v>
      </c>
      <c r="D161" s="347" t="s">
        <v>215</v>
      </c>
      <c r="E161" s="337"/>
    </row>
    <row r="162" spans="2:5" ht="20.100000000000001" customHeight="1" x14ac:dyDescent="0.2">
      <c r="B162" s="17" t="s">
        <v>1271</v>
      </c>
      <c r="C162" s="362" t="s">
        <v>286</v>
      </c>
      <c r="D162" s="347" t="s">
        <v>323</v>
      </c>
      <c r="E162" s="337" t="s">
        <v>1555</v>
      </c>
    </row>
    <row r="163" spans="2:5" ht="15.95" customHeight="1" x14ac:dyDescent="0.2"/>
    <row r="164" spans="2:5" ht="33.950000000000003" customHeight="1" x14ac:dyDescent="0.2">
      <c r="B164" s="392" t="s">
        <v>416</v>
      </c>
      <c r="C164" s="393"/>
      <c r="D164" s="393"/>
      <c r="E164" s="394"/>
    </row>
    <row r="165" spans="2:5" ht="20.100000000000001" customHeight="1" x14ac:dyDescent="0.2">
      <c r="B165" s="154" t="s">
        <v>1556</v>
      </c>
      <c r="C165" s="155"/>
      <c r="D165" s="155"/>
      <c r="E165" s="156"/>
    </row>
    <row r="166" spans="2:5" ht="20.100000000000001" customHeight="1" x14ac:dyDescent="0.2">
      <c r="B166" s="346" t="s">
        <v>37</v>
      </c>
      <c r="C166" s="346" t="s">
        <v>276</v>
      </c>
      <c r="D166" s="346" t="s">
        <v>277</v>
      </c>
      <c r="E166" s="346" t="s">
        <v>5</v>
      </c>
    </row>
    <row r="167" spans="2:5" ht="20.100000000000001" customHeight="1" x14ac:dyDescent="0.2">
      <c r="B167" s="17" t="s">
        <v>1274</v>
      </c>
      <c r="C167" s="362" t="str">
        <f>CONCATENATE(sample_cluster_name,"-vds01")</f>
        <v>sfo-w01-cl02-vds01</v>
      </c>
      <c r="D167" s="347"/>
      <c r="E167" s="337"/>
    </row>
    <row r="168" spans="2:5" ht="20.100000000000001" customHeight="1" x14ac:dyDescent="0.2">
      <c r="B168" s="17" t="s">
        <v>401</v>
      </c>
      <c r="C168" s="362">
        <v>9000</v>
      </c>
      <c r="D168" s="347"/>
      <c r="E168" s="337"/>
    </row>
    <row r="169" spans="2:5" ht="20.100000000000001" customHeight="1" x14ac:dyDescent="0.2">
      <c r="B169" s="17" t="s">
        <v>30</v>
      </c>
      <c r="C169" s="362" t="s">
        <v>419</v>
      </c>
      <c r="D169" s="347" t="s">
        <v>419</v>
      </c>
      <c r="E169" s="328" t="str">
        <f>IF(cluster_vds01_link_type_chosen="VDS Lag","Only supported via API. Use VCF.JSONGenerator to generate the JSON File once PnP is complete","Option is not visible in VMware Cloud Foundations Operations UI")</f>
        <v>Option is not visible in VMware Cloud Foundations Operations UI</v>
      </c>
    </row>
    <row r="170" spans="2:5" ht="20.100000000000001" customHeight="1" x14ac:dyDescent="0.2">
      <c r="B170" s="4" t="s">
        <v>420</v>
      </c>
      <c r="C170" s="84" t="str">
        <f>CONCATENATE("w01-cl02-vds1-lg")</f>
        <v>w01-cl02-vds1-lg</v>
      </c>
      <c r="D170" s="347"/>
      <c r="E170" s="328" t="str">
        <f>IF(cluster_vds01_link_type_chosen="VDS Uplinks","This input is masked out as you have chosen to configure VDS Uplinks","Option is not visible in VCF Operations UI. There is a 16 Character Limit for LAG Name")</f>
        <v>This input is masked out as you have chosen to configure VDS Uplinks</v>
      </c>
    </row>
    <row r="171" spans="2:5" ht="20.100000000000001" customHeight="1" x14ac:dyDescent="0.2">
      <c r="B171" s="4" t="s">
        <v>421</v>
      </c>
      <c r="C171" s="137" t="s">
        <v>422</v>
      </c>
      <c r="D171" s="347" t="s">
        <v>422</v>
      </c>
      <c r="E171" s="328" t="str">
        <f>IF(cluster_vds01_link_type_chosen="VDS Uplinks","This input is masked out as you have chosen to configure VDS Uplinks","Option is not visible in VMware Cloud Foundations Operations UI")</f>
        <v>This input is masked out as you have chosen to configure VDS Uplinks</v>
      </c>
    </row>
    <row r="172" spans="2:5" ht="20.100000000000001" customHeight="1" x14ac:dyDescent="0.2">
      <c r="B172" s="4" t="s">
        <v>423</v>
      </c>
      <c r="C172" s="137" t="s">
        <v>424</v>
      </c>
      <c r="D172" s="347" t="s">
        <v>424</v>
      </c>
      <c r="E172" s="328" t="str">
        <f>IF(cluster_vds01_link_type_chosen="VDS Uplinks","This input is masked out as you have chosen to configure VDS Uplinks","Option is not visible in VMware Cloud Foundations Operations UI")</f>
        <v>This input is masked out as you have chosen to configure VDS Uplinks</v>
      </c>
    </row>
    <row r="173" spans="2:5" ht="20.100000000000001" customHeight="1" x14ac:dyDescent="0.2">
      <c r="B173" s="4" t="s">
        <v>425</v>
      </c>
      <c r="C173" s="137" t="s">
        <v>426</v>
      </c>
      <c r="D173" s="347" t="s">
        <v>426</v>
      </c>
      <c r="E173" s="328" t="str">
        <f>IF(cluster_vds01_link_type_chosen="VDS Uplinks","This input is masked out as you have chosen to configure VDS Uplinks","Option is not visible in VMware Cloud Foundations Operations UI")</f>
        <v>This input is masked out as you have chosen to configure VDS Uplinks</v>
      </c>
    </row>
    <row r="174" spans="2:5" ht="20.100000000000001" customHeight="1" x14ac:dyDescent="0.2">
      <c r="B174" s="22" t="s">
        <v>427</v>
      </c>
      <c r="C174" s="159">
        <v>2</v>
      </c>
      <c r="D174" s="79"/>
      <c r="E174" s="161"/>
    </row>
    <row r="175" spans="2:5" ht="20.100000000000001" customHeight="1" x14ac:dyDescent="0.2">
      <c r="B175" s="17" t="s">
        <v>1276</v>
      </c>
      <c r="C175" s="362" t="s">
        <v>1277</v>
      </c>
      <c r="D175" s="347"/>
      <c r="E175" s="161"/>
    </row>
    <row r="176" spans="2:5" ht="20.100000000000001" customHeight="1" x14ac:dyDescent="0.2">
      <c r="B176" s="17" t="s">
        <v>1278</v>
      </c>
      <c r="C176" s="362" t="str">
        <f>cluster_vds01_traffic_type</f>
        <v>Management vMotion vSAN NSX-Overlay</v>
      </c>
      <c r="D176" s="337" t="str">
        <f>cluster_vds01_traffic_type</f>
        <v>Management vMotion vSAN NSX-Overlay</v>
      </c>
      <c r="E176" s="337"/>
    </row>
    <row r="177" spans="2:5" ht="20.100000000000001" customHeight="1" x14ac:dyDescent="0.2">
      <c r="B177" s="405" t="s">
        <v>430</v>
      </c>
      <c r="C177" s="406"/>
      <c r="D177" s="406"/>
      <c r="E177" s="407"/>
    </row>
    <row r="178" spans="2:5" ht="20.100000000000001" customHeight="1" x14ac:dyDescent="0.2">
      <c r="B178" s="17" t="s">
        <v>1280</v>
      </c>
      <c r="C178" s="362" t="str">
        <f>CONCATENATE(sample_cluster_name,"-vds02")</f>
        <v>sfo-w01-cl02-vds02</v>
      </c>
      <c r="D178" s="347"/>
      <c r="E178" s="337"/>
    </row>
    <row r="179" spans="2:5" ht="20.100000000000001" customHeight="1" x14ac:dyDescent="0.2">
      <c r="B179" s="17" t="s">
        <v>401</v>
      </c>
      <c r="C179" s="362">
        <v>9000</v>
      </c>
      <c r="D179" s="347"/>
      <c r="E179" s="337"/>
    </row>
    <row r="180" spans="2:5" ht="20.100000000000001" customHeight="1" x14ac:dyDescent="0.2">
      <c r="B180" s="17" t="s">
        <v>30</v>
      </c>
      <c r="C180" s="362" t="s">
        <v>419</v>
      </c>
      <c r="D180" s="347" t="s">
        <v>419</v>
      </c>
      <c r="E180" s="210" t="str">
        <f>IF(cluster_vds02_link_type_chosen="VDS Lag","Only supported via API. Use VCF.JSONGenerator to generate the JSON File once PnP is complete","Option is not visible in VMware Cloud Foundations Operations UI")</f>
        <v>Option is not visible in VMware Cloud Foundations Operations UI</v>
      </c>
    </row>
    <row r="181" spans="2:5" ht="20.100000000000001" customHeight="1" x14ac:dyDescent="0.2">
      <c r="B181" s="4" t="s">
        <v>420</v>
      </c>
      <c r="C181" s="84" t="str">
        <f>CONCATENATE("w01-cl02-vds2-lg")</f>
        <v>w01-cl02-vds2-lg</v>
      </c>
      <c r="D181" s="347"/>
      <c r="E181" s="210" t="str">
        <f>IF(cluster_vds02_link_type_chosen="VDS Uplinks","This input is masked out as you have chosen to configure VDS Uplinks","Option is not visible in VCF Operations UI. There is a 16 Character Limit for LAG Name")</f>
        <v>This input is masked out as you have chosen to configure VDS Uplinks</v>
      </c>
    </row>
    <row r="182" spans="2:5" ht="20.100000000000001" customHeight="1" x14ac:dyDescent="0.2">
      <c r="B182" s="4" t="s">
        <v>421</v>
      </c>
      <c r="C182" s="137" t="s">
        <v>422</v>
      </c>
      <c r="D182" s="347" t="s">
        <v>422</v>
      </c>
      <c r="E182" s="210" t="str">
        <f>IF(cluster_vds02_link_type_chosen="VDS Uplinks","This input is masked out as you have chosen to configure VDS Uplinks","Option is not visible in VMware Cloud Foundations Operations UI")</f>
        <v>This input is masked out as you have chosen to configure VDS Uplinks</v>
      </c>
    </row>
    <row r="183" spans="2:5" ht="20.100000000000001" customHeight="1" x14ac:dyDescent="0.2">
      <c r="B183" s="4" t="s">
        <v>423</v>
      </c>
      <c r="C183" s="137" t="s">
        <v>424</v>
      </c>
      <c r="D183" s="347" t="s">
        <v>424</v>
      </c>
      <c r="E183" s="210" t="str">
        <f>IF(cluster_vds02_link_type_chosen="VDS Uplinks","This input is masked out as you have chosen to configure VDS Uplinks","Option is not visible in VMware Cloud Foundations Operations UI")</f>
        <v>This input is masked out as you have chosen to configure VDS Uplinks</v>
      </c>
    </row>
    <row r="184" spans="2:5" ht="20.100000000000001" customHeight="1" x14ac:dyDescent="0.2">
      <c r="B184" s="4" t="s">
        <v>425</v>
      </c>
      <c r="C184" s="137" t="s">
        <v>426</v>
      </c>
      <c r="D184" s="347" t="s">
        <v>426</v>
      </c>
      <c r="E184" s="210" t="str">
        <f>IF(cluster_vds02_link_type_chosen="VDS Uplinks","This input is masked out as you have chosen to configure VDS Uplinks","Option is not visible in VMware Cloud Foundations Operations UI")</f>
        <v>This input is masked out as you have chosen to configure VDS Uplinks</v>
      </c>
    </row>
    <row r="185" spans="2:5" ht="20.100000000000001" customHeight="1" x14ac:dyDescent="0.2">
      <c r="B185" s="22" t="s">
        <v>427</v>
      </c>
      <c r="C185" s="159">
        <v>2</v>
      </c>
      <c r="D185" s="79"/>
      <c r="E185" s="161"/>
    </row>
    <row r="186" spans="2:5" ht="20.100000000000001" customHeight="1" x14ac:dyDescent="0.2">
      <c r="B186" s="17" t="s">
        <v>1276</v>
      </c>
      <c r="C186" s="362" t="s">
        <v>1281</v>
      </c>
      <c r="D186" s="347"/>
      <c r="E186" s="337"/>
    </row>
    <row r="187" spans="2:5" ht="20.100000000000001" customHeight="1" x14ac:dyDescent="0.2">
      <c r="B187" s="17" t="s">
        <v>1278</v>
      </c>
      <c r="C187" s="362" t="s">
        <v>713</v>
      </c>
      <c r="D187" s="337" t="str">
        <f t="array" ref="D187">cluster_vds02_traffic_type</f>
        <v/>
      </c>
      <c r="E187" s="337"/>
    </row>
    <row r="188" spans="2:5" ht="20.100000000000001" customHeight="1" x14ac:dyDescent="0.2">
      <c r="B188" s="405" t="s">
        <v>433</v>
      </c>
      <c r="C188" s="406"/>
      <c r="D188" s="406"/>
      <c r="E188" s="407"/>
    </row>
    <row r="189" spans="2:5" ht="20.100000000000001" customHeight="1" x14ac:dyDescent="0.2">
      <c r="B189" s="17" t="s">
        <v>1282</v>
      </c>
      <c r="C189" s="362" t="str">
        <f>CONCATENATE(sample_cluster_name,"-vds03")</f>
        <v>sfo-w01-cl02-vds03</v>
      </c>
      <c r="D189" s="347"/>
      <c r="E189" s="337"/>
    </row>
    <row r="190" spans="2:5" ht="20.100000000000001" customHeight="1" x14ac:dyDescent="0.2">
      <c r="B190" s="17" t="s">
        <v>401</v>
      </c>
      <c r="C190" s="362">
        <v>9000</v>
      </c>
      <c r="D190" s="347"/>
      <c r="E190" s="337"/>
    </row>
    <row r="191" spans="2:5" ht="20.100000000000001" customHeight="1" x14ac:dyDescent="0.2">
      <c r="B191" s="17" t="s">
        <v>30</v>
      </c>
      <c r="C191" s="362" t="s">
        <v>419</v>
      </c>
      <c r="D191" s="347" t="s">
        <v>419</v>
      </c>
      <c r="E191" s="337" t="str">
        <f>IF(cluster_vds_profile_chosen&lt;&gt;"Storage Traffic and NSX Traffic Separation",IF(cluster_vds03_link_type_chosen="VDS Lag","Only supported via API. Use VCF.JSONGenerator to generate the JSON File once PnP is complete","Option is not visible in VMware Cloud Foundations Operations UI"),"")</f>
        <v>Option is not visible in VMware Cloud Foundations Operations UI</v>
      </c>
    </row>
    <row r="192" spans="2:5" ht="20.100000000000001" customHeight="1" x14ac:dyDescent="0.2">
      <c r="B192" s="4" t="s">
        <v>420</v>
      </c>
      <c r="C192" s="84" t="str">
        <f>CONCATENATE("w01-cl02-vds3-lg")</f>
        <v>w01-cl02-vds3-lg</v>
      </c>
      <c r="D192" s="347"/>
      <c r="E192" s="337" t="str">
        <f>IF(cluster_vds_profile_chosen&lt;&gt;"Storage Traffic and NSX Traffic Separation",IF(cluster_vds03_link_type_chosen="VDS Uplinks","This input is masked out as you have chosen to configure VDS Uplinks","Option is not visible in VCF Operations UI. There is a 16 Character Limit for LAG Name"),"")</f>
        <v>This input is masked out as you have chosen to configure VDS Uplinks</v>
      </c>
    </row>
    <row r="193" spans="2:5" ht="20.100000000000001" customHeight="1" x14ac:dyDescent="0.2">
      <c r="B193" s="4" t="s">
        <v>421</v>
      </c>
      <c r="C193" s="137" t="s">
        <v>422</v>
      </c>
      <c r="D193" s="347" t="s">
        <v>422</v>
      </c>
      <c r="E193"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4" spans="2:5" ht="20.100000000000001" customHeight="1" x14ac:dyDescent="0.2">
      <c r="B194" s="4" t="s">
        <v>423</v>
      </c>
      <c r="C194" s="137" t="s">
        <v>424</v>
      </c>
      <c r="D194" s="347" t="s">
        <v>424</v>
      </c>
      <c r="E194"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5" spans="2:5" ht="20.100000000000001" customHeight="1" x14ac:dyDescent="0.2">
      <c r="B195" s="4" t="s">
        <v>425</v>
      </c>
      <c r="C195" s="137" t="s">
        <v>426</v>
      </c>
      <c r="D195" s="347" t="s">
        <v>426</v>
      </c>
      <c r="E195"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6" spans="2:5" ht="20.100000000000001" customHeight="1" x14ac:dyDescent="0.2">
      <c r="B196" s="22" t="s">
        <v>427</v>
      </c>
      <c r="C196" s="159">
        <v>2</v>
      </c>
      <c r="D196" s="79"/>
      <c r="E196" s="161"/>
    </row>
    <row r="197" spans="2:5" ht="20.100000000000001" customHeight="1" x14ac:dyDescent="0.2">
      <c r="B197" s="17" t="s">
        <v>1276</v>
      </c>
      <c r="C197" s="362" t="s">
        <v>1283</v>
      </c>
      <c r="D197" s="347"/>
      <c r="E197" s="337"/>
    </row>
    <row r="198" spans="2:5" ht="20.100000000000001" customHeight="1" x14ac:dyDescent="0.2">
      <c r="B198" s="17" t="s">
        <v>1278</v>
      </c>
      <c r="C198" s="362" t="s">
        <v>1284</v>
      </c>
      <c r="D198" s="337" t="str">
        <f>cluster_vds03_traffic_type</f>
        <v/>
      </c>
      <c r="E198" s="337"/>
    </row>
    <row r="199" spans="2:5" ht="20.100000000000001" customHeight="1" x14ac:dyDescent="0.2">
      <c r="B199" s="154" t="s">
        <v>1285</v>
      </c>
      <c r="C199" s="155"/>
      <c r="D199" s="155"/>
      <c r="E199" s="156"/>
    </row>
    <row r="200" spans="2:5" ht="20.100000000000001" customHeight="1" x14ac:dyDescent="0.2">
      <c r="B200" s="22" t="s">
        <v>437</v>
      </c>
      <c r="C200" s="362" t="str">
        <f>CONCATENATE(sample_cluster_name,"-pg-esx-mgmt")</f>
        <v>sfo-w01-cl02-pg-esx-mgmt</v>
      </c>
      <c r="D200" s="347"/>
      <c r="E200" s="153" t="s">
        <v>1286</v>
      </c>
    </row>
    <row r="201" spans="2:5" ht="20.100000000000001" customHeight="1" x14ac:dyDescent="0.2">
      <c r="B201" s="22" t="s">
        <v>438</v>
      </c>
      <c r="C201" s="159" t="s">
        <v>439</v>
      </c>
      <c r="D201" s="79" t="s">
        <v>439</v>
      </c>
      <c r="E201" s="161" t="str">
        <f>IF(cluster_vds01_link_type_chosen="VDS Lag","This input is masked out as you have chosen to configure VDS LAG","")</f>
        <v/>
      </c>
    </row>
    <row r="202" spans="2:5" ht="20.100000000000001" customHeight="1" x14ac:dyDescent="0.2">
      <c r="B202" s="22" t="s">
        <v>440</v>
      </c>
      <c r="C202" s="159" t="s">
        <v>422</v>
      </c>
      <c r="D202" s="79" t="s">
        <v>422</v>
      </c>
      <c r="E202" s="161" t="str">
        <f>IF(cluster_vds01_link_type_chosen="VDS Lag","This input is masked out as you have chosen to configure VDS LAG","")</f>
        <v/>
      </c>
    </row>
    <row r="203" spans="2:5" ht="20.100000000000001" customHeight="1" x14ac:dyDescent="0.2">
      <c r="B203" s="22" t="s">
        <v>441</v>
      </c>
      <c r="C203" s="159" t="s">
        <v>422</v>
      </c>
      <c r="D203" s="79" t="s">
        <v>422</v>
      </c>
      <c r="E203" s="161" t="str">
        <f>IF(cluster_vds01_link_type_chosen="VDS Lag","This input is masked out as you have chosen to configure VDS LAG","")</f>
        <v/>
      </c>
    </row>
    <row r="204" spans="2:5" ht="20.100000000000001" customHeight="1" x14ac:dyDescent="0.2">
      <c r="B204" s="154" t="s">
        <v>442</v>
      </c>
      <c r="C204" s="155"/>
      <c r="D204" s="155"/>
      <c r="E204" s="156"/>
    </row>
    <row r="205" spans="2:5" ht="20.100000000000001" customHeight="1" x14ac:dyDescent="0.2">
      <c r="B205" s="22" t="s">
        <v>437</v>
      </c>
      <c r="C205" s="362" t="str">
        <f>CONCATENATE(sample_cluster_name,"-pg-vm-mgmt")</f>
        <v>sfo-w01-cl02-pg-vm-mgmt</v>
      </c>
      <c r="D205" s="347"/>
      <c r="E205" s="161" t="s">
        <v>1557</v>
      </c>
    </row>
    <row r="206" spans="2:5" ht="20.100000000000001" customHeight="1" x14ac:dyDescent="0.2">
      <c r="B206" s="22" t="s">
        <v>438</v>
      </c>
      <c r="C206" s="159" t="s">
        <v>439</v>
      </c>
      <c r="D206" s="79" t="s">
        <v>439</v>
      </c>
      <c r="E206" s="161" t="str">
        <f>IF(cluster_vds01_link_type_chosen="VDS Lag","This input is masked out as you have chosen to configure VDS LAG","")</f>
        <v/>
      </c>
    </row>
    <row r="207" spans="2:5" ht="20.100000000000001" customHeight="1" x14ac:dyDescent="0.2">
      <c r="B207" s="22" t="s">
        <v>440</v>
      </c>
      <c r="C207" s="159" t="s">
        <v>422</v>
      </c>
      <c r="D207" s="79" t="s">
        <v>422</v>
      </c>
      <c r="E207" s="161" t="str">
        <f>IF(cluster_vds01_link_type_chosen="VDS Lag","This input is masked out as you have chosen to configure VDS LAG","")</f>
        <v/>
      </c>
    </row>
    <row r="208" spans="2:5" ht="20.100000000000001" customHeight="1" x14ac:dyDescent="0.2">
      <c r="B208" s="22" t="s">
        <v>441</v>
      </c>
      <c r="C208" s="159" t="s">
        <v>422</v>
      </c>
      <c r="D208" s="79" t="s">
        <v>422</v>
      </c>
      <c r="E208" s="161" t="str">
        <f>IF(cluster_vds01_link_type_chosen="VDS Lag","This input is masked out as you have chosen to configure VDS LAG","")</f>
        <v/>
      </c>
    </row>
    <row r="209" spans="2:5" ht="20.100000000000001" customHeight="1" x14ac:dyDescent="0.2">
      <c r="B209" s="154" t="s">
        <v>443</v>
      </c>
      <c r="C209" s="155"/>
      <c r="D209" s="155"/>
      <c r="E209" s="156"/>
    </row>
    <row r="210" spans="2:5" ht="20.100000000000001" customHeight="1" x14ac:dyDescent="0.2">
      <c r="B210" s="22" t="s">
        <v>437</v>
      </c>
      <c r="C210" s="362" t="str">
        <f>CONCATENATE(sample_cluster_name,"-pg-vmotion")</f>
        <v>sfo-w01-cl02-pg-vmotion</v>
      </c>
      <c r="D210" s="347"/>
      <c r="E210"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11" spans="2:5" ht="20.100000000000001" customHeight="1" x14ac:dyDescent="0.2">
      <c r="B211" s="22" t="s">
        <v>438</v>
      </c>
      <c r="C211" s="159" t="s">
        <v>439</v>
      </c>
      <c r="D211" s="79" t="s">
        <v>439</v>
      </c>
      <c r="E211" s="161" t="str">
        <f>IF(cluster_vds01_link_type_chosen="VDS Lag","This input is masked out as you have chosen to configure VDS LAG","")</f>
        <v/>
      </c>
    </row>
    <row r="212" spans="2:5" ht="20.100000000000001" customHeight="1" x14ac:dyDescent="0.2">
      <c r="B212" s="22" t="s">
        <v>440</v>
      </c>
      <c r="C212" s="159" t="s">
        <v>422</v>
      </c>
      <c r="D212" s="79" t="s">
        <v>422</v>
      </c>
      <c r="E212" s="161" t="str">
        <f>IF(cluster_vds01_link_type_chosen="VDS Lag","This input is masked out as you have chosen to configure VDS LAG","")</f>
        <v/>
      </c>
    </row>
    <row r="213" spans="2:5" ht="20.100000000000001" customHeight="1" x14ac:dyDescent="0.2">
      <c r="B213" s="22" t="s">
        <v>441</v>
      </c>
      <c r="C213" s="159" t="s">
        <v>422</v>
      </c>
      <c r="D213" s="79" t="s">
        <v>422</v>
      </c>
      <c r="E213" s="161" t="str">
        <f>IF(cluster_vds01_link_type_chosen="VDS Lag","This input is masked out as you have chosen to configure VDS LAG","")</f>
        <v/>
      </c>
    </row>
    <row r="214" spans="2:5" ht="20.100000000000001" customHeight="1" x14ac:dyDescent="0.2">
      <c r="B214" s="154" t="str">
        <f>IF(cluster_principal_storage_chosen="NFSv3","Network Traffic: NFS","Network Traffic: vSAN")</f>
        <v>Network Traffic: vSAN</v>
      </c>
      <c r="C214" s="155"/>
      <c r="D214" s="155"/>
      <c r="E214" s="156"/>
    </row>
    <row r="215" spans="2:5" ht="20.100000000000001" customHeight="1" x14ac:dyDescent="0.2">
      <c r="B215" s="22" t="s">
        <v>437</v>
      </c>
      <c r="C215" s="362" t="str">
        <f>CONCATENATE(sample_cluster_name,"-pg-vsan")</f>
        <v>sfo-w01-cl02-pg-vsan</v>
      </c>
      <c r="D215" s="347"/>
      <c r="E215" s="337"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row>
    <row r="216" spans="2:5" ht="20.100000000000001" customHeight="1" x14ac:dyDescent="0.2">
      <c r="B216" s="22" t="s">
        <v>438</v>
      </c>
      <c r="C216" s="159" t="s">
        <v>439</v>
      </c>
      <c r="D216" s="79" t="s">
        <v>439</v>
      </c>
      <c r="E216"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7" spans="2:5" ht="20.100000000000001" customHeight="1" x14ac:dyDescent="0.2">
      <c r="B217" s="22" t="s">
        <v>440</v>
      </c>
      <c r="C217" s="159" t="s">
        <v>422</v>
      </c>
      <c r="D217" s="79" t="s">
        <v>422</v>
      </c>
      <c r="E217"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8" spans="2:5" ht="20.100000000000001" customHeight="1" x14ac:dyDescent="0.2">
      <c r="B218" s="22" t="s">
        <v>441</v>
      </c>
      <c r="C218" s="159" t="s">
        <v>422</v>
      </c>
      <c r="D218" s="79" t="s">
        <v>422</v>
      </c>
      <c r="E218"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9" spans="2:5" ht="20.100000000000001" customHeight="1" x14ac:dyDescent="0.2">
      <c r="B219" s="154" t="s">
        <v>1288</v>
      </c>
      <c r="C219" s="155"/>
      <c r="D219" s="155"/>
      <c r="E219" s="156"/>
    </row>
    <row r="220" spans="2:5" ht="20.100000000000001" customHeight="1" x14ac:dyDescent="0.2">
      <c r="B220" s="22" t="s">
        <v>437</v>
      </c>
      <c r="C220" s="362" t="str">
        <f>CONCATENATE(sample_cluster_name,"-pg-vsan-client")</f>
        <v>sfo-w01-cl02-pg-vsan-client</v>
      </c>
      <c r="D220" s="347"/>
      <c r="E220" s="153"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21" spans="2:5" ht="20.100000000000001" customHeight="1" x14ac:dyDescent="0.2">
      <c r="B221" s="22" t="s">
        <v>438</v>
      </c>
      <c r="C221" s="159" t="s">
        <v>439</v>
      </c>
      <c r="D221" s="79" t="s">
        <v>439</v>
      </c>
      <c r="E221"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2" spans="2:5" ht="20.100000000000001" customHeight="1" x14ac:dyDescent="0.2">
      <c r="B222" s="22" t="s">
        <v>440</v>
      </c>
      <c r="C222" s="159" t="s">
        <v>422</v>
      </c>
      <c r="D222" s="79" t="s">
        <v>422</v>
      </c>
      <c r="E222"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3" spans="2:5" ht="20.100000000000001" customHeight="1" x14ac:dyDescent="0.2">
      <c r="B223" s="22" t="s">
        <v>441</v>
      </c>
      <c r="C223" s="159" t="s">
        <v>422</v>
      </c>
      <c r="D223" s="79" t="s">
        <v>422</v>
      </c>
      <c r="E223"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4" spans="2:5" ht="20.100000000000001" customHeight="1" x14ac:dyDescent="0.2">
      <c r="B224" s="405" t="s">
        <v>446</v>
      </c>
      <c r="C224" s="406"/>
      <c r="D224" s="406"/>
      <c r="E224" s="407"/>
    </row>
    <row r="225" spans="2:5" ht="20.100000000000001" customHeight="1" x14ac:dyDescent="0.2">
      <c r="B225" s="4" t="s">
        <v>447</v>
      </c>
      <c r="C225" s="362" t="s">
        <v>323</v>
      </c>
      <c r="D225" s="347" t="s">
        <v>323</v>
      </c>
      <c r="E225" s="337"/>
    </row>
    <row r="226" spans="2:5" ht="20.100000000000001" customHeight="1" x14ac:dyDescent="0.2">
      <c r="B226" s="4" t="s">
        <v>267</v>
      </c>
      <c r="C226" s="362" t="s">
        <v>267</v>
      </c>
      <c r="D226" s="347" t="s">
        <v>267</v>
      </c>
      <c r="E226" s="337"/>
    </row>
    <row r="227" spans="2:5" ht="20.100000000000001" customHeight="1" x14ac:dyDescent="0.2">
      <c r="B227" s="4" t="s">
        <v>1558</v>
      </c>
      <c r="C227" s="362" t="s">
        <v>323</v>
      </c>
      <c r="D227" s="347" t="s">
        <v>323</v>
      </c>
      <c r="E227" s="337"/>
    </row>
    <row r="228" spans="2:5" ht="20.100000000000001" customHeight="1" x14ac:dyDescent="0.2">
      <c r="B228" s="4" t="s">
        <v>1290</v>
      </c>
      <c r="C228" s="362" t="s">
        <v>286</v>
      </c>
      <c r="D228" s="347" t="s">
        <v>286</v>
      </c>
      <c r="E228" s="337"/>
    </row>
    <row r="229" spans="2:5" ht="20.100000000000001" customHeight="1" x14ac:dyDescent="0.2">
      <c r="B229" s="405" t="s">
        <v>452</v>
      </c>
      <c r="C229" s="406"/>
      <c r="D229" s="406"/>
      <c r="E229" s="407"/>
    </row>
    <row r="230" spans="2:5" ht="20.100000000000001" customHeight="1" x14ac:dyDescent="0.2">
      <c r="B230" s="4" t="s">
        <v>453</v>
      </c>
      <c r="C230" s="362" t="str">
        <f>IF(cluster_wld_domain_chosen="VI Workload Domain",CONCATENATE("overlay-tz-",this_instance,"-w0",wld_domain_number_chosen,"-nsx01"),CONCATENATE("overlay-tz-",this_instance,"-m01","-nsx01"))</f>
        <v>overlay-tz-sfo-w01-nsx01</v>
      </c>
      <c r="D230" s="347"/>
      <c r="E230" s="337"/>
    </row>
    <row r="231" spans="2:5" ht="20.100000000000001" customHeight="1" x14ac:dyDescent="0.2">
      <c r="B231" s="4" t="s">
        <v>398</v>
      </c>
      <c r="C231" s="362" t="str">
        <f>IF(cluster_wld_domain_chosen="VI Workload Domain",CONCATENATE(prefix_wld_az1_vlan,"14"),CONCATENATE(prefix_mgmt_az1_vlan,"14"))</f>
        <v>1314</v>
      </c>
      <c r="D231" s="347"/>
      <c r="E231" s="337"/>
    </row>
    <row r="232" spans="2:5" ht="20.100000000000001" customHeight="1" x14ac:dyDescent="0.2">
      <c r="B232" s="4" t="s">
        <v>454</v>
      </c>
      <c r="C232" s="362" t="s">
        <v>1291</v>
      </c>
      <c r="D232" s="355" t="s">
        <v>1291</v>
      </c>
      <c r="E232" s="337"/>
    </row>
    <row r="233" spans="2:5" ht="20.100000000000001" customHeight="1" x14ac:dyDescent="0.2">
      <c r="B233" s="4" t="s">
        <v>1291</v>
      </c>
      <c r="C233" s="362" t="s">
        <v>1559</v>
      </c>
      <c r="D233" s="347" t="s">
        <v>1559</v>
      </c>
      <c r="E233" s="337"/>
    </row>
    <row r="234" spans="2:5" ht="20.100000000000001" customHeight="1" x14ac:dyDescent="0.2">
      <c r="B234" s="4" t="s">
        <v>456</v>
      </c>
      <c r="C234" s="126" t="str">
        <f>IF(cluster_wld_domain_chosen="VI Workload Domain",CONCATENATE(this_instance,"01-w0",wld_domain_number_chosen,"-r01-ip-pool01-host"),CONCATENATE(this_instance,"01-m01","-r01-ip-pool01-host"))</f>
        <v>sfo01-w01-r01-ip-pool01-host</v>
      </c>
      <c r="D234" s="347"/>
      <c r="E234" s="337"/>
    </row>
    <row r="235" spans="2:5" ht="20.100000000000001" customHeight="1" x14ac:dyDescent="0.2">
      <c r="B235" s="4" t="s">
        <v>1560</v>
      </c>
      <c r="C235" s="126" t="s">
        <v>458</v>
      </c>
      <c r="D235" s="347"/>
      <c r="E235" s="337"/>
    </row>
    <row r="236" spans="2:5" ht="20.100000000000001" customHeight="1" x14ac:dyDescent="0.2">
      <c r="B236" s="4" t="s">
        <v>459</v>
      </c>
      <c r="C236" s="362" t="str">
        <f>IF(cluster_wld_domain_chosen="VI Workload Domain",CONCATENATE(prefix_wld_az1_cidr,"14.0/24"),CONCATENATE(prefix_mgmt_az1_cidr,"14.0/24"))</f>
        <v>10.13.14.0/24</v>
      </c>
      <c r="D236" s="347"/>
      <c r="E236" s="337"/>
    </row>
    <row r="237" spans="2:5" ht="20.100000000000001" customHeight="1" x14ac:dyDescent="0.2">
      <c r="B237" s="4" t="s">
        <v>460</v>
      </c>
      <c r="C237" s="362" t="str">
        <f>IF(cluster_wld_domain_chosen="VI Workload Domain",CONCATENATE(prefix_wld_az1_cidr,"14.101"),CONCATENATE(prefix_mgmt_az1_cidr,"14.101"))</f>
        <v>10.13.14.101</v>
      </c>
      <c r="D237" s="347"/>
      <c r="E237" s="337"/>
    </row>
    <row r="238" spans="2:5" ht="20.100000000000001" customHeight="1" x14ac:dyDescent="0.2">
      <c r="B238" s="4" t="s">
        <v>461</v>
      </c>
      <c r="C238" s="362" t="str">
        <f>IF(cluster_wld_domain_chosen="VI Workload Domain",CONCATENATE(prefix_wld_az1_cidr,"14.132"),CONCATENATE(prefix_mgmt_az1_cidr,"14.132"))</f>
        <v>10.13.14.132</v>
      </c>
      <c r="D238" s="347"/>
      <c r="E238" s="337"/>
    </row>
    <row r="239" spans="2:5" ht="20.100000000000001" customHeight="1" x14ac:dyDescent="0.2">
      <c r="B239" s="4" t="s">
        <v>907</v>
      </c>
      <c r="C239" s="362" t="str">
        <f>IF(cluster_wld_domain_chosen="VI Workload Domain",CONCATENATE(prefix_wld_az1_cidr,"14.1"),CONCATENATE(prefix_mgmt_az1_cidr,"14.1"))</f>
        <v>10.13.14.1</v>
      </c>
      <c r="D239" s="347"/>
      <c r="E239" s="337"/>
    </row>
    <row r="240" spans="2:5" ht="20.100000000000001" customHeight="1" x14ac:dyDescent="0.2">
      <c r="B240" s="4" t="s">
        <v>1292</v>
      </c>
      <c r="C240" s="362" t="s">
        <v>1293</v>
      </c>
      <c r="D240" s="347"/>
      <c r="E240" s="337" t="str">
        <f>IF(cluster_nsx_vlan_transport_zone_chosen="Unselected","This input is masked out as your have not selected Transport Zone Type: NSX-VLAN","")</f>
        <v>This input is masked out as your have not selected Transport Zone Type: NSX-VLAN</v>
      </c>
    </row>
    <row r="241" spans="2:5" ht="20.100000000000001" customHeight="1" x14ac:dyDescent="0.2">
      <c r="B241" s="405" t="s">
        <v>1561</v>
      </c>
      <c r="C241" s="406"/>
      <c r="D241" s="406"/>
      <c r="E241" s="407"/>
    </row>
    <row r="242" spans="2:5" ht="20.100000000000001" customHeight="1" x14ac:dyDescent="0.2">
      <c r="B242" s="4" t="s">
        <v>784</v>
      </c>
      <c r="C242" s="362" t="str">
        <f>IF(cluster_wld_domain_chosen="VI Workload Domain",CONCATENATE(this_instance,"01-",sample_cluster_name,"-r01-network-profile"),CONCATENATE(this_instance,"01-",sample_cluster_name,"-r01-network-profile"))</f>
        <v>sfo01-sfo-w01-cl02-r01-network-profile</v>
      </c>
      <c r="D242" s="347"/>
      <c r="E242" s="337"/>
    </row>
    <row r="243" spans="2:5" ht="20.100000000000001" customHeight="1" x14ac:dyDescent="0.2">
      <c r="B243" s="4" t="s">
        <v>1295</v>
      </c>
      <c r="C243" s="362">
        <v>2</v>
      </c>
      <c r="D243" s="347"/>
      <c r="E243" s="337"/>
    </row>
    <row r="244" spans="2:5" ht="20.100000000000001" customHeight="1" x14ac:dyDescent="0.2">
      <c r="B244" s="4" t="s">
        <v>1296</v>
      </c>
      <c r="C244" s="362" t="s">
        <v>440</v>
      </c>
      <c r="D244" s="347"/>
      <c r="E244" s="337"/>
    </row>
    <row r="245" spans="2:5" ht="20.100000000000001" customHeight="1" x14ac:dyDescent="0.2">
      <c r="B245" s="4" t="s">
        <v>1297</v>
      </c>
      <c r="C245" s="362" t="s">
        <v>441</v>
      </c>
      <c r="D245" s="347"/>
      <c r="E245" s="337"/>
    </row>
    <row r="246" spans="2:5" ht="20.100000000000001" customHeight="1" x14ac:dyDescent="0.2">
      <c r="B246" s="17" t="s">
        <v>1298</v>
      </c>
      <c r="C246" s="126" t="str">
        <f>IF(cluster_wld_domain_chosen="VI Workload Domain",CONCATENATE(this_instance,"01-w0",wld_domain_number_chosen,"-r01-uplink-profile01"),CONCATENATE(this_instance,"01-m01","-r01-uplink-profile01"))</f>
        <v>sfo01-w01-r01-uplink-profile01</v>
      </c>
      <c r="D246" s="347"/>
      <c r="E246" s="337"/>
    </row>
    <row r="247" spans="2:5" ht="20.100000000000001" customHeight="1" x14ac:dyDescent="0.2">
      <c r="B247" s="4" t="s">
        <v>438</v>
      </c>
      <c r="C247" s="362" t="s">
        <v>1300</v>
      </c>
      <c r="D247" s="347" t="s">
        <v>1300</v>
      </c>
      <c r="E247"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8" spans="2:5" ht="20.100000000000001" customHeight="1" x14ac:dyDescent="0.2">
      <c r="B248" s="4" t="s">
        <v>1562</v>
      </c>
      <c r="C248" s="362" t="s">
        <v>440</v>
      </c>
      <c r="D248" s="347"/>
      <c r="E248"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9" spans="2:5" ht="20.100000000000001" customHeight="1" x14ac:dyDescent="0.2">
      <c r="B249" s="4" t="s">
        <v>1563</v>
      </c>
      <c r="C249" s="362" t="s">
        <v>441</v>
      </c>
      <c r="D249" s="347"/>
      <c r="E249"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50" spans="2:5" ht="15.95" customHeight="1" x14ac:dyDescent="0.2"/>
    <row r="251" spans="2:5" ht="33.950000000000003" customHeight="1" x14ac:dyDescent="0.2">
      <c r="B251" s="566" t="s">
        <v>1564</v>
      </c>
      <c r="C251" s="567"/>
      <c r="D251" s="567"/>
      <c r="E251" s="568"/>
    </row>
    <row r="252" spans="2:5" ht="15.95" customHeight="1" x14ac:dyDescent="0.2">
      <c r="B252" s="120"/>
      <c r="C252" s="35"/>
      <c r="D252" s="35"/>
      <c r="E252" s="35"/>
    </row>
    <row r="253" spans="2:5" ht="33.950000000000003" customHeight="1" x14ac:dyDescent="0.2">
      <c r="B253" s="559" t="s">
        <v>685</v>
      </c>
      <c r="C253" s="560"/>
      <c r="D253" s="560"/>
      <c r="E253" s="561"/>
    </row>
    <row r="254" spans="2:5" ht="20.100000000000001" customHeight="1" x14ac:dyDescent="0.2">
      <c r="B254" s="346" t="s">
        <v>37</v>
      </c>
      <c r="C254" s="346" t="s">
        <v>276</v>
      </c>
      <c r="D254" s="346" t="s">
        <v>277</v>
      </c>
      <c r="E254" s="346" t="s">
        <v>5</v>
      </c>
    </row>
    <row r="255" spans="2:5" ht="20.100000000000001" customHeight="1" x14ac:dyDescent="0.2">
      <c r="B255" s="417" t="s">
        <v>397</v>
      </c>
      <c r="C255" s="418"/>
      <c r="D255" s="418"/>
      <c r="E255" s="419"/>
    </row>
    <row r="256" spans="2:5" ht="20.100000000000001" customHeight="1" x14ac:dyDescent="0.2">
      <c r="B256" s="22" t="s">
        <v>398</v>
      </c>
      <c r="C256" s="80" t="str">
        <f>IF(cluster_wld_domain_chosen="VI Workload Domain",CONCATENATE(prefix_wld_az2_vlan,"11"),CONCATENATE(prefix_mgmt_az2_vlan,"11"))</f>
        <v>1411</v>
      </c>
      <c r="D256" s="267"/>
      <c r="E256" s="199"/>
    </row>
    <row r="257" spans="2:5" ht="20.100000000000001" customHeight="1" x14ac:dyDescent="0.2">
      <c r="B257" s="22" t="s">
        <v>399</v>
      </c>
      <c r="C257" s="80" t="str">
        <f>IF(cluster_wld_domain_chosen="VI Workload Domain",CONCATENATE(prefix_wld_az2_cidr,"11.1"),CONCATENATE(prefix_mgmt_az2_cidr,"11.1"))</f>
        <v>10.14.11.1</v>
      </c>
      <c r="D257" s="267"/>
      <c r="E257" s="161"/>
    </row>
    <row r="258" spans="2:5" ht="20.100000000000001" customHeight="1" x14ac:dyDescent="0.2">
      <c r="B258" s="22" t="s">
        <v>400</v>
      </c>
      <c r="C258" s="80" t="str">
        <f>IF(cluster_wld_domain_chosen="VI Workload Domain",CONCATENATE(prefix_wld_az2_cidr,"11.0/24"),CONCATENATE(prefix_mgmt_az2_cidr,"11.0/24"))</f>
        <v>10.14.11.0/24</v>
      </c>
      <c r="D258" s="267"/>
      <c r="E258" s="161"/>
    </row>
    <row r="259" spans="2:5" ht="20.100000000000001" customHeight="1" x14ac:dyDescent="0.2">
      <c r="B259" s="22" t="s">
        <v>401</v>
      </c>
      <c r="C259" s="80">
        <v>1500</v>
      </c>
      <c r="D259" s="267"/>
      <c r="E259" s="161"/>
    </row>
    <row r="260" spans="2:5" ht="20.100000000000001" customHeight="1" x14ac:dyDescent="0.2">
      <c r="B260" s="562" t="s">
        <v>476</v>
      </c>
      <c r="C260" s="563"/>
      <c r="D260" s="563"/>
      <c r="E260" s="564"/>
    </row>
    <row r="261" spans="2:5" ht="20.100000000000001" customHeight="1" x14ac:dyDescent="0.2">
      <c r="B261" s="22" t="s">
        <v>686</v>
      </c>
      <c r="C261" s="89" t="str">
        <f>IF(cluster_wld_domain_chosen="VI Workload Domain",CONCATENATE(prefix_wld_az2_cidr,"11.101"),CONCATENATE(prefix_mgmt_az2_cidr,"11.101"))</f>
        <v>10.14.11.101</v>
      </c>
      <c r="D261" s="265"/>
      <c r="E261" s="132" t="s">
        <v>477</v>
      </c>
    </row>
    <row r="262" spans="2:5" ht="20.100000000000001" customHeight="1" x14ac:dyDescent="0.2">
      <c r="B262" s="22" t="s">
        <v>687</v>
      </c>
      <c r="C262" s="89" t="str">
        <f>IF(cluster_wld_domain_chosen="VI Workload Domain",CONCATENATE(prefix_wld_az2_cidr,"11.102"),CONCATENATE(prefix_mgmt_az2_cidr,"11.102"))</f>
        <v>10.14.11.102</v>
      </c>
      <c r="D262" s="265"/>
      <c r="E262" s="132" t="s">
        <v>478</v>
      </c>
    </row>
    <row r="263" spans="2:5" ht="20.100000000000001" customHeight="1" x14ac:dyDescent="0.2">
      <c r="B263" s="22" t="s">
        <v>688</v>
      </c>
      <c r="C263" s="89" t="str">
        <f>IF(cluster_wld_domain_chosen="VI Workload Domain",CONCATENATE(prefix_wld_az2_cidr,"11.103"),CONCATENATE(prefix_mgmt_az2_cidr,"11.103"))</f>
        <v>10.14.11.103</v>
      </c>
      <c r="D263" s="265"/>
      <c r="E263" s="132" t="s">
        <v>479</v>
      </c>
    </row>
    <row r="264" spans="2:5" ht="20.100000000000001" customHeight="1" x14ac:dyDescent="0.2">
      <c r="B264" s="22" t="s">
        <v>689</v>
      </c>
      <c r="C264" s="89" t="str">
        <f>IF(cluster_wld_domain_chosen="VI Workload Domain",CONCATENATE(prefix_wld_az2_cidr,"11.104"),CONCATENATE(prefix_mgmt_az2_cidr,"11.104"))</f>
        <v>10.14.11.104</v>
      </c>
      <c r="D264" s="265"/>
      <c r="E264" s="132" t="s">
        <v>480</v>
      </c>
    </row>
    <row r="265" spans="2:5" ht="20.100000000000001" customHeight="1" x14ac:dyDescent="0.2">
      <c r="B265" s="22" t="s">
        <v>690</v>
      </c>
      <c r="C265" s="89" t="str">
        <f>IF(cluster_wld_domain_chosen="VI Workload Domain",CONCATENATE(prefix_wld_az2_cidr,"11.105"),CONCATENATE(prefix_mgmt_az2_cidr,"11.105"))</f>
        <v>10.14.11.105</v>
      </c>
      <c r="D265" s="265"/>
      <c r="E265" s="132" t="s">
        <v>481</v>
      </c>
    </row>
    <row r="266" spans="2:5" ht="20.100000000000001" customHeight="1" x14ac:dyDescent="0.2">
      <c r="B266" s="22" t="s">
        <v>691</v>
      </c>
      <c r="C266" s="89" t="str">
        <f>IF(cluster_wld_domain_chosen="VI Workload Domain",CONCATENATE(prefix_wld_az2_cidr,"11.106"),CONCATENATE(prefix_mgmt_az2_cidr,"11.106"))</f>
        <v>10.14.11.106</v>
      </c>
      <c r="D266" s="265"/>
      <c r="E266" s="132" t="s">
        <v>482</v>
      </c>
    </row>
    <row r="267" spans="2:5" ht="20.100000000000001" customHeight="1" x14ac:dyDescent="0.2">
      <c r="B267" s="22" t="s">
        <v>692</v>
      </c>
      <c r="C267" s="89" t="str">
        <f>IF(cluster_wld_domain_chosen="VI Workload Domain",CONCATENATE(prefix_wld_az2_cidr,"11.107"),CONCATENATE(prefix_mgmt_az2_cidr,"11.107"))</f>
        <v>10.14.11.107</v>
      </c>
      <c r="D267" s="265"/>
      <c r="E267" s="132" t="s">
        <v>483</v>
      </c>
    </row>
    <row r="268" spans="2:5" ht="20.100000000000001" customHeight="1" x14ac:dyDescent="0.2">
      <c r="B268" s="22" t="s">
        <v>693</v>
      </c>
      <c r="C268" s="89" t="str">
        <f>IF(cluster_wld_domain_chosen="VI Workload Domain",CONCATENATE(prefix_wld_az2_cidr,"11.108"),CONCATENATE(prefix_mgmt_az2_cidr,"11.108"))</f>
        <v>10.14.11.108</v>
      </c>
      <c r="D268" s="265"/>
      <c r="E268" s="132" t="s">
        <v>484</v>
      </c>
    </row>
    <row r="269" spans="2:5" ht="20.100000000000001" customHeight="1" x14ac:dyDescent="0.2">
      <c r="B269" s="22" t="s">
        <v>694</v>
      </c>
      <c r="C269" s="89" t="str">
        <f>IF(cluster_wld_domain_chosen="VI Workload Domain",CONCATENATE(prefix_wld_az2_cidr,"11.109"),CONCATENATE(prefix_mgmt_az2_cidr,"11.109"))</f>
        <v>10.14.11.109</v>
      </c>
      <c r="D269" s="265"/>
      <c r="E269" s="132" t="s">
        <v>485</v>
      </c>
    </row>
    <row r="270" spans="2:5" ht="20.100000000000001" customHeight="1" x14ac:dyDescent="0.2">
      <c r="B270" s="22" t="s">
        <v>695</v>
      </c>
      <c r="C270" s="89" t="str">
        <f>IF(cluster_wld_domain_chosen="VI Workload Domain",CONCATENATE(prefix_wld_az2_cidr,"11.110"),CONCATENATE(prefix_mgmt_az2_cidr,"11.110"))</f>
        <v>10.14.11.110</v>
      </c>
      <c r="D270" s="265"/>
      <c r="E270" s="132" t="s">
        <v>486</v>
      </c>
    </row>
    <row r="271" spans="2:5" ht="20.100000000000001" customHeight="1" x14ac:dyDescent="0.2">
      <c r="B271" s="22" t="s">
        <v>696</v>
      </c>
      <c r="C271" s="89" t="str">
        <f>IF(cluster_wld_domain_chosen="VI Workload Domain",CONCATENATE(prefix_wld_az2_cidr,"11.111"),CONCATENATE(prefix_mgmt_az2_cidr,"11.111"))</f>
        <v>10.14.11.111</v>
      </c>
      <c r="D271" s="265"/>
      <c r="E271" s="132" t="s">
        <v>487</v>
      </c>
    </row>
    <row r="272" spans="2:5" ht="20.100000000000001" customHeight="1" x14ac:dyDescent="0.2">
      <c r="B272" s="22" t="s">
        <v>697</v>
      </c>
      <c r="C272" s="89" t="str">
        <f>IF(cluster_wld_domain_chosen="VI Workload Domain",CONCATENATE(prefix_wld_az2_cidr,"11.112"),CONCATENATE(prefix_mgmt_az2_cidr,"11.112"))</f>
        <v>10.14.11.112</v>
      </c>
      <c r="D272" s="265"/>
      <c r="E272" s="132" t="s">
        <v>488</v>
      </c>
    </row>
    <row r="273" spans="2:5" ht="20.100000000000001" customHeight="1" x14ac:dyDescent="0.2">
      <c r="B273" s="22" t="s">
        <v>698</v>
      </c>
      <c r="C273" s="89" t="str">
        <f>IF(cluster_wld_domain_chosen="VI Workload Domain",CONCATENATE(prefix_wld_az2_cidr,"11.113"),CONCATENATE(prefix_mgmt_az2_cidr,"11.113"))</f>
        <v>10.14.11.113</v>
      </c>
      <c r="D273" s="265"/>
      <c r="E273" s="132" t="s">
        <v>489</v>
      </c>
    </row>
    <row r="274" spans="2:5" ht="20.100000000000001" customHeight="1" x14ac:dyDescent="0.2">
      <c r="B274" s="22" t="s">
        <v>699</v>
      </c>
      <c r="C274" s="89" t="str">
        <f>IF(cluster_wld_domain_chosen="VI Workload Domain",CONCATENATE(prefix_wld_az2_cidr,"11.114"),CONCATENATE(prefix_mgmt_az2_cidr,"11.114"))</f>
        <v>10.14.11.114</v>
      </c>
      <c r="D274" s="265"/>
      <c r="E274" s="132" t="s">
        <v>490</v>
      </c>
    </row>
    <row r="275" spans="2:5" ht="20.100000000000001" customHeight="1" x14ac:dyDescent="0.2">
      <c r="B275" s="22" t="s">
        <v>700</v>
      </c>
      <c r="C275" s="89" t="str">
        <f>IF(cluster_wld_domain_chosen="VI Workload Domain",CONCATENATE(prefix_wld_az2_cidr,"11.115"),CONCATENATE(prefix_mgmt_az2_cidr,"11.115"))</f>
        <v>10.14.11.115</v>
      </c>
      <c r="D275" s="265"/>
      <c r="E275" s="132" t="s">
        <v>491</v>
      </c>
    </row>
    <row r="276" spans="2:5" ht="20.100000000000001" customHeight="1" x14ac:dyDescent="0.2">
      <c r="B276" s="22" t="s">
        <v>701</v>
      </c>
      <c r="C276" s="89" t="str">
        <f>IF(cluster_wld_domain_chosen="VI Workload Domain",CONCATENATE(prefix_wld_az2_cidr,"11.116"),CONCATENATE(prefix_mgmt_az2_cidr,"11.116"))</f>
        <v>10.14.11.116</v>
      </c>
      <c r="D276" s="265"/>
      <c r="E276" s="132" t="s">
        <v>492</v>
      </c>
    </row>
    <row r="277" spans="2:5" ht="15.95" customHeight="1" x14ac:dyDescent="0.2">
      <c r="B277" s="120"/>
      <c r="C277" s="35"/>
      <c r="D277" s="35"/>
      <c r="E277" s="35"/>
    </row>
    <row r="278" spans="2:5" ht="33.950000000000003" customHeight="1" x14ac:dyDescent="0.2">
      <c r="B278" s="559" t="s">
        <v>702</v>
      </c>
      <c r="C278" s="560"/>
      <c r="D278" s="560"/>
      <c r="E278" s="561"/>
    </row>
    <row r="279" spans="2:5" ht="20.100000000000001" customHeight="1" x14ac:dyDescent="0.2">
      <c r="B279" s="346" t="s">
        <v>37</v>
      </c>
      <c r="C279" s="346" t="s">
        <v>276</v>
      </c>
      <c r="D279" s="346" t="s">
        <v>277</v>
      </c>
      <c r="E279" s="346" t="s">
        <v>5</v>
      </c>
    </row>
    <row r="280" spans="2:5" ht="20.100000000000001" customHeight="1" x14ac:dyDescent="0.2">
      <c r="B280" s="4" t="s">
        <v>703</v>
      </c>
      <c r="C280" s="362" t="s">
        <v>704</v>
      </c>
      <c r="D280" s="271" t="s">
        <v>704</v>
      </c>
      <c r="E280" s="4" t="str">
        <f>IF(wld_az2_reuse_vcf_networkpool_chosen="Re-use an existing VCF Network Pool","An exisiting VCF Network Pool will be reused for Host TEP assignment","A new VCF Network Pool will be created")</f>
        <v>A new VCF Network Pool will be created</v>
      </c>
    </row>
    <row r="281" spans="2:5" ht="20.100000000000001" customHeight="1" x14ac:dyDescent="0.2">
      <c r="B281" s="22" t="s">
        <v>705</v>
      </c>
      <c r="C281" s="262"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sfo02-w01-r01-network-pool-01</v>
      </c>
      <c r="D281" s="271"/>
      <c r="E281" s="161"/>
    </row>
    <row r="282" spans="2:5" ht="20.100000000000001" customHeight="1" x14ac:dyDescent="0.2">
      <c r="B282" s="417" t="s">
        <v>404</v>
      </c>
      <c r="C282" s="418"/>
      <c r="D282" s="418"/>
      <c r="E282" s="419"/>
    </row>
    <row r="283" spans="2:5" ht="20.100000000000001" customHeight="1" x14ac:dyDescent="0.2">
      <c r="B283" s="22" t="s">
        <v>398</v>
      </c>
      <c r="C283" s="80" t="str">
        <f>IF(cluster_wld_domain_chosen="VI Workload Domain",CONCATENATE(prefix_wld_az2_vlan,"12"),CONCATENATE(prefix_mgmt_az2_vlan,"12"))</f>
        <v>1412</v>
      </c>
      <c r="D283" s="267"/>
      <c r="E283" s="199"/>
    </row>
    <row r="284" spans="2:5" ht="20.100000000000001" customHeight="1" x14ac:dyDescent="0.2">
      <c r="B284" s="22" t="s">
        <v>401</v>
      </c>
      <c r="C284" s="80">
        <v>9000</v>
      </c>
      <c r="D284" s="267"/>
      <c r="E284" s="161"/>
    </row>
    <row r="285" spans="2:5" ht="20.100000000000001" customHeight="1" x14ac:dyDescent="0.2">
      <c r="B285" s="22" t="s">
        <v>706</v>
      </c>
      <c r="C285" s="80" t="str">
        <f>IF(cluster_wld_domain_chosen="VI Workload Domain",CONCATENATE(prefix_wld_az2_cidr,"12.0"),CONCATENATE(prefix_mgmt_az2_cidr,"12.0"))</f>
        <v>10.14.12.0</v>
      </c>
      <c r="D285" s="267"/>
      <c r="E285" s="161"/>
    </row>
    <row r="286" spans="2:5" ht="20.100000000000001" customHeight="1" x14ac:dyDescent="0.2">
      <c r="B286" s="22" t="s">
        <v>707</v>
      </c>
      <c r="C286" s="80" t="s">
        <v>612</v>
      </c>
      <c r="D286" s="267"/>
      <c r="E286" s="161"/>
    </row>
    <row r="287" spans="2:5" ht="20.100000000000001" customHeight="1" x14ac:dyDescent="0.2">
      <c r="B287" s="22" t="s">
        <v>708</v>
      </c>
      <c r="C287" s="80" t="str">
        <f>IF(cluster_wld_domain_chosen="VI Workload Domain",CONCATENATE(prefix_wld_az2_cidr,"12.1"),CONCATENATE(prefix_mgmt_az2_cidr,"12.1"))</f>
        <v>10.14.12.1</v>
      </c>
      <c r="D287" s="267"/>
      <c r="E287" s="161"/>
    </row>
    <row r="288" spans="2:5" ht="20.100000000000001" customHeight="1" x14ac:dyDescent="0.2">
      <c r="B288" s="22" t="s">
        <v>460</v>
      </c>
      <c r="C288" s="80" t="str">
        <f>IF(cluster_wld_domain_chosen="VI Workload Domain",CONCATENATE(prefix_wld_az2_cidr,"12.101"),CONCATENATE(prefix_mgmt_az2_cidr,"12.101"))</f>
        <v>10.14.12.101</v>
      </c>
      <c r="D288" s="267"/>
      <c r="E288" s="161"/>
    </row>
    <row r="289" spans="2:5" ht="20.100000000000001" customHeight="1" x14ac:dyDescent="0.2">
      <c r="B289" s="22" t="s">
        <v>461</v>
      </c>
      <c r="C289" s="80" t="str">
        <f>IF(cluster_wld_domain_chosen="VI Workload Domain",CONCATENATE(prefix_wld_az2_cidr,"12.116"),CONCATENATE(prefix_mgmt_az2_cidr,"12.116"))</f>
        <v>10.14.12.116</v>
      </c>
      <c r="D289" s="267"/>
      <c r="E289" s="161"/>
    </row>
    <row r="290" spans="2:5" ht="20.100000000000001" customHeight="1" x14ac:dyDescent="0.2">
      <c r="B290" s="417" t="s">
        <v>407</v>
      </c>
      <c r="C290" s="418"/>
      <c r="D290" s="418"/>
      <c r="E290" s="419"/>
    </row>
    <row r="291" spans="2:5" ht="20.100000000000001" customHeight="1" x14ac:dyDescent="0.2">
      <c r="B291" s="22" t="s">
        <v>398</v>
      </c>
      <c r="C291" s="80" t="str">
        <f>IF(cluster_wld_domain_chosen="VI Workload Domain",CONCATENATE(prefix_wld_az2_vlan,"13"),CONCATENATE(prefix_mgmt_az2_vlan,"13"))</f>
        <v>1413</v>
      </c>
      <c r="D291" s="267"/>
      <c r="E291" s="161"/>
    </row>
    <row r="292" spans="2:5" ht="20.100000000000001" customHeight="1" x14ac:dyDescent="0.2">
      <c r="B292" s="22" t="s">
        <v>401</v>
      </c>
      <c r="C292" s="80">
        <v>9000</v>
      </c>
      <c r="D292" s="267"/>
      <c r="E292" s="161"/>
    </row>
    <row r="293" spans="2:5" ht="20.100000000000001" customHeight="1" x14ac:dyDescent="0.2">
      <c r="B293" s="22" t="s">
        <v>706</v>
      </c>
      <c r="C293" s="80" t="str">
        <f>IF(cluster_wld_domain_chosen="VI Workload Domain",CONCATENATE(prefix_wld_az2_cidr,"13.0"),CONCATENATE(prefix_mgmt_az2_cidr,"13.0"))</f>
        <v>10.14.13.0</v>
      </c>
      <c r="D293" s="267"/>
      <c r="E293" s="161"/>
    </row>
    <row r="294" spans="2:5" ht="20.100000000000001" customHeight="1" x14ac:dyDescent="0.2">
      <c r="B294" s="22" t="s">
        <v>707</v>
      </c>
      <c r="C294" s="80" t="s">
        <v>612</v>
      </c>
      <c r="D294" s="267"/>
      <c r="E294" s="161"/>
    </row>
    <row r="295" spans="2:5" ht="20.100000000000001" customHeight="1" x14ac:dyDescent="0.2">
      <c r="B295" s="22" t="s">
        <v>708</v>
      </c>
      <c r="C295" s="80" t="str">
        <f>IF(cluster_wld_domain_chosen="VI Workload Domain",CONCATENATE(prefix_wld_az2_cidr,"13.1"),CONCATENATE(prefix_mgmt_az2_cidr,"13.1"))</f>
        <v>10.14.13.1</v>
      </c>
      <c r="D295" s="267"/>
      <c r="E295" s="161"/>
    </row>
    <row r="296" spans="2:5" ht="20.100000000000001" customHeight="1" x14ac:dyDescent="0.2">
      <c r="B296" s="22" t="s">
        <v>460</v>
      </c>
      <c r="C296" s="80" t="str">
        <f>IF(cluster_wld_domain_chosen="VI Workload Domain",CONCATENATE(prefix_wld_az2_cidr,"13.101"),CONCATENATE(prefix_mgmt_az2_cidr,"13.101"))</f>
        <v>10.14.13.101</v>
      </c>
      <c r="D296" s="267"/>
      <c r="E296" s="161"/>
    </row>
    <row r="297" spans="2:5" ht="20.100000000000001" customHeight="1" x14ac:dyDescent="0.2">
      <c r="B297" s="22" t="s">
        <v>461</v>
      </c>
      <c r="C297" s="80" t="str">
        <f>IF(cluster_wld_domain_chosen="VI Workload Domain",CONCATENATE(prefix_wld_az2_cidr,"13.116"),CONCATENATE(prefix_mgmt_az2_cidr,"13.116"))</f>
        <v>10.14.13.116</v>
      </c>
      <c r="D297" s="267"/>
      <c r="E297" s="161"/>
    </row>
    <row r="298" spans="2:5" ht="20.100000000000001" customHeight="1" x14ac:dyDescent="0.2">
      <c r="B298" s="417" t="str">
        <f>IF(cluster_secondary_storage_chosen="Secondary NFS Storage Network","NFS Storage Network","vSAN Storage Client")</f>
        <v>vSAN Storage Client</v>
      </c>
      <c r="C298" s="418"/>
      <c r="D298" s="418"/>
      <c r="E298" s="419"/>
    </row>
    <row r="299" spans="2:5" ht="20.100000000000001" customHeight="1" x14ac:dyDescent="0.2">
      <c r="B299" s="22" t="s">
        <v>398</v>
      </c>
      <c r="C299" s="80" t="str">
        <f>IF(cluster_wld_domain_chosen="VI Workload Domain",CONCATENATE(prefix_wld_az2_vlan,"15"),CONCATENATE(prefix_mgmt_az2_vlan,"15"))</f>
        <v>1415</v>
      </c>
      <c r="D299" s="267"/>
      <c r="E299" s="161"/>
    </row>
    <row r="300" spans="2:5" ht="20.100000000000001" customHeight="1" x14ac:dyDescent="0.2">
      <c r="B300" s="22" t="s">
        <v>401</v>
      </c>
      <c r="C300" s="80">
        <v>9000</v>
      </c>
      <c r="D300" s="267"/>
      <c r="E300" s="161"/>
    </row>
    <row r="301" spans="2:5" ht="20.100000000000001" customHeight="1" x14ac:dyDescent="0.2">
      <c r="B301" s="22" t="s">
        <v>706</v>
      </c>
      <c r="C301" s="80" t="str">
        <f>IF(cluster_wld_domain_chosen="VI Workload Domain",CONCATENATE(prefix_wld_az2_cidr,"15.0"),CONCATENATE(prefix_mgmt_az2_cidr,"15.0"))</f>
        <v>10.14.15.0</v>
      </c>
      <c r="D301" s="267"/>
      <c r="E301" s="161"/>
    </row>
    <row r="302" spans="2:5" ht="20.100000000000001" customHeight="1" x14ac:dyDescent="0.2">
      <c r="B302" s="22" t="s">
        <v>707</v>
      </c>
      <c r="C302" s="80" t="s">
        <v>612</v>
      </c>
      <c r="D302" s="267"/>
      <c r="E302" s="161"/>
    </row>
    <row r="303" spans="2:5" ht="20.100000000000001" customHeight="1" x14ac:dyDescent="0.2">
      <c r="B303" s="22" t="s">
        <v>708</v>
      </c>
      <c r="C303" s="80" t="str">
        <f>IF(cluster_wld_domain_chosen="VI Workload Domain",CONCATENATE(prefix_wld_az2_cidr,"15.1"),CONCATENATE(prefix_mgmt_az2_cidr,"15.1"))</f>
        <v>10.14.15.1</v>
      </c>
      <c r="D303" s="267"/>
      <c r="E303" s="161"/>
    </row>
    <row r="304" spans="2:5" ht="20.100000000000001" customHeight="1" x14ac:dyDescent="0.2">
      <c r="B304" s="22" t="s">
        <v>460</v>
      </c>
      <c r="C304" s="80" t="str">
        <f>IF(cluster_wld_domain_chosen="VI Workload Domain",CONCATENATE(prefix_wld_az2_cidr,"15.101"),CONCATENATE(prefix_mgmt_az2_cidr,"15.101"))</f>
        <v>10.14.15.101</v>
      </c>
      <c r="D304" s="267"/>
      <c r="E304" s="161"/>
    </row>
    <row r="305" spans="2:5" ht="20.100000000000001" customHeight="1" x14ac:dyDescent="0.2">
      <c r="B305" s="22" t="s">
        <v>461</v>
      </c>
      <c r="C305" s="80" t="str">
        <f>IF(cluster_wld_domain_chosen="VI Workload Domain",CONCATENATE(prefix_wld_az2_cidr,"15.116"),CONCATENATE(prefix_mgmt_az2_cidr,"15.116"))</f>
        <v>10.14.15.116</v>
      </c>
      <c r="D305" s="267"/>
      <c r="E305" s="161"/>
    </row>
    <row r="306" spans="2:5" ht="20.100000000000001" customHeight="1" x14ac:dyDescent="0.2">
      <c r="B306" s="417" t="s">
        <v>1231</v>
      </c>
      <c r="C306" s="418"/>
      <c r="D306" s="418"/>
      <c r="E306" s="419"/>
    </row>
    <row r="307" spans="2:5" ht="20.100000000000001" customHeight="1" x14ac:dyDescent="0.2">
      <c r="B307" s="22" t="s">
        <v>398</v>
      </c>
      <c r="C307" s="80" t="str">
        <f>IF(cluster_wld_domain_chosen="VI Workload Domain",CONCATENATE(prefix_wld_az2_vlan,"16"),CONCATENATE(prefix_mgmt_az2_vlan,"16"))</f>
        <v>1416</v>
      </c>
      <c r="D307" s="347"/>
      <c r="E307" s="161"/>
    </row>
    <row r="308" spans="2:5" ht="20.100000000000001" customHeight="1" x14ac:dyDescent="0.2">
      <c r="B308" s="22" t="s">
        <v>401</v>
      </c>
      <c r="C308" s="80">
        <v>9000</v>
      </c>
      <c r="D308" s="347"/>
      <c r="E308" s="161"/>
    </row>
    <row r="309" spans="2:5" ht="20.100000000000001" customHeight="1" x14ac:dyDescent="0.2">
      <c r="B309" s="22" t="s">
        <v>706</v>
      </c>
      <c r="C309" s="80" t="str">
        <f>IF(cluster_wld_domain_chosen="VI Workload Domain",CONCATENATE(prefix_wld_az2_cidr,"16.0"),CONCATENATE(prefix_mgmt_az2_cidr,"16.0"))</f>
        <v>10.14.16.0</v>
      </c>
      <c r="D309" s="347"/>
      <c r="E309" s="161"/>
    </row>
    <row r="310" spans="2:5" ht="20.100000000000001" customHeight="1" x14ac:dyDescent="0.2">
      <c r="B310" s="22" t="s">
        <v>707</v>
      </c>
      <c r="C310" s="80" t="s">
        <v>612</v>
      </c>
      <c r="D310" s="347"/>
      <c r="E310" s="161"/>
    </row>
    <row r="311" spans="2:5" ht="20.100000000000001" customHeight="1" x14ac:dyDescent="0.2">
      <c r="B311" s="22" t="s">
        <v>708</v>
      </c>
      <c r="C311" s="80" t="str">
        <f>IF(cluster_wld_domain_chosen="VI Workload Domain",CONCATENATE(prefix_wld_az2_cidr,"16.1"),CONCATENATE(prefix_mgmt_az2_cidr,"16.1"))</f>
        <v>10.14.16.1</v>
      </c>
      <c r="D311" s="347"/>
      <c r="E311" s="161"/>
    </row>
    <row r="312" spans="2:5" ht="20.100000000000001" customHeight="1" x14ac:dyDescent="0.2">
      <c r="B312" s="22" t="s">
        <v>460</v>
      </c>
      <c r="C312" s="80" t="str">
        <f>IF(cluster_wld_domain_chosen="VI Workload Domain",CONCATENATE(prefix_wld_az2_cidr,"16.101"),CONCATENATE(prefix_mgmt_az2_cidr,"16.101"))</f>
        <v>10.14.16.101</v>
      </c>
      <c r="D312" s="347"/>
      <c r="E312" s="161"/>
    </row>
    <row r="313" spans="2:5" ht="20.100000000000001" customHeight="1" x14ac:dyDescent="0.2">
      <c r="B313" s="22" t="s">
        <v>461</v>
      </c>
      <c r="C313" s="80" t="str">
        <f>IF(cluster_wld_domain_chosen="VI Workload Domain",CONCATENATE(prefix_wld_az2_cidr,"16.116"),CONCATENATE(prefix_mgmt_az2_cidr,"16.116"))</f>
        <v>10.14.16.116</v>
      </c>
      <c r="D313" s="347"/>
      <c r="E313" s="161"/>
    </row>
    <row r="314" spans="2:5" ht="15.95" customHeight="1" x14ac:dyDescent="0.2">
      <c r="B314" s="120"/>
      <c r="C314" s="35"/>
      <c r="D314" s="35"/>
      <c r="E314" s="35"/>
    </row>
    <row r="315" spans="2:5" ht="33.950000000000003" customHeight="1" x14ac:dyDescent="0.2">
      <c r="B315" s="559" t="s">
        <v>1565</v>
      </c>
      <c r="C315" s="560"/>
      <c r="D315" s="560"/>
      <c r="E315" s="561"/>
    </row>
    <row r="316" spans="2:5" ht="20.100000000000001" customHeight="1" x14ac:dyDescent="0.2">
      <c r="B316" s="346" t="s">
        <v>37</v>
      </c>
      <c r="C316" s="346" t="s">
        <v>276</v>
      </c>
      <c r="D316" s="346" t="s">
        <v>277</v>
      </c>
      <c r="E316" s="346" t="s">
        <v>5</v>
      </c>
    </row>
    <row r="317" spans="2:5" ht="20.100000000000001" customHeight="1" x14ac:dyDescent="0.2">
      <c r="B317" s="22" t="s">
        <v>686</v>
      </c>
      <c r="C317" s="89" t="str">
        <f>IF(cluster_wld_domain_chosen="VI Workload Domain",CONCATENATE(this_instance,"02-w0",wld_domain_number_chosen,"-r01-esx01",".",sample_child_dns_zone),CONCATENATE(this_instance,"02-m01","-r01-esx01",".",sample_child_dns_zone))</f>
        <v>sfo02-w01-r01-esx01.sfo.rainpole.io</v>
      </c>
      <c r="D317" s="267"/>
      <c r="E317" s="161"/>
    </row>
    <row r="318" spans="2:5" ht="20.100000000000001" customHeight="1" x14ac:dyDescent="0.2">
      <c r="B318" s="22" t="s">
        <v>687</v>
      </c>
      <c r="C318" s="89" t="str">
        <f>IF(cluster_wld_domain_chosen="VI Workload Domain",CONCATENATE(this_instance,"02-w0",wld_domain_number_chosen,"-r01-esx02",".",sample_child_dns_zone),CONCATENATE(this_instance,"02-m01","-r01-esx02",".",sample_child_dns_zone))</f>
        <v>sfo02-w01-r01-esx02.sfo.rainpole.io</v>
      </c>
      <c r="D318" s="267"/>
      <c r="E318" s="161"/>
    </row>
    <row r="319" spans="2:5" ht="20.100000000000001" customHeight="1" x14ac:dyDescent="0.2">
      <c r="B319" s="22" t="s">
        <v>688</v>
      </c>
      <c r="C319" s="89" t="str">
        <f>IF(cluster_wld_domain_chosen="VI Workload Domain",CONCATENATE(this_instance,"02-w0",wld_domain_number_chosen,"-r01-esx03",".",sample_child_dns_zone),CONCATENATE(this_instance,"02-m01","-r01-esx03",".",sample_child_dns_zone))</f>
        <v>sfo02-w01-r01-esx03.sfo.rainpole.io</v>
      </c>
      <c r="D319" s="267"/>
      <c r="E319" s="161"/>
    </row>
    <row r="320" spans="2:5" ht="20.100000000000001" customHeight="1" x14ac:dyDescent="0.2">
      <c r="B320" s="22" t="s">
        <v>689</v>
      </c>
      <c r="C320" s="89" t="str">
        <f>IF(cluster_wld_domain_chosen="VI Workload Domain",CONCATENATE(this_instance,"02-w0",wld_domain_number_chosen,"-r01-esx04",".",sample_child_dns_zone),CONCATENATE(this_instance,"02-m01","-r01-esx04",".",sample_child_dns_zone))</f>
        <v>sfo02-w01-r01-esx04.sfo.rainpole.io</v>
      </c>
      <c r="D320" s="267"/>
      <c r="E320" s="161"/>
    </row>
    <row r="321" spans="2:5" ht="20.100000000000001" customHeight="1" x14ac:dyDescent="0.2">
      <c r="B321" s="22" t="s">
        <v>690</v>
      </c>
      <c r="C321" s="89" t="str">
        <f>IF(cluster_wld_domain_chosen="VI Workload Domain",CONCATENATE(this_instance,"02-w0",wld_domain_number_chosen,"-r01-esx05",".",sample_child_dns_zone),CONCATENATE(this_instance,"02-m01","-r01-esx05",".",sample_child_dns_zone))</f>
        <v>sfo02-w01-r01-esx05.sfo.rainpole.io</v>
      </c>
      <c r="D321" s="267"/>
      <c r="E321" s="161"/>
    </row>
    <row r="322" spans="2:5" ht="20.100000000000001" customHeight="1" x14ac:dyDescent="0.2">
      <c r="B322" s="22" t="s">
        <v>691</v>
      </c>
      <c r="C322" s="89" t="str">
        <f>IF(cluster_wld_domain_chosen="VI Workload Domain",CONCATENATE(this_instance,"02-w0",wld_domain_number_chosen,"-r01-esx06",".",sample_child_dns_zone),CONCATENATE(this_instance,"02-m01","-r01-esx06",".",sample_child_dns_zone))</f>
        <v>sfo02-w01-r01-esx06.sfo.rainpole.io</v>
      </c>
      <c r="D322" s="267"/>
      <c r="E322" s="161"/>
    </row>
    <row r="323" spans="2:5" ht="20.100000000000001" customHeight="1" x14ac:dyDescent="0.2">
      <c r="B323" s="22" t="s">
        <v>692</v>
      </c>
      <c r="C323" s="89" t="str">
        <f>IF(cluster_wld_domain_chosen="VI Workload Domain",CONCATENATE(this_instance,"02-w0",wld_domain_number_chosen,"-r01-esx07",".",sample_child_dns_zone),CONCATENATE(this_instance,"02-m01","-r01-esx07",".",sample_child_dns_zone))</f>
        <v>sfo02-w01-r01-esx07.sfo.rainpole.io</v>
      </c>
      <c r="D323" s="267"/>
      <c r="E323" s="161"/>
    </row>
    <row r="324" spans="2:5" ht="20.100000000000001" customHeight="1" x14ac:dyDescent="0.2">
      <c r="B324" s="22" t="s">
        <v>693</v>
      </c>
      <c r="C324" s="89" t="str">
        <f>IF(cluster_wld_domain_chosen="VI Workload Domain",CONCATENATE(this_instance,"02-w0",wld_domain_number_chosen,"-r01-esx08",".",sample_child_dns_zone),CONCATENATE(this_instance,"02-m01","-r01-esx08",".",sample_child_dns_zone))</f>
        <v>sfo02-w01-r01-esx08.sfo.rainpole.io</v>
      </c>
      <c r="D324" s="267"/>
      <c r="E324" s="161"/>
    </row>
    <row r="325" spans="2:5" ht="20.100000000000001" customHeight="1" x14ac:dyDescent="0.2">
      <c r="B325" s="22" t="s">
        <v>694</v>
      </c>
      <c r="C325" s="89" t="str">
        <f>IF(cluster_wld_domain_chosen="VI Workload Domain",CONCATENATE(this_instance,"02-w0",wld_domain_number_chosen,"-r01-esx09",".",sample_child_dns_zone),CONCATENATE(this_instance,"02-m01","-r01-esx09",".",sample_child_dns_zone))</f>
        <v>sfo02-w01-r01-esx09.sfo.rainpole.io</v>
      </c>
      <c r="D325" s="267"/>
      <c r="E325" s="161"/>
    </row>
    <row r="326" spans="2:5" ht="20.100000000000001" customHeight="1" x14ac:dyDescent="0.2">
      <c r="B326" s="22" t="s">
        <v>695</v>
      </c>
      <c r="C326" s="89" t="str">
        <f>IF(cluster_wld_domain_chosen="VI Workload Domain",CONCATENATE(this_instance,"02-w0",wld_domain_number_chosen,"-r01-esx10",".",sample_child_dns_zone),CONCATENATE(this_instance,"02-m01","-r01-esx10",".",sample_child_dns_zone))</f>
        <v>sfo02-w01-r01-esx10.sfo.rainpole.io</v>
      </c>
      <c r="D326" s="267"/>
      <c r="E326" s="161"/>
    </row>
    <row r="327" spans="2:5" ht="20.100000000000001" customHeight="1" x14ac:dyDescent="0.2">
      <c r="B327" s="22" t="s">
        <v>696</v>
      </c>
      <c r="C327" s="89" t="str">
        <f>IF(cluster_wld_domain_chosen="VI Workload Domain",CONCATENATE(this_instance,"02-w0",wld_domain_number_chosen,"-r01-esx11",".",sample_child_dns_zone),CONCATENATE(this_instance,"02-m01","-r01-esx11",".",sample_child_dns_zone))</f>
        <v>sfo02-w01-r01-esx11.sfo.rainpole.io</v>
      </c>
      <c r="D327" s="267"/>
      <c r="E327" s="161"/>
    </row>
    <row r="328" spans="2:5" ht="20.100000000000001" customHeight="1" x14ac:dyDescent="0.2">
      <c r="B328" s="22" t="s">
        <v>697</v>
      </c>
      <c r="C328" s="89" t="str">
        <f>IF(cluster_wld_domain_chosen="VI Workload Domain",CONCATENATE(this_instance,"02-w0",wld_domain_number_chosen,"-r01-esx12",".",sample_child_dns_zone),CONCATENATE(this_instance,"02-m01","-r01-esx12",".",sample_child_dns_zone))</f>
        <v>sfo02-w01-r01-esx12.sfo.rainpole.io</v>
      </c>
      <c r="D328" s="267"/>
      <c r="E328" s="161"/>
    </row>
    <row r="329" spans="2:5" ht="20.100000000000001" customHeight="1" x14ac:dyDescent="0.2">
      <c r="B329" s="22" t="s">
        <v>698</v>
      </c>
      <c r="C329" s="89" t="str">
        <f>IF(cluster_wld_domain_chosen="VI Workload Domain",CONCATENATE(this_instance,"02-w0",wld_domain_number_chosen,"-r01-esx13",".",sample_child_dns_zone),CONCATENATE(this_instance,"02-m01","-r01-esx13",".",sample_child_dns_zone))</f>
        <v>sfo02-w01-r01-esx13.sfo.rainpole.io</v>
      </c>
      <c r="D329" s="267"/>
      <c r="E329" s="161"/>
    </row>
    <row r="330" spans="2:5" ht="20.100000000000001" customHeight="1" x14ac:dyDescent="0.2">
      <c r="B330" s="22" t="s">
        <v>699</v>
      </c>
      <c r="C330" s="89" t="str">
        <f>IF(cluster_wld_domain_chosen="VI Workload Domain",CONCATENATE(this_instance,"02-w0",wld_domain_number_chosen,"-r01-esx14",".",sample_child_dns_zone),CONCATENATE(this_instance,"02-m01","-r01-esx14",".",sample_child_dns_zone))</f>
        <v>sfo02-w01-r01-esx14.sfo.rainpole.io</v>
      </c>
      <c r="D330" s="267"/>
      <c r="E330" s="161"/>
    </row>
    <row r="331" spans="2:5" ht="20.100000000000001" customHeight="1" x14ac:dyDescent="0.2">
      <c r="B331" s="22" t="s">
        <v>700</v>
      </c>
      <c r="C331" s="89" t="str">
        <f>IF(cluster_wld_domain_chosen="VI Workload Domain",CONCATENATE(this_instance,"02-w0",wld_domain_number_chosen,"-r01-esx15",".",sample_child_dns_zone),CONCATENATE(this_instance,"02-m01","-r01-esx15",".",sample_child_dns_zone))</f>
        <v>sfo02-w01-r01-esx15.sfo.rainpole.io</v>
      </c>
      <c r="D331" s="267"/>
      <c r="E331" s="161"/>
    </row>
    <row r="332" spans="2:5" ht="20.100000000000001" customHeight="1" x14ac:dyDescent="0.2">
      <c r="B332" s="22" t="s">
        <v>701</v>
      </c>
      <c r="C332" s="89" t="str">
        <f>IF(cluster_wld_domain_chosen="VI Workload Domain",CONCATENATE(this_instance,"02-w0",wld_domain_number_chosen,"-r01-esx16",".",sample_child_dns_zone),CONCATENATE(this_instance,"02-m01","-r01-esx16",".",sample_child_dns_zone))</f>
        <v>sfo02-w01-r01-esx16.sfo.rainpole.io</v>
      </c>
      <c r="D332" s="267"/>
      <c r="E332" s="161"/>
    </row>
    <row r="333" spans="2:5" ht="20.100000000000001" customHeight="1" x14ac:dyDescent="0.2">
      <c r="B333" s="22" t="s">
        <v>712</v>
      </c>
      <c r="C333" s="78" t="s">
        <v>713</v>
      </c>
      <c r="D333" s="337" t="str">
        <f>cluster_principal_storage_chosen</f>
        <v>vSAN-ESA</v>
      </c>
      <c r="E333" s="161"/>
    </row>
    <row r="334" spans="2:5" ht="20.100000000000001" customHeight="1" x14ac:dyDescent="0.2">
      <c r="B334" s="22" t="s">
        <v>714</v>
      </c>
      <c r="C334" s="78" t="s">
        <v>715</v>
      </c>
      <c r="D334" s="337" t="str">
        <f>cluster_vsan_type</f>
        <v>vSAN HCI</v>
      </c>
      <c r="E334" s="161"/>
    </row>
    <row r="335" spans="2:5" ht="20.100000000000001" customHeight="1" x14ac:dyDescent="0.2">
      <c r="B335" s="22" t="s">
        <v>716</v>
      </c>
      <c r="C335" s="78" t="s">
        <v>323</v>
      </c>
      <c r="D335" s="337" t="str">
        <f>D102</f>
        <v>Selected</v>
      </c>
      <c r="E335" s="161"/>
    </row>
    <row r="336" spans="2:5" ht="20.100000000000001" customHeight="1" x14ac:dyDescent="0.2">
      <c r="B336" s="22" t="s">
        <v>705</v>
      </c>
      <c r="C336" s="78" t="str">
        <f>sample_cluster_az2_pool_name</f>
        <v>sfo02-w01-r01-network-pool-01</v>
      </c>
      <c r="D336" s="270" t="str">
        <f>cluster_az2_pool_name</f>
        <v>Value Missing</v>
      </c>
      <c r="E336" s="161"/>
    </row>
    <row r="337" spans="2:5" ht="20.100000000000001" customHeight="1" x14ac:dyDescent="0.2">
      <c r="B337" s="22" t="s">
        <v>535</v>
      </c>
      <c r="C337" s="78" t="str">
        <f>sample_cluster_esx_root_username</f>
        <v>root</v>
      </c>
      <c r="D337" s="270" t="str">
        <f>cluster_esx_root_username</f>
        <v>Value Missing</v>
      </c>
      <c r="E337" s="161"/>
    </row>
    <row r="338" spans="2:5" ht="20.100000000000001" customHeight="1" x14ac:dyDescent="0.2">
      <c r="B338" s="22" t="s">
        <v>296</v>
      </c>
      <c r="C338" s="78" t="str">
        <f>sample_cluster_esx_root_password</f>
        <v>VMw@re1!</v>
      </c>
      <c r="D338" s="270" t="str">
        <f>cluster_esx_root_password</f>
        <v>Value Missing</v>
      </c>
      <c r="E338" s="161"/>
    </row>
    <row r="339" spans="2:5" ht="15.95" customHeight="1" x14ac:dyDescent="0.2">
      <c r="B339" s="120"/>
      <c r="C339" s="35"/>
      <c r="D339" s="35"/>
      <c r="E339" s="35"/>
    </row>
    <row r="340" spans="2:5" ht="20.100000000000001" customHeight="1" x14ac:dyDescent="0.2">
      <c r="B340" s="417" t="s">
        <v>719</v>
      </c>
      <c r="C340" s="418"/>
      <c r="D340" s="418"/>
      <c r="E340" s="419"/>
    </row>
    <row r="341" spans="2:5" ht="20.100000000000001" customHeight="1" x14ac:dyDescent="0.2">
      <c r="B341" s="346" t="s">
        <v>37</v>
      </c>
      <c r="C341" s="346" t="s">
        <v>276</v>
      </c>
      <c r="D341" s="346" t="s">
        <v>277</v>
      </c>
      <c r="E341" s="346" t="s">
        <v>5</v>
      </c>
    </row>
    <row r="342" spans="2:5" ht="20.100000000000001" customHeight="1" x14ac:dyDescent="0.2">
      <c r="B342" s="22" t="s">
        <v>398</v>
      </c>
      <c r="C342" s="262" t="str">
        <f>CONCATENATE(prefix_mgmt_witness_vlan,"10")</f>
        <v>2110</v>
      </c>
      <c r="D342" s="265"/>
      <c r="E342" s="161"/>
    </row>
    <row r="343" spans="2:5" ht="20.100000000000001" customHeight="1" x14ac:dyDescent="0.2">
      <c r="B343" s="22" t="s">
        <v>399</v>
      </c>
      <c r="C343" s="159" t="str">
        <f>IF(cluster_wld_domain_chosen="VI Workload Domain",CONCATENATE(prefix_other_region_az1_cidr,"10.1"),CONCATENATE(prefix_other_region_az1_cidr,"10.1"))</f>
        <v>10.21.10.1</v>
      </c>
      <c r="D343" s="265"/>
      <c r="E343" s="161"/>
    </row>
    <row r="344" spans="2:5" ht="20.100000000000001" customHeight="1" x14ac:dyDescent="0.2">
      <c r="B344" s="22" t="s">
        <v>400</v>
      </c>
      <c r="C344" s="159" t="str">
        <f>IF(cluster_wld_domain_chosen="VI Workload Domain",CONCATENATE(prefix_other_region_az1_cidr,"10.0/24"),CONCATENATE(prefix_other_region_az1_cidr,"10.0/24"))</f>
        <v>10.21.10.0/24</v>
      </c>
      <c r="D344" s="265"/>
      <c r="E344" s="161"/>
    </row>
    <row r="345" spans="2:5" ht="20.100000000000001" customHeight="1" x14ac:dyDescent="0.2">
      <c r="B345" s="22" t="s">
        <v>401</v>
      </c>
      <c r="C345" s="262">
        <v>1500</v>
      </c>
      <c r="D345" s="265"/>
      <c r="E345" s="161"/>
    </row>
    <row r="346" spans="2:5" ht="15.95" customHeight="1" x14ac:dyDescent="0.2">
      <c r="B346" s="120"/>
      <c r="C346" s="35"/>
      <c r="D346" s="35"/>
      <c r="E346" s="35"/>
    </row>
    <row r="347" spans="2:5" ht="33.950000000000003" customHeight="1" x14ac:dyDescent="0.2">
      <c r="B347" s="559" t="s">
        <v>1450</v>
      </c>
      <c r="C347" s="560"/>
      <c r="D347" s="560"/>
      <c r="E347" s="561"/>
    </row>
    <row r="348" spans="2:5" ht="20.100000000000001" customHeight="1" x14ac:dyDescent="0.2">
      <c r="B348" s="375"/>
      <c r="C348" s="376"/>
      <c r="D348" s="376"/>
      <c r="E348" s="376"/>
    </row>
    <row r="349" spans="2:5" ht="20.100000000000001" customHeight="1" x14ac:dyDescent="0.2">
      <c r="B349" s="346" t="s">
        <v>37</v>
      </c>
      <c r="C349" s="346" t="s">
        <v>276</v>
      </c>
      <c r="D349" s="346" t="s">
        <v>277</v>
      </c>
      <c r="E349" s="346" t="s">
        <v>5</v>
      </c>
    </row>
    <row r="350" spans="2:5" ht="20.100000000000001" customHeight="1" x14ac:dyDescent="0.2">
      <c r="B350" s="22" t="s">
        <v>721</v>
      </c>
      <c r="C350" s="126" t="str">
        <f>CONCATENATE(other_instance,"-m01-vc01.",other_instance,".rainpole.io")</f>
        <v>lax-m01-vc01.lax.rainpole.io</v>
      </c>
      <c r="D350" s="265"/>
      <c r="E350" s="161" t="s">
        <v>722</v>
      </c>
    </row>
    <row r="351" spans="2:5" ht="20.100000000000001" customHeight="1" x14ac:dyDescent="0.2">
      <c r="B351" s="22" t="s">
        <v>724</v>
      </c>
      <c r="C351" s="126" t="str">
        <f>IF(cluster_wld_domain_chosen="VI Workload Domain",CONCATENATE(this_instance,"-w0",wld_domain_number_chosen,"-cl02-vsw01"),CONCATENATE(this_instance,"-m01","-cl02-vsw01"))</f>
        <v>sfo-w01-cl02-vsw01</v>
      </c>
      <c r="D351" s="265"/>
      <c r="E351" s="161"/>
    </row>
    <row r="352" spans="2:5" ht="20.100000000000001" customHeight="1" x14ac:dyDescent="0.2">
      <c r="B352" s="22" t="s">
        <v>725</v>
      </c>
      <c r="C352" s="362" t="str">
        <f>CONCATENATE(other_instance,"-m01-cl01")</f>
        <v>lax-m01-cl01</v>
      </c>
      <c r="D352" s="265"/>
      <c r="E352" s="161"/>
    </row>
    <row r="353" spans="2:5" ht="20.100000000000001" customHeight="1" x14ac:dyDescent="0.2">
      <c r="B353" s="22" t="s">
        <v>726</v>
      </c>
      <c r="C353" s="362" t="str">
        <f>CONCATENATE(other_instance,"-fd-mgmt")</f>
        <v>lax-fd-mgmt</v>
      </c>
      <c r="D353" s="265"/>
      <c r="E353" s="161"/>
    </row>
    <row r="354" spans="2:5" ht="20.100000000000001" customHeight="1" x14ac:dyDescent="0.2">
      <c r="B354" s="22" t="s">
        <v>727</v>
      </c>
      <c r="C354" s="362" t="str">
        <f>CONCATENATE(other_instance,"-m01-cl01-ds-vsan01")</f>
        <v>lax-m01-cl01-ds-vsan01</v>
      </c>
      <c r="D354" s="265"/>
      <c r="E354" s="161"/>
    </row>
    <row r="355" spans="2:5" ht="20.100000000000001" customHeight="1" x14ac:dyDescent="0.2">
      <c r="B355" s="22" t="s">
        <v>728</v>
      </c>
      <c r="C355" s="362" t="str">
        <f>CONCATENATE(other_instance,"01-m01-cl01-vds01-pg-vm-mgmt")</f>
        <v>lax01-m01-cl01-vds01-pg-vm-mgmt</v>
      </c>
      <c r="D355" s="265"/>
      <c r="E355" s="161"/>
    </row>
    <row r="356" spans="2:5" ht="20.100000000000001" customHeight="1" x14ac:dyDescent="0.2">
      <c r="B356" s="22" t="s">
        <v>729</v>
      </c>
      <c r="C356" s="362" t="str">
        <f>CONCATENATE(other_instance,"01-m01-cl01-vds01-pg-vm-mgmt")</f>
        <v>lax01-m01-cl01-vds01-pg-vm-mgmt</v>
      </c>
      <c r="D356" s="269" t="str">
        <f>cluster_witness_mgmt_pg</f>
        <v>Value Missing</v>
      </c>
      <c r="E356" s="161"/>
    </row>
    <row r="357" spans="2:5" ht="20.100000000000001" customHeight="1" x14ac:dyDescent="0.2">
      <c r="B357" s="22" t="s">
        <v>337</v>
      </c>
      <c r="C357" s="362" t="str">
        <f>sample_cluster_esx_root_password</f>
        <v>VMw@re1!</v>
      </c>
      <c r="D357" s="269" t="str">
        <f>cluster_esx_root_password</f>
        <v>Value Missing</v>
      </c>
      <c r="E357" s="161"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58" spans="2:5" ht="20.100000000000001" customHeight="1" x14ac:dyDescent="0.2">
      <c r="B358" s="22" t="s">
        <v>730</v>
      </c>
      <c r="C358" s="126"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58" s="265"/>
      <c r="E358" s="161" t="s">
        <v>731</v>
      </c>
    </row>
    <row r="359" spans="2:5" ht="20.100000000000001" customHeight="1" x14ac:dyDescent="0.2">
      <c r="B359" s="22" t="s">
        <v>732</v>
      </c>
      <c r="C359" s="362" t="str">
        <f>VLOOKUP(INT(RIGHT(sample_wld_witnessaz_mgmt_cidr,LEN(sample_wld_witnessaz_mgmt_cidr)-FIND("/",sample_wld_witnessaz_mgmt_cidr))),table_cidr_to_mask,2,FALSE)</f>
        <v>255.255.255.0</v>
      </c>
      <c r="D359" s="269"/>
      <c r="E359" s="161"/>
    </row>
    <row r="360" spans="2:5" ht="20.100000000000001" customHeight="1" x14ac:dyDescent="0.2">
      <c r="B360" s="22" t="s">
        <v>399</v>
      </c>
      <c r="C360" s="362" t="str">
        <f>sample_cluster_witnessaz_mgmt_gateway_ip</f>
        <v>10.21.10.1</v>
      </c>
      <c r="D360" s="269" t="str">
        <f t="array" ref="D360">cluster_witnessaz_mgmt_gateway_ip</f>
        <v>Value Missing</v>
      </c>
      <c r="E360" s="161"/>
    </row>
    <row r="361" spans="2:5" ht="20.100000000000001" customHeight="1" x14ac:dyDescent="0.2">
      <c r="B361" s="22" t="s">
        <v>733</v>
      </c>
      <c r="C361" s="362" t="str">
        <f>sample_child_dns_zone</f>
        <v>sfo.rainpole.io</v>
      </c>
      <c r="D361" s="265"/>
      <c r="E361" s="161"/>
    </row>
    <row r="362" spans="2:5" ht="20.100000000000001" customHeight="1" x14ac:dyDescent="0.2">
      <c r="B362" s="22" t="s">
        <v>734</v>
      </c>
      <c r="C362" s="362" t="str">
        <f>sample_cluster_witness_hostname</f>
        <v>sfo-w01-cl02-vsw01</v>
      </c>
      <c r="D362" s="269" t="str">
        <f t="array" ref="D362">cluster_witness_hostname</f>
        <v>Value Missing</v>
      </c>
      <c r="E362" s="161"/>
    </row>
    <row r="363" spans="2:5" ht="20.100000000000001" customHeight="1" x14ac:dyDescent="0.2">
      <c r="B363" s="22" t="s">
        <v>735</v>
      </c>
      <c r="C363" s="362" t="str">
        <f>IF(mgmt_dpg_reuse_result="Included",CONCATENATE(prefix_other_region_az1_cidr,"10.4"),CONCATENATE(prefix_other_region_az1_cidr,"11.4"))</f>
        <v>10.21.10.4</v>
      </c>
      <c r="D363" s="265"/>
      <c r="E363" s="161" t="s">
        <v>736</v>
      </c>
    </row>
    <row r="364" spans="2:5" ht="20.100000000000001" customHeight="1" x14ac:dyDescent="0.2">
      <c r="B364" s="22" t="s">
        <v>737</v>
      </c>
      <c r="C364" s="362" t="str">
        <f>IF(mgmt_dpg_reuse_result="Included",CONCATENATE(prefix_other_region_az1_cidr,"10.5"),CONCATENATE(prefix_other_region_az1_cidr,"11.5"))</f>
        <v>10.21.10.5</v>
      </c>
      <c r="D364" s="265"/>
      <c r="E364" s="161" t="s">
        <v>738</v>
      </c>
    </row>
    <row r="365" spans="2:5" ht="20.100000000000001" customHeight="1" x14ac:dyDescent="0.2">
      <c r="B365" s="22" t="s">
        <v>739</v>
      </c>
      <c r="C365" s="362" t="str">
        <f>CONCATENATE("ntp0.",other_instance,".rainpole.io")</f>
        <v>ntp0.lax.rainpole.io</v>
      </c>
      <c r="D365" s="265"/>
      <c r="E365" s="161"/>
    </row>
    <row r="366" spans="2:5" ht="20.100000000000001" customHeight="1" x14ac:dyDescent="0.2">
      <c r="B366" s="22" t="s">
        <v>740</v>
      </c>
      <c r="C366" s="362" t="str">
        <f>CONCATENATE("ntp1.",other_instance,".rainpole.io")</f>
        <v>ntp1.lax.rainpole.io</v>
      </c>
      <c r="D366" s="265"/>
      <c r="E366" s="161"/>
    </row>
    <row r="367" spans="2:5" ht="20.100000000000001" customHeight="1" x14ac:dyDescent="0.2">
      <c r="B367" s="562" t="s">
        <v>741</v>
      </c>
      <c r="C367" s="563"/>
      <c r="D367" s="563"/>
      <c r="E367" s="564"/>
    </row>
    <row r="368" spans="2:5" ht="20.100000000000001" customHeight="1" x14ac:dyDescent="0.2">
      <c r="B368" s="346" t="s">
        <v>37</v>
      </c>
      <c r="C368" s="346" t="s">
        <v>276</v>
      </c>
      <c r="D368" s="346" t="s">
        <v>277</v>
      </c>
      <c r="E368" s="346" t="s">
        <v>5</v>
      </c>
    </row>
    <row r="369" spans="2:5" ht="20.100000000000001" customHeight="1" x14ac:dyDescent="0.2">
      <c r="B369" s="22" t="s">
        <v>721</v>
      </c>
      <c r="C369" s="362" t="str">
        <f>IF(cluster_wld_domain_chosen="VI Workload Domain",CONCATENATE(this_instance,"-w0",wld_domain_number_chosen,"-vc01",this_instance,".rainpole.io"),CONCATENATE(this_instance,"-m01-vc01.",this_instance,".rainpole.io"))</f>
        <v>sfo-w01-vc01sfo.rainpole.io</v>
      </c>
      <c r="D369" s="264"/>
      <c r="E369" s="22"/>
    </row>
    <row r="370" spans="2:5" ht="20.100000000000001" customHeight="1" x14ac:dyDescent="0.2">
      <c r="B370" s="22" t="s">
        <v>742</v>
      </c>
      <c r="C370" s="362" t="str">
        <f>IF(cluster_wld_domain_chosen="VI Workload Domain",CONCATENATE(this_instance,"-w0",wld_domain_number_chosen,"-dc"),sample_mgmt_datacenter)</f>
        <v>sfo-w01-dc</v>
      </c>
      <c r="D370" s="264"/>
      <c r="E370" s="22"/>
    </row>
    <row r="371" spans="2:5" ht="20.100000000000001" customHeight="1" x14ac:dyDescent="0.2">
      <c r="B371" s="22" t="s">
        <v>527</v>
      </c>
      <c r="C371" s="362" t="str">
        <f>IF(cluster_wld_domain_chosen="VI Workload Domain",CONCATENATE(sample_cluster_witness_hostname,".",sample_child_dns_zone),CONCATENATE(sample_cluster_witness_hostname,".",sample_child_dns_zone))</f>
        <v>sfo-w01-cl02-vsw01.sfo.rainpole.io</v>
      </c>
      <c r="D371" s="264"/>
      <c r="E371" s="22"/>
    </row>
    <row r="372" spans="2:5" ht="20.100000000000001" customHeight="1" x14ac:dyDescent="0.2">
      <c r="B372" s="22" t="s">
        <v>743</v>
      </c>
      <c r="C372" s="362" t="str">
        <f>sample_cluster_esx_root_password</f>
        <v>VMw@re1!</v>
      </c>
      <c r="D372" s="268" t="str">
        <f>cluster_esx_root_password</f>
        <v>Value Missing</v>
      </c>
      <c r="E372" s="22"/>
    </row>
    <row r="373" spans="2:5" ht="20.100000000000001" customHeight="1" x14ac:dyDescent="0.2">
      <c r="B373" s="562" t="s">
        <v>744</v>
      </c>
      <c r="C373" s="563"/>
      <c r="D373" s="563"/>
      <c r="E373" s="564"/>
    </row>
    <row r="374" spans="2:5" ht="20.100000000000001" customHeight="1" x14ac:dyDescent="0.2">
      <c r="B374" s="346" t="s">
        <v>37</v>
      </c>
      <c r="C374" s="346" t="s">
        <v>276</v>
      </c>
      <c r="D374" s="346" t="s">
        <v>277</v>
      </c>
      <c r="E374" s="346" t="s">
        <v>5</v>
      </c>
    </row>
    <row r="375" spans="2:5" ht="20.100000000000001" customHeight="1" x14ac:dyDescent="0.2">
      <c r="B375" s="22" t="s">
        <v>721</v>
      </c>
      <c r="C375" s="362" t="str">
        <f>sample_cluster_vc_fqdn</f>
        <v>sfo-w01-vc01sfo.rainpole.io</v>
      </c>
      <c r="D375" s="268" t="str">
        <f>cluster_vc_fqdn</f>
        <v>Value Missing</v>
      </c>
      <c r="E375" s="22"/>
    </row>
    <row r="376" spans="2:5" ht="20.100000000000001" customHeight="1" x14ac:dyDescent="0.2">
      <c r="B376" s="22" t="s">
        <v>745</v>
      </c>
      <c r="C376" s="159" t="str">
        <f>sample_cluster_witness_hostname</f>
        <v>sfo-w01-cl02-vsw01</v>
      </c>
      <c r="D376" s="268" t="str">
        <f t="array" ref="D376">cluster_witness_hostname</f>
        <v>Value Missing</v>
      </c>
      <c r="E376" s="22"/>
    </row>
    <row r="377" spans="2:5" ht="20.100000000000001" customHeight="1" x14ac:dyDescent="0.2">
      <c r="B377" s="22" t="s">
        <v>746</v>
      </c>
      <c r="C377" s="159" t="str">
        <f>CONCATENATE(sample_cluster_witness_ntp1_server," ",sample_cluster_witness_ntp2_server)</f>
        <v>ntp0.lax.rainpole.io ntp1.lax.rainpole.io</v>
      </c>
      <c r="D377" s="268" t="str">
        <f t="array" ref="D377">CONCATENATE(cluster_witness_ntp1_server," ",cluster_witness_ntp2_server)</f>
        <v>Value Missing Value Missing</v>
      </c>
      <c r="E377" s="193"/>
    </row>
    <row r="378" spans="2:5" ht="20.100000000000001" customHeight="1" x14ac:dyDescent="0.2">
      <c r="B378" s="562" t="s">
        <v>747</v>
      </c>
      <c r="C378" s="563"/>
      <c r="D378" s="563"/>
      <c r="E378" s="564"/>
    </row>
    <row r="379" spans="2:5" ht="20.100000000000001" customHeight="1" x14ac:dyDescent="0.2">
      <c r="B379" s="346" t="s">
        <v>37</v>
      </c>
      <c r="C379" s="346" t="s">
        <v>276</v>
      </c>
      <c r="D379" s="346" t="s">
        <v>277</v>
      </c>
      <c r="E379" s="346" t="s">
        <v>5</v>
      </c>
    </row>
    <row r="380" spans="2:5" ht="20.100000000000001" customHeight="1" x14ac:dyDescent="0.2">
      <c r="B380" s="22" t="s">
        <v>721</v>
      </c>
      <c r="C380" s="362" t="str">
        <f>sample_cluster_vc_fqdn</f>
        <v>sfo-w01-vc01sfo.rainpole.io</v>
      </c>
      <c r="D380" s="268" t="str">
        <f>cluster_vc_fqdn</f>
        <v>Value Missing</v>
      </c>
      <c r="E380" s="22"/>
    </row>
    <row r="381" spans="2:5" ht="20.100000000000001" customHeight="1" x14ac:dyDescent="0.2">
      <c r="B381" s="22" t="s">
        <v>748</v>
      </c>
      <c r="C381" s="159" t="str">
        <f>IF(cluster_wld_domain_chosen="VI Workload Domain",CONCATENATE(this_instance,"-w0",wld_domain_number_chosen,"-dc"),sample_mgmt_datacenter)</f>
        <v>sfo-w01-dc</v>
      </c>
      <c r="D381" s="268" t="str">
        <f t="array" ref="D381">cluster_datacenter</f>
        <v>Value Missing</v>
      </c>
      <c r="E381" s="22"/>
    </row>
    <row r="382" spans="2:5" ht="20.100000000000001" customHeight="1" x14ac:dyDescent="0.2">
      <c r="B382" s="22" t="s">
        <v>749</v>
      </c>
      <c r="C382" s="159" t="str">
        <f>sample_cluster_witness_hostname</f>
        <v>sfo-w01-cl02-vsw01</v>
      </c>
      <c r="D382" s="268" t="str">
        <f>cluster_witness_hostname</f>
        <v>Value Missing</v>
      </c>
      <c r="E382" s="22"/>
    </row>
    <row r="383" spans="2:5" ht="20.100000000000001" customHeight="1" x14ac:dyDescent="0.2">
      <c r="B383" s="565"/>
      <c r="C383" s="565"/>
      <c r="D383" s="565"/>
      <c r="E383" s="565"/>
    </row>
    <row r="384" spans="2:5" ht="33.950000000000003" customHeight="1" x14ac:dyDescent="0.2">
      <c r="B384" s="559" t="s">
        <v>750</v>
      </c>
      <c r="C384" s="560"/>
      <c r="D384" s="560"/>
      <c r="E384" s="561"/>
    </row>
    <row r="385" spans="2:5" ht="20.100000000000001" customHeight="1" x14ac:dyDescent="0.2">
      <c r="B385" s="375"/>
      <c r="C385" s="376"/>
      <c r="D385" s="376"/>
      <c r="E385" s="376"/>
    </row>
    <row r="386" spans="2:5" ht="20.100000000000001" customHeight="1" x14ac:dyDescent="0.2">
      <c r="B386" s="346" t="s">
        <v>37</v>
      </c>
      <c r="C386" s="346" t="s">
        <v>276</v>
      </c>
      <c r="D386" s="346" t="s">
        <v>277</v>
      </c>
      <c r="E386" s="346" t="s">
        <v>5</v>
      </c>
    </row>
    <row r="387" spans="2:5" ht="20.100000000000001" customHeight="1" x14ac:dyDescent="0.2">
      <c r="B387" s="22" t="str">
        <f t="array" ref="B387:B402">cluster_az2_host_fqdns</f>
        <v>Value Missing</v>
      </c>
      <c r="C387" s="159" t="s">
        <v>752</v>
      </c>
      <c r="D387" s="264"/>
      <c r="E387" s="320" t="s">
        <v>753</v>
      </c>
    </row>
    <row r="388" spans="2:5" ht="20.100000000000001" customHeight="1" x14ac:dyDescent="0.2">
      <c r="B388" s="22" t="str">
        <v>Value Missing</v>
      </c>
      <c r="C388" s="159" t="s">
        <v>754</v>
      </c>
      <c r="D388" s="264"/>
      <c r="E388" s="320" t="s">
        <v>755</v>
      </c>
    </row>
    <row r="389" spans="2:5" ht="20.100000000000001" customHeight="1" x14ac:dyDescent="0.2">
      <c r="B389" s="22" t="str">
        <v>Value Missing</v>
      </c>
      <c r="C389" s="159" t="s">
        <v>756</v>
      </c>
      <c r="D389" s="264"/>
      <c r="E389" s="320" t="s">
        <v>757</v>
      </c>
    </row>
    <row r="390" spans="2:5" ht="20.100000000000001" customHeight="1" x14ac:dyDescent="0.2">
      <c r="B390" s="22" t="str">
        <v>Value Missing</v>
      </c>
      <c r="C390" s="159" t="s">
        <v>758</v>
      </c>
      <c r="D390" s="264"/>
      <c r="E390" s="320" t="s">
        <v>759</v>
      </c>
    </row>
    <row r="391" spans="2:5" ht="20.100000000000001" customHeight="1" x14ac:dyDescent="0.2">
      <c r="B391" s="22" t="str">
        <v>Value Missing</v>
      </c>
      <c r="C391" s="159" t="s">
        <v>760</v>
      </c>
      <c r="D391" s="264"/>
      <c r="E391" s="320" t="s">
        <v>761</v>
      </c>
    </row>
    <row r="392" spans="2:5" ht="20.100000000000001" customHeight="1" x14ac:dyDescent="0.2">
      <c r="B392" s="22" t="str">
        <v>Value Missing</v>
      </c>
      <c r="C392" s="159" t="s">
        <v>762</v>
      </c>
      <c r="D392" s="264"/>
      <c r="E392" s="320" t="s">
        <v>763</v>
      </c>
    </row>
    <row r="393" spans="2:5" ht="20.100000000000001" customHeight="1" x14ac:dyDescent="0.2">
      <c r="B393" s="22" t="str">
        <v>Value Missing</v>
      </c>
      <c r="C393" s="159" t="s">
        <v>764</v>
      </c>
      <c r="D393" s="264"/>
      <c r="E393" s="320" t="s">
        <v>765</v>
      </c>
    </row>
    <row r="394" spans="2:5" ht="20.100000000000001" customHeight="1" x14ac:dyDescent="0.2">
      <c r="B394" s="22" t="str">
        <v>Value Missing</v>
      </c>
      <c r="C394" s="159" t="s">
        <v>766</v>
      </c>
      <c r="D394" s="264"/>
      <c r="E394" s="320" t="s">
        <v>767</v>
      </c>
    </row>
    <row r="395" spans="2:5" ht="20.100000000000001" customHeight="1" x14ac:dyDescent="0.2">
      <c r="B395" s="22" t="str">
        <v>Value Missing</v>
      </c>
      <c r="C395" s="159" t="s">
        <v>768</v>
      </c>
      <c r="D395" s="264"/>
      <c r="E395" s="320" t="s">
        <v>769</v>
      </c>
    </row>
    <row r="396" spans="2:5" ht="20.100000000000001" customHeight="1" x14ac:dyDescent="0.2">
      <c r="B396" s="22" t="str">
        <v>Value Missing</v>
      </c>
      <c r="C396" s="159" t="s">
        <v>770</v>
      </c>
      <c r="D396" s="264"/>
      <c r="E396" s="320" t="s">
        <v>771</v>
      </c>
    </row>
    <row r="397" spans="2:5" ht="20.100000000000001" customHeight="1" x14ac:dyDescent="0.2">
      <c r="B397" s="22" t="str">
        <v>Value Missing</v>
      </c>
      <c r="C397" s="159" t="s">
        <v>772</v>
      </c>
      <c r="D397" s="264"/>
      <c r="E397" s="320" t="s">
        <v>773</v>
      </c>
    </row>
    <row r="398" spans="2:5" ht="20.100000000000001" customHeight="1" x14ac:dyDescent="0.2">
      <c r="B398" s="22" t="str">
        <v>Value Missing</v>
      </c>
      <c r="C398" s="159" t="s">
        <v>774</v>
      </c>
      <c r="D398" s="264"/>
      <c r="E398" s="320" t="s">
        <v>775</v>
      </c>
    </row>
    <row r="399" spans="2:5" ht="20.100000000000001" customHeight="1" x14ac:dyDescent="0.2">
      <c r="B399" s="22" t="str">
        <v>Value Missing</v>
      </c>
      <c r="C399" s="159" t="s">
        <v>776</v>
      </c>
      <c r="D399" s="264"/>
      <c r="E399" s="320" t="s">
        <v>777</v>
      </c>
    </row>
    <row r="400" spans="2:5" ht="20.100000000000001" customHeight="1" x14ac:dyDescent="0.2">
      <c r="B400" s="22" t="str">
        <v>Value Missing</v>
      </c>
      <c r="C400" s="159" t="s">
        <v>778</v>
      </c>
      <c r="D400" s="264"/>
      <c r="E400" s="320" t="s">
        <v>779</v>
      </c>
    </row>
    <row r="401" spans="2:5" ht="20.100000000000001" customHeight="1" x14ac:dyDescent="0.2">
      <c r="B401" s="22" t="str">
        <v>Value Missing</v>
      </c>
      <c r="C401" s="159" t="s">
        <v>780</v>
      </c>
      <c r="D401" s="264"/>
      <c r="E401" s="320" t="s">
        <v>781</v>
      </c>
    </row>
    <row r="402" spans="2:5" ht="20.100000000000001" customHeight="1" x14ac:dyDescent="0.2">
      <c r="B402" s="22" t="str">
        <v>Value Missing</v>
      </c>
      <c r="C402" s="159" t="s">
        <v>782</v>
      </c>
      <c r="D402" s="264"/>
      <c r="E402" s="320" t="s">
        <v>783</v>
      </c>
    </row>
    <row r="403" spans="2:5" ht="20.100000000000001" customHeight="1" x14ac:dyDescent="0.2">
      <c r="B403" s="22" t="s">
        <v>1566</v>
      </c>
      <c r="C403" s="159" t="s">
        <v>1567</v>
      </c>
      <c r="D403" s="265" t="s">
        <v>1567</v>
      </c>
      <c r="E403" s="321"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04" spans="2:5" ht="20.100000000000001" customHeight="1" x14ac:dyDescent="0.2">
      <c r="B404" s="22" t="s">
        <v>1568</v>
      </c>
      <c r="C404" s="159" t="s">
        <v>1569</v>
      </c>
      <c r="D404" s="265" t="s">
        <v>1569</v>
      </c>
      <c r="E404" s="321"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05" spans="2:5" ht="20.100000000000001" customHeight="1" x14ac:dyDescent="0.2">
      <c r="B405" s="22" t="s">
        <v>784</v>
      </c>
      <c r="C405" s="159" t="str">
        <f>IF(cluster_wld_domain_chosen="VI Workload Domain",CONCATENATE(this_instance,"02-",sample_cluster_name,"-r01-network-profile"),CONCATENATE(this_instance,"02-",sample_cluster_name,"-r01-network-profile"))</f>
        <v>sfo02-sfo-w01-cl02-r01-network-profile</v>
      </c>
      <c r="D405" s="265"/>
      <c r="E405" s="161"/>
    </row>
    <row r="406" spans="2:5" ht="20.100000000000001" customHeight="1" x14ac:dyDescent="0.2">
      <c r="B406" s="4" t="s">
        <v>785</v>
      </c>
      <c r="C406" s="362" t="s">
        <v>786</v>
      </c>
      <c r="D406" s="265" t="s">
        <v>786</v>
      </c>
      <c r="E406"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07" spans="2:5" ht="20.100000000000001" customHeight="1" x14ac:dyDescent="0.2">
      <c r="B407" s="22" t="s">
        <v>787</v>
      </c>
      <c r="C407" s="159" t="str">
        <f>IF(cluster_wld_domain_chosen="VI Workload Domain",CONCATENATE(this_instance,"02-w0",wld_domain_number_chosen,"-r01-ip-pool01-host"),CONCATENATE(this_instance,"02-m01","-r01-ip-pool01-host"))</f>
        <v>sfo02-w01-r01-ip-pool01-host</v>
      </c>
      <c r="D407" s="265"/>
      <c r="E407" s="161"/>
    </row>
    <row r="408" spans="2:5" ht="20.100000000000001" customHeight="1" x14ac:dyDescent="0.2">
      <c r="B408" s="22" t="s">
        <v>788</v>
      </c>
      <c r="C408" s="159" t="str">
        <f>IF(cluster_wld_domain_chosen="VI Workload Domain",CONCATENATE(this_instance,"02-w0",wld_domain_number_chosen,"-r01-uplink-profile-01"),CONCATENATE(this_instance,"02-m01","-r01-uplink-profile-01"))</f>
        <v>sfo02-w01-r01-uplink-profile-01</v>
      </c>
      <c r="D408" s="265"/>
      <c r="E408" s="161"/>
    </row>
    <row r="409" spans="2:5" ht="20.100000000000001" customHeight="1" x14ac:dyDescent="0.2">
      <c r="B409" s="17" t="s">
        <v>789</v>
      </c>
      <c r="C409" s="262" t="str">
        <f>IF(cluster_wld_domain_chosen="VI Workload Domain",CONCATENATE(prefix_wld_az2_vlan,"14"),CONCATENATE(prefix_mgmt_az2_vlan,"14"))</f>
        <v>1414</v>
      </c>
      <c r="D409" s="265"/>
      <c r="E409" s="161"/>
    </row>
    <row r="410" spans="2:5" ht="20.100000000000001" customHeight="1" x14ac:dyDescent="0.2">
      <c r="B410" s="4" t="s">
        <v>790</v>
      </c>
      <c r="C410" s="262" t="str">
        <f>IF(cluster_wld_domain_chosen="VI Workload Domain",CONCATENATE(prefix_wld_az2_cidr,"14.0/24"),CONCATENATE(prefix_mgmt_az2_cidr,"14.0/24"))</f>
        <v>10.14.14.0/24</v>
      </c>
      <c r="D410" s="266"/>
      <c r="E410" s="161"/>
    </row>
    <row r="411" spans="2:5" ht="20.100000000000001" customHeight="1" x14ac:dyDescent="0.2">
      <c r="B411" s="4" t="s">
        <v>791</v>
      </c>
      <c r="C411" s="262" t="str">
        <f>IF(cluster_wld_domain_chosen="VI Workload Domain",CONCATENATE(prefix_wld_az2_cidr,"14.1"),CONCATENATE(prefix_mgmt_az2_cidr,"14.1"))</f>
        <v>10.14.14.1</v>
      </c>
      <c r="D411" s="267"/>
      <c r="E411" s="161"/>
    </row>
    <row r="412" spans="2:5" ht="20.100000000000001" customHeight="1" x14ac:dyDescent="0.2">
      <c r="B412" s="4" t="s">
        <v>792</v>
      </c>
      <c r="C412" s="262">
        <v>9000</v>
      </c>
      <c r="D412" s="267"/>
      <c r="E412" s="161"/>
    </row>
    <row r="413" spans="2:5" ht="20.100000000000001" customHeight="1" x14ac:dyDescent="0.2">
      <c r="B413" s="22" t="s">
        <v>460</v>
      </c>
      <c r="C413" s="262" t="str">
        <f>IF(cluster_wld_domain_chosen="VI Workload Domain",CONCATENATE(prefix_wld_az2_cidr,"14.101"),CONCATENATE(prefix_mgmt_az2_cidr,"14.101"))</f>
        <v>10.14.14.101</v>
      </c>
      <c r="D413" s="267"/>
      <c r="E413" s="161"/>
    </row>
    <row r="414" spans="2:5" ht="20.100000000000001" customHeight="1" x14ac:dyDescent="0.2">
      <c r="B414" s="22" t="s">
        <v>461</v>
      </c>
      <c r="C414" s="262" t="str">
        <f>IF(cluster_wld_domain_chosen="VI Workload Domain",CONCATENATE(prefix_wld_az2_cidr,"14.132"),CONCATENATE(prefix_mgmt_az2_cidr,"14.132"))</f>
        <v>10.14.14.132</v>
      </c>
      <c r="D414" s="267"/>
      <c r="E414" s="161"/>
    </row>
    <row r="415" spans="2:5" ht="20.100000000000001" customHeight="1" x14ac:dyDescent="0.2">
      <c r="B415" s="22" t="s">
        <v>1466</v>
      </c>
      <c r="C415" s="362" t="str">
        <f>sample_cluster_witness_fqdn</f>
        <v>sfo-w01-cl02-vsw01.sfo.rainpole.io</v>
      </c>
      <c r="D415" s="268" t="str">
        <f>cluster_witness_fqdn</f>
        <v>Value Missing</v>
      </c>
      <c r="E415" s="193"/>
    </row>
    <row r="416" spans="2:5" ht="20.100000000000001" customHeight="1" x14ac:dyDescent="0.2">
      <c r="B416" s="22" t="s">
        <v>797</v>
      </c>
      <c r="C416" s="362" t="str">
        <f>sample_cluster_witnessaz_mgmt_cidr</f>
        <v>10.21.10.0/24</v>
      </c>
      <c r="D416" s="268" t="str">
        <f>cluster_witnessaz_mgmt_cidr</f>
        <v>Value Missing</v>
      </c>
      <c r="E416" s="193"/>
    </row>
    <row r="417" spans="2:5" ht="20.100000000000001" customHeight="1" x14ac:dyDescent="0.2">
      <c r="B417" s="22" t="s">
        <v>795</v>
      </c>
      <c r="C417" s="362" t="str">
        <f>sample_cluster_witness_ip</f>
        <v>10.21.10.223</v>
      </c>
      <c r="D417" s="269" t="str">
        <f>cluster_witness_ip</f>
        <v>Value Missing</v>
      </c>
      <c r="E417" s="161"/>
    </row>
    <row r="418" spans="2:5" ht="20.100000000000001" customHeight="1" x14ac:dyDescent="0.2">
      <c r="B418" s="22" t="s">
        <v>798</v>
      </c>
      <c r="C418" s="159" t="s">
        <v>799</v>
      </c>
      <c r="D418" s="265"/>
      <c r="E418" s="161" t="s">
        <v>800</v>
      </c>
    </row>
    <row r="419" spans="2:5" ht="20.100000000000001" customHeight="1" x14ac:dyDescent="0.2">
      <c r="B419" s="565"/>
      <c r="C419" s="565"/>
      <c r="D419" s="565"/>
      <c r="E419" s="565"/>
    </row>
    <row r="420" spans="2:5" ht="33.950000000000003" customHeight="1" x14ac:dyDescent="0.2">
      <c r="B420" s="559" t="s">
        <v>801</v>
      </c>
      <c r="C420" s="560"/>
      <c r="D420" s="560"/>
      <c r="E420" s="561"/>
    </row>
    <row r="421" spans="2:5" ht="20.100000000000001" customHeight="1" x14ac:dyDescent="0.2">
      <c r="B421" s="562" t="s">
        <v>802</v>
      </c>
      <c r="C421" s="563"/>
      <c r="D421" s="563"/>
      <c r="E421" s="564"/>
    </row>
    <row r="422" spans="2:5" ht="20.100000000000001" customHeight="1" x14ac:dyDescent="0.2">
      <c r="B422" s="346" t="s">
        <v>37</v>
      </c>
      <c r="C422" s="346" t="s">
        <v>276</v>
      </c>
      <c r="D422" s="346" t="s">
        <v>277</v>
      </c>
      <c r="E422" s="346" t="s">
        <v>5</v>
      </c>
    </row>
    <row r="423" spans="2:5" ht="20.100000000000001" customHeight="1" x14ac:dyDescent="0.2">
      <c r="B423" s="22" t="s">
        <v>803</v>
      </c>
      <c r="C423" s="159" t="str">
        <f>IF(cluster_wld_domain_chosen="VI Workload Domain",CONCATENATE(this_instance,"-w0",wld_domain_number_chosen,"-nsx01",".",sample_child_dns_zone),CONCATENATE(this_instance,"-m01-nsx01",".",sample_child_dns_zone))</f>
        <v>sfo-w01-nsx01.sfo.rainpole.io</v>
      </c>
      <c r="D423" s="265"/>
      <c r="E423" s="263"/>
    </row>
    <row r="424" spans="2:5" ht="20.100000000000001" customHeight="1" x14ac:dyDescent="0.2">
      <c r="B424" s="562" t="s">
        <v>804</v>
      </c>
      <c r="C424" s="563"/>
      <c r="D424" s="563"/>
      <c r="E424" s="564"/>
    </row>
    <row r="425" spans="2:5" ht="20.100000000000001" customHeight="1" x14ac:dyDescent="0.2">
      <c r="B425" s="346" t="s">
        <v>37</v>
      </c>
      <c r="C425" s="346" t="s">
        <v>276</v>
      </c>
      <c r="D425" s="346" t="s">
        <v>277</v>
      </c>
      <c r="E425" s="346" t="s">
        <v>5</v>
      </c>
    </row>
    <row r="426" spans="2:5" ht="20.100000000000001" customHeight="1" x14ac:dyDescent="0.2">
      <c r="B426" s="22" t="s">
        <v>803</v>
      </c>
      <c r="C426" s="159" t="str">
        <f>sample_cluster_nsxt_vip_fqdn</f>
        <v>sfo-w01-nsx01.sfo.rainpole.io</v>
      </c>
      <c r="D426" s="268" t="str">
        <f t="array" ref="D426">cluster_nsxt_vip_fqdn</f>
        <v>Value Missing</v>
      </c>
      <c r="E426" s="22"/>
    </row>
    <row r="427" spans="2:5" ht="20.100000000000001" customHeight="1" x14ac:dyDescent="0.2">
      <c r="B427" s="22" t="s">
        <v>805</v>
      </c>
      <c r="C427" s="159" t="str">
        <f>IF(cluster_wld_domain_chosen="VI Workload Domain",IF(mgmt_nsxt_federation_result="Included","65202","65102"),IF(mgmt_nsxt_federation_result="Excluded","65101","65201"))</f>
        <v>65102</v>
      </c>
      <c r="D427" s="264"/>
      <c r="E427" s="22"/>
    </row>
    <row r="428" spans="2:5" ht="20.100000000000001" customHeight="1" x14ac:dyDescent="0.2">
      <c r="B428" s="562" t="s">
        <v>806</v>
      </c>
      <c r="C428" s="563"/>
      <c r="D428" s="563"/>
      <c r="E428" s="564"/>
    </row>
    <row r="429" spans="2:5" ht="20.100000000000001" customHeight="1" x14ac:dyDescent="0.2">
      <c r="B429" s="346" t="s">
        <v>37</v>
      </c>
      <c r="C429" s="346" t="s">
        <v>276</v>
      </c>
      <c r="D429" s="346" t="s">
        <v>277</v>
      </c>
      <c r="E429" s="346" t="s">
        <v>5</v>
      </c>
    </row>
    <row r="430" spans="2:5" ht="20.100000000000001" customHeight="1" x14ac:dyDescent="0.2">
      <c r="B430" s="22" t="s">
        <v>803</v>
      </c>
      <c r="C430" s="255" t="str">
        <f>sample_cluster_nsxt_vip_fqdn</f>
        <v>sfo-w01-nsx01.sfo.rainpole.io</v>
      </c>
      <c r="D430" s="268" t="str">
        <f t="array" ref="D430">cluster_nsxt_vip_fqdn</f>
        <v>Value Missing</v>
      </c>
      <c r="E430" s="193"/>
    </row>
    <row r="431" spans="2:5" ht="20.100000000000001" customHeight="1" x14ac:dyDescent="0.2">
      <c r="B431" s="22" t="s">
        <v>807</v>
      </c>
      <c r="C431" s="159" t="str">
        <f>IF(cluster_wld_domain_chosen="VI Workload Domain",CONCATENATE(prefix_mgmt_az1_cidr,"17.11"),CONCATENATE(prefix_wld_az1_cidr,"17.11"))</f>
        <v>10.11.17.11</v>
      </c>
      <c r="D431" s="265"/>
      <c r="E431" s="161" t="s">
        <v>648</v>
      </c>
    </row>
    <row r="432" spans="2:5" ht="20.100000000000001" customHeight="1" x14ac:dyDescent="0.2">
      <c r="B432" s="22" t="s">
        <v>808</v>
      </c>
      <c r="C432" s="159" t="str">
        <f>IF(cluster_wld_domain_chosen="VI Workload Domain",CONCATENATE(asn_start,asn_instance,asn_mgmt_az2,1),CONCATENATE(asn_start,asn_instance,asn_wld_az2,1))</f>
        <v>65121</v>
      </c>
      <c r="D432" s="265"/>
      <c r="E432" s="161" t="s">
        <v>649</v>
      </c>
    </row>
    <row r="433" spans="2:5" ht="20.100000000000001" customHeight="1" x14ac:dyDescent="0.2">
      <c r="B433" s="22" t="s">
        <v>809</v>
      </c>
      <c r="C433" s="159" t="str">
        <f>IF(cluster_wld_domain_chosen="VI Workload Domain",CONCATENATE(prefix_mgmt_az1_cidr,"17.4/24"),CONCATENATE(prefix_wld_az1_cidr,"17.4/24"))</f>
        <v>10.11.17.4/24</v>
      </c>
      <c r="D433" s="264"/>
      <c r="E433" s="193"/>
    </row>
    <row r="434" spans="2:5" ht="20.100000000000001" customHeight="1" x14ac:dyDescent="0.2">
      <c r="B434" s="22" t="s">
        <v>810</v>
      </c>
      <c r="C434" s="159" t="str">
        <f>IF(cluster_wld_domain_chosen="VI Workload Domain",CONCATENATE(prefix_mgmt_az1_cidr,"17.5/24"),CONCATENATE(prefix_wld_az1_cidr,"17.5/24"))</f>
        <v>10.11.17.5/24</v>
      </c>
      <c r="D434" s="264"/>
      <c r="E434" s="193"/>
    </row>
    <row r="435" spans="2:5" ht="20.100000000000001" customHeight="1" x14ac:dyDescent="0.2">
      <c r="B435" s="22" t="s">
        <v>811</v>
      </c>
      <c r="C435" s="159" t="s">
        <v>379</v>
      </c>
      <c r="D435" s="265"/>
      <c r="E435" s="161" t="s">
        <v>650</v>
      </c>
    </row>
    <row r="436" spans="2:5" ht="20.100000000000001" customHeight="1" x14ac:dyDescent="0.2">
      <c r="B436" s="22" t="s">
        <v>812</v>
      </c>
      <c r="C436" s="159" t="str">
        <f>IF(cluster_wld_domain_chosen="VI Workload Domain",CONCATENATE(prefix_mgmt_az1_cidr,"18.11"),CONCATENATE(prefix_wld_az1_cidr,"18.11"))</f>
        <v>10.11.18.11</v>
      </c>
      <c r="D436" s="265"/>
      <c r="E436" s="161" t="s">
        <v>651</v>
      </c>
    </row>
    <row r="437" spans="2:5" ht="20.100000000000001" customHeight="1" x14ac:dyDescent="0.2">
      <c r="B437" s="22" t="s">
        <v>809</v>
      </c>
      <c r="C437" s="159" t="str">
        <f>IF(cluster_wld_domain_chosen="VI Workload Domain",CONCATENATE(prefix_mgmt_az1_cidr,"18.4/24"),CONCATENATE(prefix_wld_az1_cidr,"18.4/24"))</f>
        <v>10.11.18.4/24</v>
      </c>
      <c r="D437" s="264"/>
      <c r="E437" s="193"/>
    </row>
    <row r="438" spans="2:5" ht="20.100000000000001" customHeight="1" x14ac:dyDescent="0.2">
      <c r="B438" s="22" t="s">
        <v>810</v>
      </c>
      <c r="C438" s="159" t="str">
        <f>IF(cluster_wld_domain_chosen="VI Workload Domain",CONCATENATE(prefix_mgmt_az1_cidr,"18.5/24"),CONCATENATE(prefix_wld_az1_cidr,"18.5/24"))</f>
        <v>10.11.18.5/24</v>
      </c>
      <c r="D438" s="264"/>
      <c r="E438" s="193"/>
    </row>
    <row r="439" spans="2:5" ht="20.100000000000001" customHeight="1" x14ac:dyDescent="0.2">
      <c r="B439" s="22" t="s">
        <v>813</v>
      </c>
      <c r="C439" s="159" t="str">
        <f>IF(cluster_wld_domain_chosen="VI Workload Domain",CONCATENATE(asn_start,asn_instance,asn_mgmt_az2,1),CONCATENATE(asn_start,asn_instance,asn_wld_az2,1))</f>
        <v>65121</v>
      </c>
      <c r="D439" s="265"/>
      <c r="E439" s="161" t="s">
        <v>652</v>
      </c>
    </row>
    <row r="440" spans="2:5" ht="20.100000000000001" customHeight="1" x14ac:dyDescent="0.2">
      <c r="B440" s="22" t="s">
        <v>811</v>
      </c>
      <c r="C440" s="159" t="s">
        <v>379</v>
      </c>
      <c r="D440" s="265"/>
      <c r="E440" s="161" t="s">
        <v>653</v>
      </c>
    </row>
    <row r="441" spans="2:5" x14ac:dyDescent="0.2">
      <c r="B441" s="120"/>
      <c r="C441" s="35"/>
      <c r="D441" s="35"/>
      <c r="E441" s="35"/>
    </row>
  </sheetData>
  <sheetProtection algorithmName="SHA-512" hashValue="fBNdnyk6kU6HYbfQxHaHmnA+PU2FSKSttvxBVXT6st3OwgfWFfuKz8Tw+ABVsc3k2YgRIyuV2Bda9QQYCY2Utw==" saltValue="fOZ0H+7vTec8DfH7gKYDnw==" spinCount="100000" sheet="1" selectLockedCells="1"/>
  <mergeCells count="53">
    <mergeCell ref="B73:E73"/>
    <mergeCell ref="B306:E306"/>
    <mergeCell ref="B229:E229"/>
    <mergeCell ref="B177:E177"/>
    <mergeCell ref="B139:E139"/>
    <mergeCell ref="B138:E138"/>
    <mergeCell ref="B82:E82"/>
    <mergeCell ref="B241:E241"/>
    <mergeCell ref="B107:E107"/>
    <mergeCell ref="B109:E109"/>
    <mergeCell ref="B110:E110"/>
    <mergeCell ref="B124:E124"/>
    <mergeCell ref="B125:E125"/>
    <mergeCell ref="B188:E188"/>
    <mergeCell ref="B114:E114"/>
    <mergeCell ref="B115:E115"/>
    <mergeCell ref="B2:E2"/>
    <mergeCell ref="B3:E3"/>
    <mergeCell ref="B21:E21"/>
    <mergeCell ref="B23:E23"/>
    <mergeCell ref="B28:E28"/>
    <mergeCell ref="B46:E46"/>
    <mergeCell ref="B49:E49"/>
    <mergeCell ref="B57:E57"/>
    <mergeCell ref="B65:E65"/>
    <mergeCell ref="B16:E16"/>
    <mergeCell ref="B18:E18"/>
    <mergeCell ref="B119:E119"/>
    <mergeCell ref="B120:E120"/>
    <mergeCell ref="B158:E158"/>
    <mergeCell ref="B159:E159"/>
    <mergeCell ref="B428:E428"/>
    <mergeCell ref="B251:E251"/>
    <mergeCell ref="B253:E253"/>
    <mergeCell ref="B255:E255"/>
    <mergeCell ref="B260:E260"/>
    <mergeCell ref="B278:E278"/>
    <mergeCell ref="B282:E282"/>
    <mergeCell ref="B290:E290"/>
    <mergeCell ref="B298:E298"/>
    <mergeCell ref="B315:E315"/>
    <mergeCell ref="B340:E340"/>
    <mergeCell ref="B347:E347"/>
    <mergeCell ref="B224:E224"/>
    <mergeCell ref="B384:E384"/>
    <mergeCell ref="B421:E421"/>
    <mergeCell ref="B424:E424"/>
    <mergeCell ref="B378:E378"/>
    <mergeCell ref="B383:E383"/>
    <mergeCell ref="B419:E419"/>
    <mergeCell ref="B420:E420"/>
    <mergeCell ref="B373:E373"/>
    <mergeCell ref="B367:E367"/>
  </mergeCells>
  <conditionalFormatting sqref="B8 D8:E8 B11 D11:E11">
    <cfRule type="expression" dxfId="1014" priority="29">
      <formula>$E$8="Cause: Multi Rack Configuration is only supported with vSAN as Principal Storage or vSAN Compute Clusters"</formula>
    </cfRule>
  </conditionalFormatting>
  <conditionalFormatting sqref="B8:B14 D8:D14">
    <cfRule type="expression" dxfId="1013" priority="30">
      <formula>vcf_granular_option_chosen&lt;&gt;"Create Cluster"</formula>
    </cfRule>
  </conditionalFormatting>
  <conditionalFormatting sqref="B9 D9">
    <cfRule type="expression" dxfId="1012" priority="150">
      <formula>(cluster_compute_hosts_per_rack_chosen="Exclude")</formula>
    </cfRule>
    <cfRule type="expression" dxfId="1011" priority="151">
      <formula>(vcf_version_result="Excluded")</formula>
    </cfRule>
    <cfRule type="expression" dxfId="1010" priority="153">
      <formula>(vcf_version_chosen&lt;&gt;"Exclude")</formula>
    </cfRule>
  </conditionalFormatting>
  <conditionalFormatting sqref="B9">
    <cfRule type="expression" dxfId="1009" priority="87" stopIfTrue="1">
      <formula>AND((vcf_granular_option_chosen="Create Cluster"),(cluster_compute_hosts_per_rack_chosen="Exclude"))</formula>
    </cfRule>
  </conditionalFormatting>
  <conditionalFormatting sqref="B10 D10">
    <cfRule type="expression" dxfId="1008" priority="131" stopIfTrue="1">
      <formula>(vcf_version_result="Excluded")</formula>
    </cfRule>
    <cfRule type="expression" dxfId="1007" priority="92">
      <formula>cluster_multi_rack_count_chosen="Exclude"</formula>
    </cfRule>
    <cfRule type="expression" dxfId="1006" priority="146">
      <formula>(vcf_version_chosen&lt;&gt;"Exclude")</formula>
    </cfRule>
  </conditionalFormatting>
  <conditionalFormatting sqref="B10 D10:E10">
    <cfRule type="expression" dxfId="1005" priority="85">
      <formula>AND((cluster_chosen="Deploy a Single-Rack / Multi-Rack Layer 2 Cluster"),(cluster_multi_rack_count_chosen&lt;&gt;"Exclude"))</formula>
    </cfRule>
  </conditionalFormatting>
  <conditionalFormatting sqref="B10">
    <cfRule type="expression" dxfId="1004" priority="82">
      <formula>AND((cluster_chosen="Deploy a Multi-Rack Layer 3 Cluster"),(cluster_multi_rack_count_chosen="Exclude"))</formula>
    </cfRule>
  </conditionalFormatting>
  <conditionalFormatting sqref="B11 D11">
    <cfRule type="expression" dxfId="1003" priority="84">
      <formula>cluster_principal_storage_result="Excluded"</formula>
    </cfRule>
  </conditionalFormatting>
  <conditionalFormatting sqref="B11 D11:E11">
    <cfRule type="expression" dxfId="1002" priority="159">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001" priority="215" stopIfTrue="1">
      <formula>cluster_secondary_storage_chosen="Exclude"</formula>
    </cfRule>
  </conditionalFormatting>
  <conditionalFormatting sqref="B12:B14">
    <cfRule type="expression" dxfId="1000" priority="214">
      <formula>cluster_secondary_storage_chosen&lt;&gt;"Exclude"</formula>
    </cfRule>
  </conditionalFormatting>
  <conditionalFormatting sqref="B13 D13">
    <cfRule type="expression" dxfId="999" priority="73">
      <formula>cluster_az1_reuse_vcf_networkpool_result="Excluded"</formula>
    </cfRule>
  </conditionalFormatting>
  <conditionalFormatting sqref="B14 D14">
    <cfRule type="expression" dxfId="998" priority="74" stopIfTrue="1">
      <formula>cluster_stretched_cluster_result="Excluded"</formula>
    </cfRule>
  </conditionalFormatting>
  <conditionalFormatting sqref="B14 D14:E14">
    <cfRule type="expression" dxfId="997" priority="83">
      <formula>$E$14="Cause: Stretched Cluster is not supported with Multi Rack Layer 3 Cluster"</formula>
    </cfRule>
  </conditionalFormatting>
  <conditionalFormatting sqref="B12:E12">
    <cfRule type="expression" dxfId="996" priority="171">
      <formula>AND((cluster_secondary_storage_chosen&lt;&gt;"Exclude"),(cluster_secondary_storage_result="Excluded"))</formula>
    </cfRule>
  </conditionalFormatting>
  <conditionalFormatting sqref="D8 B8">
    <cfRule type="expression" dxfId="995" priority="165">
      <formula>cluster_chosen="Exclude"</formula>
    </cfRule>
  </conditionalFormatting>
  <conditionalFormatting sqref="D12 B12">
    <cfRule type="expression" dxfId="994" priority="164">
      <formula>cluster_secondary_storage_chosen="Exclude"</formula>
    </cfRule>
  </conditionalFormatting>
  <conditionalFormatting sqref="D12">
    <cfRule type="expression" dxfId="993" priority="219">
      <formula>AND((cluster_secondary_storage_result&lt;&gt;"Exclude"),(cluster_secondary_storage_result="Included"))</formula>
    </cfRule>
    <cfRule type="expression" dxfId="992" priority="157" stopIfTrue="1">
      <formula>cluster_secondary_storage_chosen="Exclude"</formula>
    </cfRule>
    <cfRule type="expression" dxfId="991" priority="212">
      <formula>cluster_secondary_storage_chosen&lt;&gt;"Exclude"</formula>
    </cfRule>
  </conditionalFormatting>
  <conditionalFormatting sqref="D12:D14">
    <cfRule type="expression" dxfId="990" priority="197">
      <formula>(vcf_version_result="Excluded")</formula>
    </cfRule>
  </conditionalFormatting>
  <conditionalFormatting sqref="D13 B13">
    <cfRule type="expression" dxfId="989" priority="213">
      <formula>cluster_az1_reuse_vcf_networkpool_chosen="Include"</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notContainsBlanks" dxfId="987" priority="412">
      <formula>LEN(TRIM(D19))&gt;0</formula>
    </cfRule>
  </conditionalFormatting>
  <conditionalFormatting sqref="D19">
    <cfRule type="expression" dxfId="986" priority="144">
      <formula>cluster_result="Excluded"</formula>
    </cfRule>
  </conditionalFormatting>
  <conditionalFormatting sqref="D30:D31">
    <cfRule type="expression" dxfId="985" priority="75">
      <formula>AND((cluster_chosen="Deploy a Multi-Rack Layer 3 Cluster"),(cluster_compute_hosts_per_rack_chosen&lt;2))</formula>
    </cfRule>
  </conditionalFormatting>
  <conditionalFormatting sqref="D31">
    <cfRule type="expression" dxfId="984" priority="9">
      <formula>cluster_compute_hosts_per_rack_chosen&lt;3</formula>
    </cfRule>
  </conditionalFormatting>
  <conditionalFormatting sqref="D32">
    <cfRule type="expression" dxfId="983" priority="127">
      <formula>cluster_compute_hosts_per_rack_chosen&lt;4</formula>
    </cfRule>
  </conditionalFormatting>
  <conditionalFormatting sqref="D33">
    <cfRule type="expression" dxfId="982" priority="128">
      <formula>cluster_compute_hosts_per_rack_chosen&lt;5</formula>
    </cfRule>
  </conditionalFormatting>
  <conditionalFormatting sqref="D34">
    <cfRule type="expression" dxfId="981" priority="133">
      <formula>cluster_compute_hosts_per_rack_chosen&lt;6</formula>
    </cfRule>
  </conditionalFormatting>
  <conditionalFormatting sqref="D35">
    <cfRule type="expression" dxfId="980" priority="134">
      <formula>cluster_compute_hosts_per_rack_chosen&lt;7</formula>
    </cfRule>
  </conditionalFormatting>
  <conditionalFormatting sqref="D36">
    <cfRule type="expression" dxfId="979" priority="135">
      <formula>cluster_compute_hosts_per_rack_chosen&lt;8</formula>
    </cfRule>
  </conditionalFormatting>
  <conditionalFormatting sqref="D37">
    <cfRule type="expression" dxfId="978" priority="136">
      <formula>cluster_compute_hosts_per_rack_chosen&lt;9</formula>
    </cfRule>
  </conditionalFormatting>
  <conditionalFormatting sqref="D38">
    <cfRule type="expression" dxfId="977" priority="137">
      <formula>cluster_compute_hosts_per_rack_chosen&lt;10</formula>
    </cfRule>
  </conditionalFormatting>
  <conditionalFormatting sqref="D39">
    <cfRule type="expression" dxfId="976" priority="138">
      <formula>cluster_compute_hosts_per_rack_chosen&lt;11</formula>
    </cfRule>
  </conditionalFormatting>
  <conditionalFormatting sqref="D40">
    <cfRule type="expression" dxfId="975" priority="139">
      <formula>cluster_compute_hosts_per_rack_chosen&lt;12</formula>
    </cfRule>
  </conditionalFormatting>
  <conditionalFormatting sqref="D41">
    <cfRule type="expression" dxfId="974" priority="140">
      <formula>cluster_compute_hosts_per_rack_chosen&lt;13</formula>
    </cfRule>
  </conditionalFormatting>
  <conditionalFormatting sqref="D42">
    <cfRule type="expression" dxfId="973" priority="141">
      <formula>cluster_compute_hosts_per_rack_chosen&lt;14</formula>
    </cfRule>
  </conditionalFormatting>
  <conditionalFormatting sqref="D43">
    <cfRule type="expression" dxfId="972" priority="142">
      <formula>cluster_compute_hosts_per_rack_chosen&lt;15</formula>
    </cfRule>
  </conditionalFormatting>
  <conditionalFormatting sqref="D44">
    <cfRule type="expression" dxfId="971" priority="143">
      <formula>cluster_compute_hosts_per_rack_chosen&lt;16</formula>
    </cfRule>
  </conditionalFormatting>
  <conditionalFormatting sqref="D50:D56 D58:D64 D66:D72 D167:D198 D200:D203 D205:D208 D210:D213 D215:D218 D242:D249 D220:D223 D24:D27 D29:D44 D48 D84:D105 D112 D117 D122 D127:D136 D141:D156 D161:D162 D225:D228 D230:D240">
    <cfRule type="expression" dxfId="970" priority="47">
      <formula>cluster_result="Excluded"</formula>
    </cfRule>
  </conditionalFormatting>
  <conditionalFormatting sqref="D57">
    <cfRule type="expression" dxfId="969" priority="384">
      <formula>input_mgmt_principal_storage_chosen="VMFS on Fibre Channel (FC)"</formula>
    </cfRule>
    <cfRule type="expression" dxfId="968" priority="385">
      <formula>mgmt_domain_existing_vcenter_chosen="Selected"</formula>
    </cfRule>
    <cfRule type="containsBlanks" dxfId="966" priority="387">
      <formula>LEN(TRIM(D57))=0</formula>
    </cfRule>
    <cfRule type="notContainsBlanks" dxfId="965" priority="388">
      <formula>LEN(TRIM(D57))&gt;0</formula>
    </cfRule>
  </conditionalFormatting>
  <conditionalFormatting sqref="D58:D64">
    <cfRule type="expression" dxfId="964" priority="45">
      <formula>AND((cluster_principal_storage_chosen&lt;&gt;"vSAN-ESA"),(cluster_principal_storage_chosen&lt;&gt;"vSAN-OSA"),(cluster_principal_storage_chosen&lt;&gt;"vSAN Compute Cluster"))</formula>
    </cfRule>
  </conditionalFormatting>
  <conditionalFormatting sqref="D66:D72">
    <cfRule type="expression" dxfId="963" priority="198">
      <formula>cluster_secondary_storage_result="Excluded"</formula>
    </cfRule>
  </conditionalFormatting>
  <conditionalFormatting sqref="D74:D80 D50:D56 D58:D64 D66:D72">
    <cfRule type="expression" dxfId="962" priority="40">
      <formula>cluster_az1_reuse_vcf_networkpool_chosen="Re-use an existing VCF Network Pool"</formula>
    </cfRule>
  </conditionalFormatting>
  <conditionalFormatting sqref="D74:D80">
    <cfRule type="expression" dxfId="961" priority="39">
      <formula>cluster_principal_storage_chosen&lt;&gt;"vSAN Storage Cluster"</formula>
    </cfRule>
  </conditionalFormatting>
  <conditionalFormatting sqref="D86">
    <cfRule type="expression" dxfId="960" priority="8">
      <formula>cluster_compute_hosts_per_rack_chosen&lt;3</formula>
    </cfRule>
  </conditionalFormatting>
  <conditionalFormatting sqref="D87">
    <cfRule type="expression" dxfId="959" priority="107">
      <formula>cluster_compute_hosts_per_rack_chosen&lt;4</formula>
    </cfRule>
  </conditionalFormatting>
  <conditionalFormatting sqref="D88">
    <cfRule type="expression" dxfId="958" priority="108">
      <formula>cluster_compute_hosts_per_rack_chosen&lt;5</formula>
    </cfRule>
  </conditionalFormatting>
  <conditionalFormatting sqref="D89">
    <cfRule type="expression" dxfId="957" priority="115">
      <formula>cluster_compute_hosts_per_rack_chosen&lt;6</formula>
    </cfRule>
  </conditionalFormatting>
  <conditionalFormatting sqref="D90">
    <cfRule type="expression" dxfId="956" priority="116">
      <formula>cluster_compute_hosts_per_rack_chosen&lt;7</formula>
    </cfRule>
  </conditionalFormatting>
  <conditionalFormatting sqref="D91">
    <cfRule type="expression" dxfId="955" priority="117">
      <formula>cluster_compute_hosts_per_rack_chosen&lt;8</formula>
    </cfRule>
  </conditionalFormatting>
  <conditionalFormatting sqref="D92">
    <cfRule type="expression" dxfId="954" priority="118">
      <formula>cluster_compute_hosts_per_rack_chosen&lt;9</formula>
    </cfRule>
  </conditionalFormatting>
  <conditionalFormatting sqref="D93">
    <cfRule type="expression" dxfId="953" priority="119">
      <formula>cluster_compute_hosts_per_rack_chosen&lt;10</formula>
    </cfRule>
  </conditionalFormatting>
  <conditionalFormatting sqref="D94">
    <cfRule type="expression" dxfId="952" priority="120">
      <formula>cluster_compute_hosts_per_rack_chosen&lt;11</formula>
    </cfRule>
  </conditionalFormatting>
  <conditionalFormatting sqref="D95">
    <cfRule type="expression" dxfId="951" priority="121">
      <formula>cluster_compute_hosts_per_rack_chosen&lt;12</formula>
    </cfRule>
  </conditionalFormatting>
  <conditionalFormatting sqref="D96">
    <cfRule type="expression" dxfId="950" priority="122">
      <formula>cluster_compute_hosts_per_rack_chosen&lt;13</formula>
    </cfRule>
  </conditionalFormatting>
  <conditionalFormatting sqref="D97">
    <cfRule type="expression" dxfId="949" priority="123">
      <formula>cluster_compute_hosts_per_rack_chosen&lt;14</formula>
    </cfRule>
  </conditionalFormatting>
  <conditionalFormatting sqref="D98">
    <cfRule type="expression" dxfId="948" priority="124">
      <formula>cluster_compute_hosts_per_rack_chosen&lt;15</formula>
    </cfRule>
  </conditionalFormatting>
  <conditionalFormatting sqref="D99">
    <cfRule type="expression" dxfId="947" priority="125">
      <formula>cluster_compute_hosts_per_rack_chosen&lt;16</formula>
    </cfRule>
  </conditionalFormatting>
  <conditionalFormatting sqref="D101">
    <cfRule type="expression" dxfId="946" priority="26">
      <formula>cluster_principal_storage_chosen="vSAN Storage Cluster"</formula>
    </cfRule>
  </conditionalFormatting>
  <conditionalFormatting sqref="D101:D102 D127 D129:D132">
    <cfRule type="expression" dxfId="945" priority="192">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944" priority="179">
      <formula>mgmt_domain_deployment_type_chosen="VMware vSphere Foundation"</formula>
    </cfRule>
  </conditionalFormatting>
  <conditionalFormatting sqref="D128">
    <cfRule type="expression" dxfId="943" priority="27">
      <formula>cluster_principal_storage_chosen&lt;&gt;"vSAN Compute Cluster"</formula>
    </cfRule>
  </conditionalFormatting>
  <conditionalFormatting sqref="D130">
    <cfRule type="expression" dxfId="942" priority="174">
      <formula>cluster_principal_storage_chosen="vSAN-OSA"</formula>
    </cfRule>
    <cfRule type="expression" dxfId="941" priority="172">
      <formula>cluster_secondary_storage_chosen&lt;&gt;"vSAN Storage Client Network"</formula>
    </cfRule>
  </conditionalFormatting>
  <conditionalFormatting sqref="D131:D132">
    <cfRule type="expression" dxfId="940" priority="175">
      <formula>cluster_principal_storage_chosen="vSAN-ESA"</formula>
    </cfRule>
  </conditionalFormatting>
  <conditionalFormatting sqref="D133">
    <cfRule type="expression" dxfId="939" priority="166">
      <formula>cluster_principal_storage_chosen&lt;&gt;"VMFS on Fibre Channel (FC)"</formula>
    </cfRule>
  </conditionalFormatting>
  <conditionalFormatting sqref="D134:D136">
    <cfRule type="expression" dxfId="938" priority="145">
      <formula>cluster_principal_storage_chosen&lt;&gt;"NFSv3"</formula>
    </cfRule>
  </conditionalFormatting>
  <conditionalFormatting sqref="D143">
    <cfRule type="expression" dxfId="937" priority="7">
      <formula>cluster_compute_hosts_per_rack_chosen&lt;3</formula>
    </cfRule>
  </conditionalFormatting>
  <conditionalFormatting sqref="D144">
    <cfRule type="expression" dxfId="936" priority="76">
      <formula>cluster_compute_hosts_per_rack_chosen&lt;4</formula>
    </cfRule>
  </conditionalFormatting>
  <conditionalFormatting sqref="D145">
    <cfRule type="expression" dxfId="935" priority="93">
      <formula>cluster_compute_hosts_per_rack_chosen&lt;5</formula>
    </cfRule>
  </conditionalFormatting>
  <conditionalFormatting sqref="D146">
    <cfRule type="expression" dxfId="934" priority="96">
      <formula>cluster_compute_hosts_per_rack_chosen&lt;6</formula>
    </cfRule>
  </conditionalFormatting>
  <conditionalFormatting sqref="D147">
    <cfRule type="expression" dxfId="933" priority="97">
      <formula>cluster_compute_hosts_per_rack_chosen&lt;7</formula>
    </cfRule>
  </conditionalFormatting>
  <conditionalFormatting sqref="D148">
    <cfRule type="expression" dxfId="932" priority="98">
      <formula>cluster_compute_hosts_per_rack_chosen&lt;8</formula>
    </cfRule>
  </conditionalFormatting>
  <conditionalFormatting sqref="D149">
    <cfRule type="expression" dxfId="931" priority="99">
      <formula>cluster_compute_hosts_per_rack_chosen&lt;9</formula>
    </cfRule>
  </conditionalFormatting>
  <conditionalFormatting sqref="D150">
    <cfRule type="expression" dxfId="930" priority="100">
      <formula>cluster_compute_hosts_per_rack_chosen&lt;10</formula>
    </cfRule>
  </conditionalFormatting>
  <conditionalFormatting sqref="D151">
    <cfRule type="expression" dxfId="929" priority="101">
      <formula>cluster_compute_hosts_per_rack_chosen&lt;11</formula>
    </cfRule>
  </conditionalFormatting>
  <conditionalFormatting sqref="D152">
    <cfRule type="expression" dxfId="928" priority="102">
      <formula>cluster_compute_hosts_per_rack_chosen&lt;12</formula>
    </cfRule>
  </conditionalFormatting>
  <conditionalFormatting sqref="D153">
    <cfRule type="expression" dxfId="927" priority="103">
      <formula>cluster_compute_hosts_per_rack_chosen&lt;13</formula>
    </cfRule>
  </conditionalFormatting>
  <conditionalFormatting sqref="D154">
    <cfRule type="expression" dxfId="926" priority="104">
      <formula>cluster_compute_hosts_per_rack_chosen&lt;14</formula>
    </cfRule>
  </conditionalFormatting>
  <conditionalFormatting sqref="D155">
    <cfRule type="expression" dxfId="925" priority="105">
      <formula>cluster_compute_hosts_per_rack_chosen&lt;15</formula>
    </cfRule>
  </conditionalFormatting>
  <conditionalFormatting sqref="D156">
    <cfRule type="expression" dxfId="924" priority="106">
      <formula>cluster_compute_hosts_per_rack_chosen&lt;16</formula>
    </cfRule>
  </conditionalFormatting>
  <conditionalFormatting sqref="D167:D198 D225:D228 D230:D240 D242:D249 D200:D203 D215:D218 D66:D72 D84:D105 D127:D136 D220:D223 D19 D29:D44 D141:D156 D24:D27 D48 D50:D56 D58:D64 D112 D117 D122 D161:D162 D205:D208 D210:D213 D291:D297 D74:D80 D283:D289 D299:D305 D307:D313 D256:D259 D261:D276 D280:D281 D317:D338 D342:D345 D350:D366 D369:D372 D375:D377 D380:D382 D387:D418 D423 D426:D427 D430:D440">
    <cfRule type="containsBlanks" dxfId="923" priority="315">
      <formula>LEN(TRIM(D19))=0</formula>
    </cfRule>
  </conditionalFormatting>
  <conditionalFormatting sqref="D168:D175 D201:D203 D206:D208 D211:D213 D216:D218 D242:D249 D221:D223 D225:D228 D230 D232:D240">
    <cfRule type="expression" dxfId="922" priority="34">
      <formula>cluster_cl01_vds_copy_profile_chosen="Unselected"</formula>
    </cfRule>
  </conditionalFormatting>
  <conditionalFormatting sqref="D170:D173">
    <cfRule type="expression" dxfId="921" priority="21">
      <formula>cluster_vds01_link_type_chosen="VDS Uplinks"</formula>
    </cfRule>
  </conditionalFormatting>
  <conditionalFormatting sqref="D175:D198 D167:D173">
    <cfRule type="expression" dxfId="920" priority="314">
      <formula>wld_cl01_vds_profile_chosen="custom"</formula>
    </cfRule>
  </conditionalFormatting>
  <conditionalFormatting sqref="D177">
    <cfRule type="expression" dxfId="919" priority="280">
      <formula>mgmt_host_overlay_addressing_chosen&lt;&gt;"IP Pool"</formula>
    </cfRule>
    <cfRule type="containsBlanks" dxfId="918" priority="282">
      <formula>LEN(TRIM(D177))=0</formula>
    </cfRule>
    <cfRule type="notContainsBlanks" dxfId="917" priority="281" stopIfTrue="1">
      <formula>LEN(TRIM(D177))&gt;0</formula>
    </cfRule>
  </conditionalFormatting>
  <conditionalFormatting sqref="D178:D187">
    <cfRule type="expression" dxfId="916" priority="313">
      <formula>cluster_vds_profile_chosen="Default"</formula>
    </cfRule>
    <cfRule type="expression" dxfId="915" priority="312" stopIfTrue="1">
      <formula>cluster_vds_profile_chosen="Custom"</formula>
    </cfRule>
  </conditionalFormatting>
  <conditionalFormatting sqref="D181:D184">
    <cfRule type="expression" dxfId="914" priority="20">
      <formula>cluster_vds02_link_type_chosen="VDS Uplinks"</formula>
    </cfRule>
  </conditionalFormatting>
  <conditionalFormatting sqref="D189:D198">
    <cfRule type="expression" dxfId="913" priority="126">
      <formula>cluster_vds_profile_chosen="Custom"</formula>
    </cfRule>
    <cfRule type="expression" dxfId="912" priority="51">
      <formula>cluster_vds_profile_chosen ="vSAN Max Storage Traffic Separation"</formula>
    </cfRule>
    <cfRule type="expression" dxfId="911" priority="308">
      <formula>cluster_vds_profile_chosen="Default"</formula>
    </cfRule>
    <cfRule type="expression" dxfId="910" priority="307">
      <formula>cluster_vds_profile_chosen="Storage Traffic Separation"</formula>
    </cfRule>
    <cfRule type="expression" dxfId="909" priority="176">
      <formula>cluster_vds_profile_chosen="NSX Traffic Separation"</formula>
    </cfRule>
  </conditionalFormatting>
  <conditionalFormatting sqref="D192:D195">
    <cfRule type="expression" dxfId="908" priority="19">
      <formula>cluster_vds03_link_type_chosen="VDS Uplinks"</formula>
    </cfRule>
  </conditionalFormatting>
  <conditionalFormatting sqref="D200">
    <cfRule type="expression" dxfId="907" priority="283">
      <formula>wld_cl01_vds_profile_chosen="custom"</formula>
    </cfRule>
  </conditionalFormatting>
  <conditionalFormatting sqref="D201:D203 D206:D208 D211:D213">
    <cfRule type="expression" dxfId="906" priority="18">
      <formula>cluster_vds01_link_type_chosen="VDS Lag"</formula>
    </cfRule>
  </conditionalFormatting>
  <conditionalFormatting sqref="D215">
    <cfRule type="expression" dxfId="905" priority="209">
      <formula>wld_cl01_vds_profile_chosen="custom"</formula>
    </cfRule>
  </conditionalFormatting>
  <conditionalFormatting sqref="D216:D218">
    <cfRule type="expression" dxfId="904" priority="4">
      <formula>AND((cluster_vds_profile_chosen="vvSAN Max Storage Traffic Separation"),(cluster_vds02_link_type_chosen="VDS Lag"))</formula>
    </cfRule>
    <cfRule type="expression" dxfId="903" priority="5">
      <formula>AND((cluster_vds_profile_chosen="vSAN Max Storage Traffic and NSX Traffic Separation"),(cluster_vds02_link_type_chosen="VDS Lag"))</formula>
    </cfRule>
    <cfRule type="expression" dxfId="902" priority="17">
      <formula>AND((cluster_vds_profile_chosen="Storage Traffic Separation"),(cluster_vds02_link_type_chosen="VDS Lag"))</formula>
    </cfRule>
    <cfRule type="expression" dxfId="901" priority="16">
      <formula>AND((cluster_vds_profile_chosen="Storage Traffic and NSX Traffic Separation"),(cluster_vds02_link_type_chosen="VDS Lag"))</formula>
    </cfRule>
    <cfRule type="expression" dxfId="900" priority="15">
      <formula>AND((cluster_vds_profile_chosen="NSX Traffic Separation"),(cluster_vds01_link_type_chosen="VDS Lag"))</formula>
    </cfRule>
    <cfRule type="expression" dxfId="899" priority="14">
      <formula>AND((cluster_vds_profile_chosen="Default"),(cluster_vds01_link_type_chosen="VDS Lag"))</formula>
    </cfRule>
  </conditionalFormatting>
  <conditionalFormatting sqref="D220">
    <cfRule type="expression" dxfId="898" priority="190">
      <formula>wld_cl01_vds_profile_chosen="custom"</formula>
    </cfRule>
  </conditionalFormatting>
  <conditionalFormatting sqref="D220:D223">
    <cfRule type="expression" dxfId="897" priority="6">
      <formula>cluster_secondary_storage_chosen="Exclude"</formula>
    </cfRule>
  </conditionalFormatting>
  <conditionalFormatting sqref="D221:D223">
    <cfRule type="expression" dxfId="896" priority="3">
      <formula>cluster_vds01_link_type_chosen="VDS Lag"</formula>
    </cfRule>
  </conditionalFormatting>
  <conditionalFormatting sqref="D226">
    <cfRule type="expression" dxfId="895" priority="298">
      <formula>cluster_nsx_default_operation_mode_chosen="Selected"</formula>
    </cfRule>
  </conditionalFormatting>
  <conditionalFormatting sqref="D230">
    <cfRule type="expression" dxfId="894" priority="205">
      <formula>$D$162="Unselected"</formula>
    </cfRule>
  </conditionalFormatting>
  <conditionalFormatting sqref="D230:D239">
    <cfRule type="expression" dxfId="893" priority="35">
      <formula>cluster_nsx_overlay_transport_zone_chosen="Unselected"</formula>
    </cfRule>
  </conditionalFormatting>
  <conditionalFormatting sqref="D233:D240 D242:D245">
    <cfRule type="expression" dxfId="892" priority="177">
      <formula>cluster_host_overlay_addressing_chosen="DHCP"</formula>
    </cfRule>
  </conditionalFormatting>
  <conditionalFormatting sqref="D234 D246">
    <cfRule type="expression" dxfId="891" priority="288">
      <formula>wld_host_overlay_addressing_chosen="DHCP"</formula>
    </cfRule>
  </conditionalFormatting>
  <conditionalFormatting sqref="D235:D240 D242:D245">
    <cfRule type="expression" dxfId="890" priority="178">
      <formula>input_cluster_az1_host_overlay_new_pool_chosen="Re-use an existing Pool"</formula>
    </cfRule>
  </conditionalFormatting>
  <conditionalFormatting sqref="D240">
    <cfRule type="expression" dxfId="889" priority="36">
      <formula>cluster_nsx_vlan_transport_zone_chosen="Unselected"</formula>
    </cfRule>
  </conditionalFormatting>
  <conditionalFormatting sqref="D247:D249">
    <cfRule type="expression" dxfId="888" priority="11">
      <formula>AND((cluster_vds_profile_chosen="NSX Traffic Separation"),(cluster_vds02_link_type_chosen="VDS Lag"))</formula>
    </cfRule>
    <cfRule type="expression" dxfId="887" priority="10">
      <formula>AND((cluster_vds_profile_chosen="Default"),(cluster_vds01_link_type_chosen="VDS Lag"))</formula>
    </cfRule>
    <cfRule type="expression" dxfId="886" priority="13">
      <formula>AND((cluster_vds_profile_chosen="Storage Traffic Separation"),(cluster_vds01_link_type_chosen="VDS Lag"))</formula>
    </cfRule>
    <cfRule type="expression" dxfId="885" priority="12">
      <formula>AND((cluster_vds_profile_chosen="Storage Traffic and NSX Traffic Separation"),(cluster_vds03_link_type_chosen="VDS Lag"))</formula>
    </cfRule>
    <cfRule type="expression" dxfId="884" priority="1">
      <formula>AND((cluster_vds_profile_chosen="vSAN MAx Storage Traffic and NSX Traffic Separation"),(cluster_vds03_link_type_chosen="VDS Lag"))</formula>
    </cfRule>
    <cfRule type="expression" dxfId="883" priority="2">
      <formula>AND((cluster_vds_profile_chosen="vSAN Max Storage Traffic Separation"),(cluster_vds01_link_type_chosen="VDS Lag"))</formula>
    </cfRule>
  </conditionalFormatting>
  <conditionalFormatting sqref="D256:D259 D261:D276 D280:D281 D283:D289 D291:D297 D299:D305 D307:D313 D317:D338 D342:D345 D350:D366 D369:D372 D375:D377 D380:D382 D387:D418 D423 D426:D427 D430:D440">
    <cfRule type="expression" dxfId="882" priority="32">
      <formula>cluster_stretched_cluster_result="Excluded"</formula>
    </cfRule>
  </conditionalFormatting>
  <conditionalFormatting sqref="D283:D289 D291:D297 D299:D305 D307:D313">
    <cfRule type="expression" dxfId="881" priority="38">
      <formula>cluster_az2_reuse_vcf_networkpool_chosen="Re-use an existing VCF Network Pool"</formula>
    </cfRule>
  </conditionalFormatting>
  <conditionalFormatting sqref="D291:D297">
    <cfRule type="expression" dxfId="880" priority="44">
      <formula>AND((cluster_principal_storage_chosen&lt;&gt;"vSAN-ESA"),(cluster_principal_storage_chosen&lt;&gt;"vSAN-OSA"))</formula>
    </cfRule>
  </conditionalFormatting>
  <conditionalFormatting sqref="D307:D313">
    <cfRule type="expression" dxfId="879" priority="37">
      <formula>cluster_principal_storage_chosen&lt;&gt;"vSAN Storage Cluster"</formula>
    </cfRule>
  </conditionalFormatting>
  <conditionalFormatting sqref="D403:D404">
    <cfRule type="expression" dxfId="878" priority="23">
      <formula>OR((cluster_principal_storage_chosen&lt;&gt;"vSAN Compute Cluster"),(cluster_stretched_cluster_result&lt;&gt;"Included"))</formula>
    </cfRule>
  </conditionalFormatting>
  <conditionalFormatting sqref="D8:E8 B8">
    <cfRule type="expression" dxfId="877" priority="160">
      <formula>$E$8="Cluster Deployment not selected on VCF &amp; VVF Planning Tab"</formula>
    </cfRule>
  </conditionalFormatting>
  <conditionalFormatting sqref="D8:E8">
    <cfRule type="expression" dxfId="875" priority="31">
      <formula>$E$9="Required: Minimum Number of hosts must be selected"</formula>
    </cfRule>
  </conditionalFormatting>
  <conditionalFormatting sqref="D8:E9">
    <cfRule type="expression" dxfId="874" priority="89">
      <formula>AND((cluster_compute_hosts_per_rack_chosen&lt;&gt;"Exclude"),(cluster_compute_hosts_per_rack_result="Excluded"))</formula>
    </cfRule>
  </conditionalFormatting>
  <conditionalFormatting sqref="D9:E10 B9:B10">
    <cfRule type="expression" dxfId="873" priority="90">
      <formula>$E$9="Cause: Max number of Hosts per Cluster is 64."</formula>
    </cfRule>
  </conditionalFormatting>
  <conditionalFormatting sqref="E9">
    <cfRule type="expression" dxfId="872" priority="152">
      <formula>vcf_version_result="Excluded"</formula>
    </cfRule>
  </conditionalFormatting>
  <conditionalFormatting sqref="E84:E99">
    <cfRule type="expression" dxfId="871" priority="375">
      <formula>OR((wld_vlcm_model_result="Excluded"),(wld_vlcm_model_chosen="Baselines"))</formula>
    </cfRule>
  </conditionalFormatting>
  <dataValidations count="23">
    <dataValidation type="list" allowBlank="1" showInputMessage="1" showErrorMessage="1" sqref="D162 D132 D225 D227:D228"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202:D203 D207:D208 D212:D213 D217:D218 D222:D223" xr:uid="{DF9E634B-54CF-D84F-8B60-2A55CCED2116}">
      <formula1>"Active,Standby,Unused"</formula1>
    </dataValidation>
    <dataValidation type="list" allowBlank="1" showInputMessage="1" showErrorMessage="1" sqref="D201 D206 D211 D216 D221"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47" xr:uid="{97DD5E61-671B-A049-BABD-72E1AD2758C2}">
      <formula1>"Load Balance Source,Failover Order,Load Balance Source MAC Address"</formula1>
    </dataValidation>
    <dataValidation type="list" allowBlank="1" showInputMessage="1" showErrorMessage="1" sqref="D226"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32"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33 D406"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80" xr:uid="{DB84F846-6867-3446-BB4D-65E6B02D5030}">
      <formula1>"Re-use an existing VCF Network Pool,Create a new VCF Network Pool"</formula1>
    </dataValidation>
    <dataValidation type="list" allowBlank="1" showInputMessage="1" showErrorMessage="1" sqref="D53 D61 D69 D286 D302 D294 D359 D77 D310" xr:uid="{27C3E5C4-FDD5-4748-A7D4-1787DC967E79}">
      <formula1>table_masks</formula1>
    </dataValidation>
    <dataValidation type="list" allowBlank="1" showInputMessage="1" showErrorMessage="1" sqref="D403" xr:uid="{75586F99-D106-CA46-B6D3-76D630620FEC}">
      <formula1>"Symmetric,Asymmetric"</formula1>
    </dataValidation>
    <dataValidation type="list" allowBlank="1" showInputMessage="1" showErrorMessage="1" sqref="D404" xr:uid="{623059D5-F95F-9640-BE3C-BB2D1B9E0644}">
      <formula1>"Primary,Secondary"</formula1>
    </dataValidation>
    <dataValidation type="list" allowBlank="1" showInputMessage="1" showErrorMessage="1" sqref="D169 D180 D191" xr:uid="{4E3965A0-3BF1-4E48-9CD1-E18FCB6D7359}">
      <formula1>"VDS Uplinks, VDS LAG"</formula1>
    </dataValidation>
    <dataValidation type="list" allowBlank="1" showInputMessage="1" showErrorMessage="1" sqref="D171 D182 D193" xr:uid="{6BE82285-977C-E949-A1FB-1C741920DEB2}">
      <formula1>"Active,Passive"</formula1>
    </dataValidation>
    <dataValidation type="list" allowBlank="1" showInputMessage="1" showErrorMessage="1" sqref="D172 D183 D194" xr:uid="{74FC30BA-D432-E841-AB37-5A965F16383C}">
      <formula1>lag_load_balancing</formula1>
    </dataValidation>
    <dataValidation type="list" allowBlank="1" showInputMessage="1" showErrorMessage="1" sqref="D173 D184 D195" xr:uid="{E9D0A69D-091F-E94F-857E-0748FAB5E088}">
      <formula1>"Slow,Fast"</formula1>
    </dataValidation>
  </dataValidations>
  <pageMargins left="0.7" right="0.7" top="0.75" bottom="0.75" header="0.3" footer="0.3"/>
  <pageSetup paperSize="9" orientation="portrait" horizontalDpi="0" verticalDpi="0"/>
  <ignoredErrors>
    <ignoredError sqref="D131"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18"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xm:sqref>
        </x14:conditionalFormatting>
        <x14:conditionalFormatting xmlns:xm="http://schemas.microsoft.com/office/excel/2006/main">
          <x14:cfRule type="containsText" priority="386"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61"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dimension ref="B1:C37"/>
  <sheetViews>
    <sheetView workbookViewId="0">
      <selection activeCell="G26" sqref="G26"/>
    </sheetView>
  </sheetViews>
  <sheetFormatPr defaultColWidth="11" defaultRowHeight="15.75" x14ac:dyDescent="0.25"/>
  <cols>
    <col min="2" max="2" width="45.875" bestFit="1" customWidth="1"/>
    <col min="3" max="3" width="43.625" bestFit="1" customWidth="1"/>
  </cols>
  <sheetData>
    <row r="1" spans="2:3" x14ac:dyDescent="0.25">
      <c r="B1" t="s">
        <v>1570</v>
      </c>
      <c r="C1" t="s">
        <v>1571</v>
      </c>
    </row>
    <row r="2" spans="2:3" x14ac:dyDescent="0.25">
      <c r="B2" s="8" t="s">
        <v>1572</v>
      </c>
      <c r="C2" s="8" t="s">
        <v>1573</v>
      </c>
    </row>
    <row r="3" spans="2:3" x14ac:dyDescent="0.25">
      <c r="B3" s="8" t="s">
        <v>1574</v>
      </c>
      <c r="C3" s="8" t="s">
        <v>1575</v>
      </c>
    </row>
    <row r="4" spans="2:3" x14ac:dyDescent="0.25">
      <c r="B4" s="8" t="s">
        <v>1576</v>
      </c>
      <c r="C4" s="8" t="s">
        <v>1577</v>
      </c>
    </row>
    <row r="5" spans="2:3" x14ac:dyDescent="0.25">
      <c r="B5" s="8" t="s">
        <v>1578</v>
      </c>
      <c r="C5" s="8" t="s">
        <v>1579</v>
      </c>
    </row>
    <row r="6" spans="2:3" x14ac:dyDescent="0.25">
      <c r="B6" s="8" t="s">
        <v>1580</v>
      </c>
      <c r="C6" s="8" t="s">
        <v>1581</v>
      </c>
    </row>
    <row r="7" spans="2:3" x14ac:dyDescent="0.25">
      <c r="B7" s="8" t="s">
        <v>1582</v>
      </c>
      <c r="C7" s="8" t="s">
        <v>1583</v>
      </c>
    </row>
    <row r="8" spans="2:3" x14ac:dyDescent="0.25">
      <c r="B8" s="8" t="s">
        <v>1584</v>
      </c>
      <c r="C8" s="8" t="s">
        <v>1585</v>
      </c>
    </row>
    <row r="9" spans="2:3" x14ac:dyDescent="0.25">
      <c r="B9" s="8" t="s">
        <v>1586</v>
      </c>
      <c r="C9" s="8" t="s">
        <v>1587</v>
      </c>
    </row>
    <row r="10" spans="2:3" x14ac:dyDescent="0.25">
      <c r="B10" s="8" t="s">
        <v>1588</v>
      </c>
      <c r="C10" s="8" t="s">
        <v>1589</v>
      </c>
    </row>
    <row r="11" spans="2:3" x14ac:dyDescent="0.25">
      <c r="B11" s="8" t="s">
        <v>1590</v>
      </c>
      <c r="C11" s="8" t="s">
        <v>1591</v>
      </c>
    </row>
    <row r="12" spans="2:3" x14ac:dyDescent="0.25">
      <c r="B12" s="8" t="s">
        <v>1590</v>
      </c>
      <c r="C12" s="8" t="s">
        <v>1592</v>
      </c>
    </row>
    <row r="13" spans="2:3" x14ac:dyDescent="0.25">
      <c r="B13" s="8" t="s">
        <v>1593</v>
      </c>
      <c r="C13" s="8" t="s">
        <v>1594</v>
      </c>
    </row>
    <row r="14" spans="2:3" x14ac:dyDescent="0.25">
      <c r="B14" s="8" t="s">
        <v>1595</v>
      </c>
      <c r="C14" s="8" t="s">
        <v>1596</v>
      </c>
    </row>
    <row r="15" spans="2:3" x14ac:dyDescent="0.25">
      <c r="B15" s="8" t="s">
        <v>1597</v>
      </c>
      <c r="C15" s="8" t="s">
        <v>1574</v>
      </c>
    </row>
    <row r="16" spans="2:3" x14ac:dyDescent="0.25">
      <c r="B16" s="8" t="s">
        <v>1598</v>
      </c>
      <c r="C16" s="8" t="s">
        <v>1580</v>
      </c>
    </row>
    <row r="17" spans="2:3" x14ac:dyDescent="0.25">
      <c r="B17" s="8" t="s">
        <v>1599</v>
      </c>
      <c r="C17" s="8" t="s">
        <v>1600</v>
      </c>
    </row>
    <row r="18" spans="2:3" x14ac:dyDescent="0.25">
      <c r="B18" s="8" t="s">
        <v>1601</v>
      </c>
      <c r="C18" s="8" t="s">
        <v>1602</v>
      </c>
    </row>
    <row r="19" spans="2:3" x14ac:dyDescent="0.25">
      <c r="B19" s="8" t="s">
        <v>1603</v>
      </c>
      <c r="C19" s="8" t="s">
        <v>1604</v>
      </c>
    </row>
    <row r="20" spans="2:3" x14ac:dyDescent="0.25">
      <c r="B20" s="8" t="s">
        <v>1605</v>
      </c>
      <c r="C20" s="8" t="s">
        <v>1606</v>
      </c>
    </row>
    <row r="21" spans="2:3" x14ac:dyDescent="0.25">
      <c r="B21" s="8" t="s">
        <v>1607</v>
      </c>
      <c r="C21" s="8" t="s">
        <v>1608</v>
      </c>
    </row>
    <row r="22" spans="2:3" x14ac:dyDescent="0.25">
      <c r="B22" s="8" t="s">
        <v>1609</v>
      </c>
      <c r="C22" s="8" t="s">
        <v>1610</v>
      </c>
    </row>
    <row r="23" spans="2:3" x14ac:dyDescent="0.25">
      <c r="B23" s="8" t="s">
        <v>1611</v>
      </c>
      <c r="C23" s="8" t="s">
        <v>1612</v>
      </c>
    </row>
    <row r="24" spans="2:3" x14ac:dyDescent="0.25">
      <c r="B24" s="8" t="s">
        <v>1613</v>
      </c>
      <c r="C24" s="8" t="s">
        <v>1614</v>
      </c>
    </row>
    <row r="25" spans="2:3" x14ac:dyDescent="0.25">
      <c r="B25" s="8" t="s">
        <v>1615</v>
      </c>
      <c r="C25" s="8" t="s">
        <v>1616</v>
      </c>
    </row>
    <row r="26" spans="2:3" x14ac:dyDescent="0.25">
      <c r="B26" s="8" t="s">
        <v>1617</v>
      </c>
      <c r="C26" s="8" t="s">
        <v>1618</v>
      </c>
    </row>
    <row r="27" spans="2:3" x14ac:dyDescent="0.25">
      <c r="B27" s="8" t="s">
        <v>1619</v>
      </c>
      <c r="C27" s="8" t="s">
        <v>1620</v>
      </c>
    </row>
    <row r="28" spans="2:3" x14ac:dyDescent="0.25">
      <c r="B28" s="8" t="s">
        <v>1621</v>
      </c>
      <c r="C28" s="8" t="s">
        <v>1622</v>
      </c>
    </row>
    <row r="29" spans="2:3" x14ac:dyDescent="0.25">
      <c r="B29" s="8" t="s">
        <v>1623</v>
      </c>
      <c r="C29" s="8" t="s">
        <v>1624</v>
      </c>
    </row>
    <row r="30" spans="2:3" x14ac:dyDescent="0.25">
      <c r="B30" s="8" t="s">
        <v>1625</v>
      </c>
      <c r="C30" s="8" t="s">
        <v>1626</v>
      </c>
    </row>
    <row r="31" spans="2:3" x14ac:dyDescent="0.25">
      <c r="B31" s="8" t="s">
        <v>1627</v>
      </c>
      <c r="C31" s="8" t="s">
        <v>1628</v>
      </c>
    </row>
    <row r="32" spans="2:3" x14ac:dyDescent="0.25">
      <c r="B32" s="8" t="s">
        <v>1629</v>
      </c>
      <c r="C32" s="8" t="s">
        <v>1630</v>
      </c>
    </row>
    <row r="33" spans="2:3" x14ac:dyDescent="0.25">
      <c r="B33" s="8" t="s">
        <v>1631</v>
      </c>
      <c r="C33" s="8" t="s">
        <v>1632</v>
      </c>
    </row>
    <row r="34" spans="2:3" x14ac:dyDescent="0.25">
      <c r="B34" s="8" t="s">
        <v>1633</v>
      </c>
      <c r="C34" s="8" t="s">
        <v>1634</v>
      </c>
    </row>
    <row r="35" spans="2:3" x14ac:dyDescent="0.25">
      <c r="B35" s="8" t="s">
        <v>1635</v>
      </c>
      <c r="C35" s="8" t="s">
        <v>1636</v>
      </c>
    </row>
    <row r="36" spans="2:3" x14ac:dyDescent="0.25">
      <c r="B36" s="8" t="s">
        <v>1637</v>
      </c>
      <c r="C36" s="8" t="s">
        <v>1638</v>
      </c>
    </row>
    <row r="37" spans="2:3" x14ac:dyDescent="0.25">
      <c r="C37" s="8"/>
    </row>
  </sheetData>
  <sheetProtection algorithmName="SHA-512" hashValue="+POi1nIYNSQJgW8yqheLzKMPbnhSh3Jmldv8UstyL7NB0SNE2vPZA2iFLpEruRGA+c8ifLqHsds9/YYaPcIKwQ==" saltValue="KmNR9KUeqOMtQZ/zYsmVgQ==" spinCount="100000" sheet="1" objects="1" scenarios="1"/>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3"/>
  <sheetViews>
    <sheetView showGridLines="0" zoomScaleNormal="100" workbookViewId="0">
      <pane ySplit="4" topLeftCell="A234" activePane="bottomLeft" state="frozen"/>
      <selection pane="bottomLeft" activeCell="F257" sqref="F257"/>
    </sheetView>
  </sheetViews>
  <sheetFormatPr defaultColWidth="11" defaultRowHeight="20.100000000000001" customHeight="1" x14ac:dyDescent="0.2"/>
  <cols>
    <col min="1" max="1" width="2.875" style="8" customWidth="1"/>
    <col min="2" max="2" width="72.125" style="8" bestFit="1" customWidth="1"/>
    <col min="3" max="3" width="33.875" style="8" bestFit="1" customWidth="1"/>
    <col min="4" max="4" width="2.875" style="8" customWidth="1"/>
    <col min="5" max="5" width="55.625" style="8" bestFit="1" customWidth="1"/>
    <col min="6" max="6" width="40" style="8" bestFit="1" customWidth="1"/>
    <col min="7" max="7" width="2.875" style="8" customWidth="1"/>
    <col min="8" max="8" width="55.625" style="8" bestFit="1" customWidth="1"/>
    <col min="9" max="9" width="40.875" style="8" bestFit="1" customWidth="1"/>
    <col min="10" max="10" width="2.875" style="8" customWidth="1"/>
    <col min="11" max="11" width="54.625" style="8" bestFit="1" customWidth="1"/>
    <col min="12" max="12" width="49.625" style="8" bestFit="1" customWidth="1"/>
    <col min="13" max="13" width="2.875" style="8" customWidth="1"/>
    <col min="14" max="14" width="54.625" style="8" bestFit="1" customWidth="1"/>
    <col min="15" max="15" width="49.625" style="8" bestFit="1" customWidth="1"/>
    <col min="16" max="16" width="4.375" style="8" customWidth="1"/>
    <col min="17" max="17" width="54.625" style="8" bestFit="1" customWidth="1"/>
    <col min="18" max="18" width="49.625" style="8" bestFit="1" customWidth="1"/>
    <col min="19" max="19" width="4" style="8" customWidth="1"/>
    <col min="20" max="20" width="54.625" style="8" bestFit="1" customWidth="1"/>
    <col min="21" max="21" width="49.625" style="8" bestFit="1" customWidth="1"/>
    <col min="22" max="22" width="3.5" style="8" customWidth="1"/>
    <col min="23" max="23" width="54.625" style="8" bestFit="1" customWidth="1"/>
    <col min="24" max="24" width="49.625" style="8" bestFit="1" customWidth="1"/>
    <col min="25" max="25" width="2.625" style="8" customWidth="1"/>
    <col min="26" max="26" width="54.625" style="8" bestFit="1" customWidth="1"/>
    <col min="27" max="27" width="49.625" style="8" bestFit="1" customWidth="1"/>
    <col min="28" max="28" width="2.875" style="8" customWidth="1"/>
    <col min="29" max="29" width="54.625" style="8" bestFit="1" customWidth="1"/>
    <col min="30" max="30" width="49.625" style="8" bestFit="1" customWidth="1"/>
    <col min="31" max="31" width="2.875" style="8" customWidth="1"/>
    <col min="32" max="32" width="2.375" style="8" customWidth="1"/>
    <col min="33" max="33" width="51.625" style="8" bestFit="1" customWidth="1"/>
    <col min="34" max="34" width="50.875" style="8" customWidth="1"/>
    <col min="35" max="35" width="40.875" style="8" customWidth="1"/>
    <col min="36" max="37" width="2.875" style="8" customWidth="1"/>
    <col min="38" max="42" width="11" style="8" customWidth="1"/>
    <col min="43" max="16384" width="11" style="8"/>
  </cols>
  <sheetData>
    <row r="1" spans="1:34" s="2" customFormat="1" ht="15.95" customHeight="1" x14ac:dyDescent="0.25">
      <c r="A1" s="1"/>
      <c r="B1" s="1"/>
      <c r="C1" s="1"/>
      <c r="D1" s="1"/>
      <c r="E1" s="1"/>
      <c r="F1" s="1"/>
      <c r="G1" s="1"/>
      <c r="H1" s="1"/>
      <c r="I1" s="1"/>
      <c r="J1" s="1"/>
    </row>
    <row r="2" spans="1:34" s="2" customFormat="1" ht="54" customHeight="1" x14ac:dyDescent="0.25">
      <c r="E2" s="571" t="s">
        <v>1639</v>
      </c>
      <c r="F2" s="571"/>
      <c r="G2" s="571"/>
      <c r="H2" s="571"/>
      <c r="I2" s="571"/>
      <c r="J2" s="571"/>
      <c r="K2" s="571"/>
      <c r="L2" s="571"/>
      <c r="M2" s="571"/>
    </row>
    <row r="3" spans="1:34" s="2" customFormat="1" ht="20.100000000000001" customHeight="1" x14ac:dyDescent="0.25">
      <c r="E3" s="421" t="s">
        <v>1640</v>
      </c>
      <c r="F3" s="421"/>
      <c r="G3" s="421"/>
      <c r="H3" s="421"/>
      <c r="I3" s="421"/>
      <c r="J3" s="421"/>
      <c r="K3" s="421"/>
      <c r="L3" s="421"/>
      <c r="M3" s="421"/>
    </row>
    <row r="4" spans="1:34" s="2" customFormat="1" ht="15" x14ac:dyDescent="0.25">
      <c r="M4" s="10"/>
    </row>
    <row r="5" spans="1:34" s="2" customFormat="1" ht="15" x14ac:dyDescent="0.25">
      <c r="M5" s="10"/>
    </row>
    <row r="6" spans="1:34" s="2" customFormat="1" ht="20.100000000000001" customHeight="1" x14ac:dyDescent="0.25">
      <c r="B6" s="569" t="s">
        <v>1641</v>
      </c>
      <c r="C6" s="570"/>
      <c r="E6" s="569" t="s">
        <v>1642</v>
      </c>
      <c r="F6" s="570"/>
      <c r="H6" s="382" t="s">
        <v>1643</v>
      </c>
      <c r="I6" s="383"/>
      <c r="K6" s="382" t="s">
        <v>1644</v>
      </c>
      <c r="L6" s="383"/>
      <c r="N6" s="382" t="s">
        <v>1645</v>
      </c>
      <c r="O6" s="383"/>
      <c r="Q6" s="379" t="s">
        <v>1646</v>
      </c>
      <c r="R6" s="381"/>
      <c r="T6" s="379" t="s">
        <v>1647</v>
      </c>
      <c r="U6" s="381"/>
      <c r="W6" s="379" t="s">
        <v>1648</v>
      </c>
      <c r="X6" s="381"/>
      <c r="Z6" s="379" t="s">
        <v>1649</v>
      </c>
      <c r="AA6" s="381"/>
      <c r="AB6" s="7"/>
      <c r="AC6" s="379" t="s">
        <v>1650</v>
      </c>
      <c r="AD6" s="381"/>
      <c r="AG6" s="572" t="s">
        <v>1651</v>
      </c>
      <c r="AH6" s="574"/>
    </row>
    <row r="7" spans="1:34" s="2" customFormat="1" ht="20.100000000000001" customHeight="1" x14ac:dyDescent="0.25">
      <c r="B7" s="11" t="s">
        <v>259</v>
      </c>
      <c r="C7" s="12" t="s">
        <v>138</v>
      </c>
      <c r="E7" s="11" t="s">
        <v>259</v>
      </c>
      <c r="F7" s="12" t="s">
        <v>1652</v>
      </c>
      <c r="H7" s="11" t="s">
        <v>259</v>
      </c>
      <c r="I7" s="12" t="s">
        <v>1652</v>
      </c>
      <c r="K7" s="11" t="s">
        <v>259</v>
      </c>
      <c r="L7" s="12" t="s">
        <v>1652</v>
      </c>
      <c r="N7" s="11" t="s">
        <v>259</v>
      </c>
      <c r="O7" s="12" t="s">
        <v>1652</v>
      </c>
      <c r="Q7" s="13" t="s">
        <v>259</v>
      </c>
      <c r="R7" s="14" t="s">
        <v>1652</v>
      </c>
      <c r="S7" s="15"/>
      <c r="T7" s="13" t="s">
        <v>259</v>
      </c>
      <c r="U7" s="14" t="s">
        <v>1652</v>
      </c>
      <c r="V7" s="15"/>
      <c r="W7" s="13" t="s">
        <v>259</v>
      </c>
      <c r="X7" s="14" t="s">
        <v>1652</v>
      </c>
      <c r="Y7" s="15"/>
      <c r="Z7" s="13" t="s">
        <v>259</v>
      </c>
      <c r="AA7" s="14" t="s">
        <v>1652</v>
      </c>
      <c r="AB7" s="15"/>
      <c r="AC7" s="13" t="s">
        <v>259</v>
      </c>
      <c r="AD7" s="14" t="s">
        <v>1652</v>
      </c>
      <c r="AG7" s="16" t="s">
        <v>1653</v>
      </c>
      <c r="AH7"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100000000000001" customHeight="1" x14ac:dyDescent="0.25">
      <c r="B8" s="4" t="s">
        <v>1654</v>
      </c>
      <c r="C8" s="337" t="str">
        <f>mgmt_offline_depot_chosen</f>
        <v>Offline</v>
      </c>
      <c r="E8" s="4" t="s">
        <v>1655</v>
      </c>
      <c r="F8" s="337">
        <f>IF(ISBLANK('Deploy Management Domain'!L154),"Value Missing",'Deploy Management Domain'!L154)</f>
        <v>250</v>
      </c>
      <c r="H8" s="4" t="s">
        <v>1655</v>
      </c>
      <c r="I8" s="337" t="str">
        <f>IF(ISBLANK(input_wld_az1_mgmt_vm_vlan),"Value Missing",input_wld_az1_mgmt_vm_vlan)</f>
        <v>Value Missing</v>
      </c>
      <c r="K8" s="4" t="s">
        <v>1655</v>
      </c>
      <c r="L8" s="337" t="str">
        <f>IF(ISBLANK(input_wld_az1_rack2_mgmt_vm_vlan),"Value Missing",input_wld_az1_rack2_mgmt_vm_vlan)</f>
        <v>Value Missing</v>
      </c>
      <c r="N8" s="4" t="s">
        <v>1655</v>
      </c>
      <c r="O8" s="337" t="str">
        <f>IF(ISBLANK(input_wld_az1_rack3_mgmt_vm_vlan),"Value Missing",input_wld_az1_rack3_mgmt_vm_vlan)</f>
        <v>Value Missing</v>
      </c>
      <c r="Q8" s="4" t="s">
        <v>1655</v>
      </c>
      <c r="R8" s="337" t="str">
        <f>IF(ISBLANK(input_wld_az1_rack4_mgmt_vm_vlan),"Value Missing",input_wld_az1_rack4_mgmt_vm_vlan)</f>
        <v>Value Missing</v>
      </c>
      <c r="T8" s="4" t="s">
        <v>1655</v>
      </c>
      <c r="U8" s="337" t="str">
        <f>IF(ISBLANK(input_wld_az1_rack5_mgmt_vm_vlan),"Value Missing",input_wld_az1_rack5_mgmt_vm_vlan)</f>
        <v>Value Missing</v>
      </c>
      <c r="W8" s="4" t="s">
        <v>1655</v>
      </c>
      <c r="X8" s="337" t="str">
        <f>IF(ISBLANK(input_wld_az1_rack6_mgmt_vm_vlan),"Value Missing",input_wld_az1_rack6_mgmt_vm_vlan)</f>
        <v>Value Missing</v>
      </c>
      <c r="Z8" s="4" t="s">
        <v>1655</v>
      </c>
      <c r="AA8" s="337" t="str">
        <f>IF(ISBLANK(input_wld_az1_rack7_mgmt_vm_vlan),"Value Missing",input_wld_az1_rack7_mgmt_vm_vlan)</f>
        <v>Value Missing</v>
      </c>
      <c r="AC8" s="4" t="s">
        <v>1655</v>
      </c>
      <c r="AD8" s="337" t="str">
        <f>IF(ISBLANK(input_wld_az1_rack8_mgmt_vm_vlan),"Value Missing",input_wld_az1_rack8_mgmt_vm_vlan)</f>
        <v>Value Missing</v>
      </c>
      <c r="AG8" s="16" t="s">
        <v>1656</v>
      </c>
      <c r="AH8"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100000000000001" customHeight="1" x14ac:dyDescent="0.25">
      <c r="B9" s="4" t="s">
        <v>749</v>
      </c>
      <c r="C9" s="337" t="str">
        <f>mgmt_offline_depot_fqdn</f>
        <v>labproxy01p</v>
      </c>
      <c r="E9" s="4" t="s">
        <v>1657</v>
      </c>
      <c r="F9" s="337">
        <f>IF(ISBLANK(input_mgmt_az1_mgmt_vlan),"Value Missing",input_mgmt_az1_mgmt_vlan)</f>
        <v>251</v>
      </c>
      <c r="H9" s="4" t="s">
        <v>1657</v>
      </c>
      <c r="I9" s="337" t="str">
        <f>IF(ISBLANK(input_wld_az1_mgmt_vlan),"Value Missing",input_wld_az1_mgmt_vlan)</f>
        <v>Value Missing</v>
      </c>
      <c r="K9" s="4" t="s">
        <v>1657</v>
      </c>
      <c r="L9" s="337" t="str">
        <f>IF(ISBLANK(input_wld_az1_rack2_mgmt_vlan),"Value Missing",input_wld_az1_rack2_mgmt_vlan)</f>
        <v>Value Missing</v>
      </c>
      <c r="N9" s="4" t="s">
        <v>1657</v>
      </c>
      <c r="O9" s="337" t="str">
        <f>IF(ISBLANK(input_wld_az1_rack3_mgmt_vlan),"Value Missing",input_wld_az1_rack3_mgmt_vlan)</f>
        <v>Value Missing</v>
      </c>
      <c r="Q9" s="4" t="s">
        <v>1657</v>
      </c>
      <c r="R9" s="337" t="str">
        <f>IF(ISBLANK(input_wld_az1_rack4_mgmt_vlan),"Value Missing",input_wld_az1_rack4_mgmt_vlan)</f>
        <v>Value Missing</v>
      </c>
      <c r="T9" s="4" t="s">
        <v>1657</v>
      </c>
      <c r="U9" s="337" t="str">
        <f>IF(ISBLANK(input_wld_az1_rack5_mgmt_vlan),"Value Missing",input_wld_az1_rack5_mgmt_vlan)</f>
        <v>Value Missing</v>
      </c>
      <c r="W9" s="4" t="s">
        <v>1657</v>
      </c>
      <c r="X9" s="337" t="str">
        <f>IF(ISBLANK(input_wld_az1_rack6_mgmt_vlan),"Value Missing",input_wld_az1_rack6_mgmt_vlan)</f>
        <v>Value Missing</v>
      </c>
      <c r="Z9" s="4" t="s">
        <v>1657</v>
      </c>
      <c r="AA9" s="337" t="str">
        <f>IF(ISBLANK(input_wld_az1_rack7_mgmt_vlan),"Value Missing",input_wld_az1_rack7_mgmt_vlan)</f>
        <v>Value Missing</v>
      </c>
      <c r="AC9" s="4" t="s">
        <v>1657</v>
      </c>
      <c r="AD9" s="337" t="str">
        <f>IF(ISBLANK(input_wld_az1_rack8_mgmt_vlan),"Value Missing",input_wld_az1_rack8_mgmt_vlan)</f>
        <v>Value Missing</v>
      </c>
      <c r="AG9" s="16" t="s">
        <v>1658</v>
      </c>
      <c r="AH9" s="337" t="str">
        <f>CONCATENATE("10.",prefix_wld_az1_rack_vlan,".")</f>
        <v>10.13.</v>
      </c>
    </row>
    <row r="10" spans="1:34" s="2" customFormat="1" ht="20.100000000000001" customHeight="1" x14ac:dyDescent="0.25">
      <c r="B10" s="4" t="s">
        <v>516</v>
      </c>
      <c r="C10" s="337">
        <f>mgmt_offline_depot_port</f>
        <v>8888</v>
      </c>
      <c r="E10" s="4" t="s">
        <v>404</v>
      </c>
      <c r="F10" s="337">
        <f>IF(ISBLANK(input_mgmt_az1_vmotion_vlan),"Value Missing",input_mgmt_az1_vmotion_vlan)</f>
        <v>21</v>
      </c>
      <c r="H10" s="4" t="s">
        <v>404</v>
      </c>
      <c r="I10" s="337" t="str">
        <f>IF(ISBLANK(input_wld_az1_vmotion_vlan),"Value Missing",input_wld_az1_vmotion_vlan)</f>
        <v>Value Missing</v>
      </c>
      <c r="K10" s="4" t="s">
        <v>404</v>
      </c>
      <c r="L10" s="337" t="str">
        <f>IF(ISBLANK(input_wld_az1_rack2_vmotion_vlan),"Value Missing",input_wld_az1_rack2_vmotion_vlan)</f>
        <v>Value Missing</v>
      </c>
      <c r="N10" s="4" t="s">
        <v>404</v>
      </c>
      <c r="O10" s="337" t="str">
        <f>IF(ISBLANK(input_wld_az1_rack3_vmotion_vlan),"Value Missing",input_wld_az1_rack3_vmotion_vlan)</f>
        <v>Value Missing</v>
      </c>
      <c r="Q10" s="4" t="s">
        <v>404</v>
      </c>
      <c r="R10" s="337" t="str">
        <f>IF(ISBLANK(input_wld_az1_rack4_vmotion_vlan),"Value Missing",input_wld_az1_rack4_vmotion_vlan)</f>
        <v>Value Missing</v>
      </c>
      <c r="T10" s="4" t="s">
        <v>404</v>
      </c>
      <c r="U10" s="337" t="str">
        <f>IF(ISBLANK(input_wld_az1_rack5_vmotion_vlan),"Value Missing",input_wld_az1_rack5_vmotion_vlan)</f>
        <v>Value Missing</v>
      </c>
      <c r="W10" s="4" t="s">
        <v>404</v>
      </c>
      <c r="X10" s="337" t="str">
        <f>IF(ISBLANK(input_wld_az1_rack6_vmotion_vlan),"Value Missing",input_wld_az1_rack6_vmotion_vlan)</f>
        <v>Value Missing</v>
      </c>
      <c r="Z10" s="4" t="s">
        <v>404</v>
      </c>
      <c r="AA10" s="337" t="str">
        <f>IF(ISBLANK(input_wld_az1_rack7_vmotion_vlan),"Value Missing",input_wld_az1_rack7_vmotion_vlan)</f>
        <v>Value Missing</v>
      </c>
      <c r="AC10" s="4" t="s">
        <v>404</v>
      </c>
      <c r="AD10" s="337" t="str">
        <f>IF(ISBLANK(input_wld_az1_rack8_vmotion_vlan),"Value Missing",input_wld_az1_rack8_vmotion_vlan)</f>
        <v>Value Missing</v>
      </c>
      <c r="AG10" s="16" t="s">
        <v>1659</v>
      </c>
      <c r="AH10" s="337" t="str">
        <f>CONCATENATE("10.",prefix_wld_az2_rack_vlan)</f>
        <v>10.14</v>
      </c>
    </row>
    <row r="11" spans="1:34" s="2" customFormat="1" ht="20.100000000000001" customHeight="1" x14ac:dyDescent="0.2">
      <c r="B11" s="4" t="s">
        <v>296</v>
      </c>
      <c r="C11" s="337" t="str">
        <f>svc_my_vmware_password</f>
        <v>N/A</v>
      </c>
      <c r="E11" s="17" t="str">
        <f>CONCATENATE("Principal Storage Network ",wld_principal_storage_chosen)</f>
        <v>Principal Storage Network vSAN-ESA</v>
      </c>
      <c r="F11" s="337">
        <f>IF(ISBLANK(input_mgmt_az1_vsan_vlan),"Value Missing",input_mgmt_az1_vsan_vlan)</f>
        <v>20</v>
      </c>
      <c r="H11" s="17" t="s">
        <v>407</v>
      </c>
      <c r="I11" s="337" t="str">
        <f>IF(ISBLANK(input_wld_az1_principal_storage_vlan),"Value Missing",input_wld_az1_principal_storage_vlan)</f>
        <v>Value Missing</v>
      </c>
      <c r="K11" s="17" t="str">
        <f>CONCATENATE("Principal Storage Network ",wld_principal_storage_chosen)</f>
        <v>Principal Storage Network vSAN-ESA</v>
      </c>
      <c r="L11" s="337" t="str">
        <f>IF(ISBLANK(input_wld_az1_rack2_principal_storage_vlan),"Value Missing",input_wld_az1_rack2_principal_storage_vlan)</f>
        <v>Value Missing</v>
      </c>
      <c r="N11" s="17" t="str">
        <f>CONCATENATE("Principal Storage Network ",wld_principal_storage_chosen)</f>
        <v>Principal Storage Network vSAN-ESA</v>
      </c>
      <c r="O11" s="337" t="str">
        <f>IF(ISBLANK(input_wld_az1_rack3_principal_storage_vlan),"Value Missing",input_wld_az1_rack3_principal_storage_vlan)</f>
        <v>Value Missing</v>
      </c>
      <c r="Q11" s="17" t="str">
        <f>CONCATENATE("Principal Storage Network ",wld_principal_storage_chosen)</f>
        <v>Principal Storage Network vSAN-ESA</v>
      </c>
      <c r="R11" s="337" t="str">
        <f>IF(ISBLANK(input_wld_az1_rack4_principal_storage_vlan),"Value Missing",input_wld_az1_rack4_principal_storage_vlan)</f>
        <v>Value Missing</v>
      </c>
      <c r="T11" s="17" t="str">
        <f>CONCATENATE("Principal Storage Network ",wld_principal_storage_chosen)</f>
        <v>Principal Storage Network vSAN-ESA</v>
      </c>
      <c r="U11" s="337" t="str">
        <f>IF(ISBLANK(input_wld_az1_rack5_principal_storage_vlan),"Value Missing",input_wld_az1_rack5_principal_storage_vlan)</f>
        <v>Value Missing</v>
      </c>
      <c r="W11" s="17" t="str">
        <f>CONCATENATE("Principal Storage Network ",wld_principal_storage_chosen)</f>
        <v>Principal Storage Network vSAN-ESA</v>
      </c>
      <c r="X11" s="337" t="str">
        <f>IF(ISBLANK(input_wld_az1_rack6_principal_storage_vlan),"Value Missing",input_wld_az1_rack6_principal_storage_vlan)</f>
        <v>Value Missing</v>
      </c>
      <c r="Z11" s="17" t="str">
        <f>CONCATENATE("Principal Storage Network ",wld_principal_storage_chosen)</f>
        <v>Principal Storage Network vSAN-ESA</v>
      </c>
      <c r="AA11" s="337" t="str">
        <f>IF(ISBLANK(input_wld_az1_rack7_principal_storage_vlan),"Value Missing",input_wld_az1_rack7_principal_storage_vlan)</f>
        <v>Value Missing</v>
      </c>
      <c r="AC11" s="17" t="str">
        <f>CONCATENATE("Principal Storage Network ",wld_principal_storage_chosen)</f>
        <v>Principal Storage Network vSAN-ESA</v>
      </c>
      <c r="AD11" s="337" t="str">
        <f>IF(ISBLANK(input_wld_az1_rack8_principal_storage_vlan),"Value Missing",input_wld_az1_rack8_principal_storage_vlan)</f>
        <v>Value Missing</v>
      </c>
      <c r="AG11" s="8"/>
    </row>
    <row r="12" spans="1:34" s="2" customFormat="1" ht="20.100000000000001" customHeight="1" x14ac:dyDescent="0.25">
      <c r="B12" s="4" t="s">
        <v>1660</v>
      </c>
      <c r="C12" s="337" t="str">
        <f>mgmt_offline_depot_chosen</f>
        <v>Offline</v>
      </c>
      <c r="E12" s="4" t="s">
        <v>1661</v>
      </c>
      <c r="F12" s="337">
        <f>IF(ISBLANK(input_mgmt_az1_host_overlay_vlan),"Value Missing",input_mgmt_az1_host_overlay_vlan)</f>
        <v>238</v>
      </c>
      <c r="H12" s="4" t="s">
        <v>1661</v>
      </c>
      <c r="I12" s="337" t="str">
        <f>IF(ISBLANK(input_wld_az1_host_overlay_vlan),"Value Missing",input_wld_az1_host_overlay_vlan)</f>
        <v>Value Missing</v>
      </c>
      <c r="K12" s="4" t="s">
        <v>1661</v>
      </c>
      <c r="L12" s="337" t="str">
        <f>IF(ISBLANK(input_wld_az1_rack2_host_overlay_vlan),"Value Missing",input_wld_az1_rack2_host_overlay_vlan)</f>
        <v>Value Missing</v>
      </c>
      <c r="N12" s="4" t="s">
        <v>1661</v>
      </c>
      <c r="O12" s="337" t="str">
        <f>IF(ISBLANK(input_wld_az1_rack3_host_overlay_vlan),"Value Missing",input_wld_az1_rack3_host_overlay_vlan)</f>
        <v>Value Missing</v>
      </c>
      <c r="Q12" s="4" t="s">
        <v>1661</v>
      </c>
      <c r="R12" s="337" t="str">
        <f>IF(ISBLANK(input_wld_az1_rack4_host_overlay_vlan),"Value Missing",input_wld_az1_rack4_host_overlay_vlan)</f>
        <v>Value Missing</v>
      </c>
      <c r="T12" s="4" t="s">
        <v>1661</v>
      </c>
      <c r="U12" s="337" t="str">
        <f>IF(ISBLANK(input_wld_az1_rack5_host_overlay_vlan),"Value Missing",input_wld_az1_rack5_host_overlay_vlan)</f>
        <v>Value Missing</v>
      </c>
      <c r="W12" s="4" t="s">
        <v>1661</v>
      </c>
      <c r="X12" s="337" t="str">
        <f>IF(ISBLANK(input_wld_az1_rack6_host_overlay_vlan),"Value Missing",input_wld_az1_rack6_host_overlay_vlan)</f>
        <v>Value Missing</v>
      </c>
      <c r="Z12" s="4" t="s">
        <v>1661</v>
      </c>
      <c r="AA12" s="337" t="str">
        <f>IF(ISBLANK(input_wld_az1_rack7_host_overlay_vlan),"Value Missing",input_wld_az1_rack7_host_overlay_vlan)</f>
        <v>Value Missing</v>
      </c>
      <c r="AC12" s="4" t="s">
        <v>1661</v>
      </c>
      <c r="AD12" s="337" t="str">
        <f>IF(ISBLANK(input_wld_az1_rack8_host_overlay_vlan),"Value Missing",input_wld_az1_rack8_host_overlay_vlan)</f>
        <v>Value Missing</v>
      </c>
    </row>
    <row r="13" spans="1:34" s="2" customFormat="1" ht="20.100000000000001" customHeight="1" x14ac:dyDescent="0.25">
      <c r="B13" s="4" t="s">
        <v>288</v>
      </c>
      <c r="C13" s="337" t="str">
        <f>mgmt_internet_proxy_type_chosen</f>
        <v>HTTPS</v>
      </c>
      <c r="E13" s="18" t="s">
        <v>1662</v>
      </c>
      <c r="F13" s="337" t="str">
        <f>IF(ISBLANK(input_mgmt_az1_secondary_storage_vlan),"Value Missing",input_mgmt_az1_secondary_storage_vlan)</f>
        <v>Value Missing</v>
      </c>
      <c r="H13" s="4" t="s">
        <v>1662</v>
      </c>
      <c r="I13" s="337" t="str">
        <f>IF(ISBLANK(input_wld_az1_secondary_storage_vlan),"Value Missing",input_wld_az1_secondary_storage_vlan)</f>
        <v>Value Missing</v>
      </c>
      <c r="K13" s="4" t="s">
        <v>1662</v>
      </c>
      <c r="L13" s="337" t="str">
        <f>IF(ISBLANK(input_wld_az1_rack2_secondary_storage_vlan),"Value Missing",input_wld_az1_rack2_secondary_storage_vlan)</f>
        <v>Value Missing</v>
      </c>
      <c r="N13" s="4" t="s">
        <v>1662</v>
      </c>
      <c r="O13" s="337" t="str">
        <f>IF(ISBLANK(input_wld_az1_rack3_secondary_storage_vlan),"Value Missing",input_wld_az1_rack3_secondary_storage_vlan)</f>
        <v>Value Missing</v>
      </c>
      <c r="Q13" s="4" t="s">
        <v>1662</v>
      </c>
      <c r="R13" s="337" t="str">
        <f>IF(ISBLANK(input_wld_az1_rack4_secondary_storage_vlan),"Value Missing",input_wld_az1_rack4_secondary_storage_vlan)</f>
        <v>Value Missing</v>
      </c>
      <c r="T13" s="4" t="s">
        <v>1662</v>
      </c>
      <c r="U13" s="337" t="str">
        <f>IF(ISBLANK(input_wld_az1_rack5_secondary_storage_vlan),"Value Missing",input_wld_az1_rack5_secondary_storage_vlan)</f>
        <v>Value Missing</v>
      </c>
      <c r="W13" s="4" t="s">
        <v>1662</v>
      </c>
      <c r="X13" s="337" t="str">
        <f>IF(ISBLANK(input_wld_az1_rack6_secondary_storage_vlan),"Value Missing",input_wld_az1_rack6_secondary_storage_vlan)</f>
        <v>Value Missing</v>
      </c>
      <c r="Z13" s="4" t="s">
        <v>1662</v>
      </c>
      <c r="AA13" s="337" t="str">
        <f>IF(ISBLANK(input_wld_az1_rack7_secondary_storage_vlan),"Value Missing",input_wld_az1_rack7_secondary_storage_vlan)</f>
        <v>Value Missing</v>
      </c>
      <c r="AC13" s="4" t="s">
        <v>1662</v>
      </c>
      <c r="AD13" s="337" t="str">
        <f>IF(ISBLANK(input_wld_az1_rack8_secondary_storage_vlan),"Value Missing",input_wld_az1_rack8_secondary_storage_vlan)</f>
        <v>Value Missing</v>
      </c>
    </row>
    <row r="14" spans="1:34" s="2" customFormat="1" ht="20.100000000000001" customHeight="1" x14ac:dyDescent="0.25">
      <c r="B14" s="4" t="s">
        <v>1663</v>
      </c>
      <c r="C14" s="2" t="str">
        <f>mgmt_internet_proxy_chosen</f>
        <v>Selected</v>
      </c>
      <c r="E14" s="18"/>
      <c r="F14" s="337"/>
      <c r="H14" s="4" t="s">
        <v>1231</v>
      </c>
      <c r="I14" s="337" t="str">
        <f>IF(ISBLANK(input_wld_az1_storage_cluster_vlan),"Value Missing",input_wld_az1_storage_cluster_vlan)</f>
        <v>Value Missing</v>
      </c>
      <c r="K14" s="22" t="s">
        <v>1231</v>
      </c>
      <c r="L14" s="337"/>
      <c r="N14" s="22" t="s">
        <v>1231</v>
      </c>
      <c r="O14" s="337"/>
      <c r="Q14" s="22" t="s">
        <v>1231</v>
      </c>
      <c r="R14" s="337"/>
      <c r="T14" s="22" t="s">
        <v>1231</v>
      </c>
      <c r="U14" s="337"/>
      <c r="W14" s="22" t="s">
        <v>1231</v>
      </c>
      <c r="X14" s="337"/>
      <c r="Z14" s="22" t="s">
        <v>1231</v>
      </c>
      <c r="AA14" s="337"/>
      <c r="AC14" s="22" t="s">
        <v>1231</v>
      </c>
      <c r="AD14" s="337"/>
    </row>
    <row r="15" spans="1:34" s="2" customFormat="1" ht="20.100000000000001" customHeight="1" x14ac:dyDescent="0.25">
      <c r="B15" s="4" t="s">
        <v>290</v>
      </c>
      <c r="C15" s="337" t="str">
        <f>IF(ISBLANK(input_mgmt_internet_proxy_address),"Value Missing",input_mgmt_internet_proxy_address)</f>
        <v>labproxy01p</v>
      </c>
      <c r="E15" s="4" t="s">
        <v>1664</v>
      </c>
      <c r="F15" s="337" t="str">
        <f>IF(ISBLANK(input_mgmt_az1_uplink01_vlan),"Value Missing",input_mgmt_az1_uplink01_vlan)</f>
        <v>Value Missing</v>
      </c>
      <c r="H15" s="4" t="s">
        <v>1664</v>
      </c>
      <c r="I15" s="337" t="str">
        <f>IF(ISBLANK(input_wld_az1_uplink01_vlan),"Value Missing",input_wld_az1_uplink01_vlan)</f>
        <v>Value Missing</v>
      </c>
      <c r="K15" s="4" t="s">
        <v>1664</v>
      </c>
      <c r="L15" s="337" t="str">
        <f>IF(ISBLANK(input_wld_az1_rack2_uplink01_vlan),"Value Missing",input_wld_az1_rack2_uplink01_vlan)</f>
        <v>Value Missing</v>
      </c>
      <c r="N15" s="4" t="s">
        <v>1664</v>
      </c>
      <c r="O15" s="337" t="str">
        <f>IF(ISBLANK(input_wld_az1_rack3_uplink01_vlan),"Value Missing",input_wld_az1_rack3_uplink01_vlan)</f>
        <v>Value Missing</v>
      </c>
      <c r="Q15" s="4" t="s">
        <v>1664</v>
      </c>
      <c r="R15" s="337" t="str">
        <f>IF(ISBLANK(input_wld_az1_rack4_uplink01_vlan),"Value Missing",input_wld_az1_rack4_uplink01_vlan)</f>
        <v>Value Missing</v>
      </c>
      <c r="T15" s="4" t="s">
        <v>1664</v>
      </c>
      <c r="U15" s="337" t="str">
        <f>IF(ISBLANK(input_wld_az1_rack5_uplink01_vlan),"Value Missing",input_wld_az1_rack5_uplink01_vlan)</f>
        <v>Value Missing</v>
      </c>
      <c r="W15" s="4" t="s">
        <v>1664</v>
      </c>
      <c r="X15" s="337" t="str">
        <f>IF(ISBLANK(input_wld_az1_rack6_uplink01_vlan),"Value Missing",input_wld_az1_rack6_uplink01_vlan)</f>
        <v>Value Missing</v>
      </c>
      <c r="Z15" s="4" t="s">
        <v>1664</v>
      </c>
      <c r="AA15" s="326" t="str">
        <f>IF(ISBLANK(input_wld_az1_rack7_uplink01_vlan),"Value Missing",input_wld_az1_rack7_uplink01_vlan)</f>
        <v>Value Missing</v>
      </c>
      <c r="AC15" s="4" t="s">
        <v>1664</v>
      </c>
      <c r="AD15" s="337" t="str">
        <f>IF(ISBLANK(input_wld_az1_rack8_uplink01_vlan),"Value Missing",input_wld_az1_rack8_uplink01_vlan)</f>
        <v>Value Missing</v>
      </c>
    </row>
    <row r="16" spans="1:34" s="2" customFormat="1" ht="20.100000000000001" customHeight="1" x14ac:dyDescent="0.25">
      <c r="B16" s="4" t="s">
        <v>292</v>
      </c>
      <c r="C16" s="337">
        <f>mgmt_internet_proxy_port</f>
        <v>8888</v>
      </c>
      <c r="E16" s="4" t="s">
        <v>1665</v>
      </c>
      <c r="F16" s="337" t="str">
        <f>IF(ISBLANK(input_mgmt_az1_uplink02_vlan),"Value Missing",input_mgmt_az1_uplink02_vlan)</f>
        <v>Value Missing</v>
      </c>
      <c r="H16" s="4" t="s">
        <v>1665</v>
      </c>
      <c r="I16" s="337" t="str">
        <f>IF(ISBLANK(input_wld_az1_uplink02_vlan),"Value Missing",input_wld_az1_uplink02_vlan)</f>
        <v>Value Missing</v>
      </c>
      <c r="K16" s="4" t="s">
        <v>1665</v>
      </c>
      <c r="L16" s="337" t="str">
        <f>IF(ISBLANK(input_wld_az1_rack2_uplink02_vlan),"Value Missing",input_wld_az1_rack2_uplink02_vlan)</f>
        <v>Value Missing</v>
      </c>
      <c r="N16" s="4" t="s">
        <v>1665</v>
      </c>
      <c r="O16" s="337" t="str">
        <f>IF(ISBLANK(input_wld_az1_rack3_uplink02_vlan),"Value Missing",input_wld_az1_rack3_uplink02_vlan)</f>
        <v>Value Missing</v>
      </c>
      <c r="Q16" s="4" t="s">
        <v>1665</v>
      </c>
      <c r="R16" s="337" t="str">
        <f>IF(ISBLANK(input_wld_az1_rack4_uplink02_vlan),"Value Missing",input_wld_az1_rack4_uplink02_vlan)</f>
        <v>Value Missing</v>
      </c>
      <c r="T16" s="4" t="s">
        <v>1665</v>
      </c>
      <c r="U16" s="337" t="str">
        <f>IF(ISBLANK(input_wld_az1_rack5_uplink02_vlan),"Value Missing",input_wld_az1_rack5_uplink02_vlan)</f>
        <v>Value Missing</v>
      </c>
      <c r="W16" s="4" t="s">
        <v>1665</v>
      </c>
      <c r="X16" s="337" t="str">
        <f>IF(ISBLANK(input_wld_az1_rack6_uplink02_vlan),"Value Missing",input_wld_az1_rack6_uplink02_vlan)</f>
        <v>Value Missing</v>
      </c>
      <c r="Z16" s="4" t="s">
        <v>1665</v>
      </c>
      <c r="AA16" s="337" t="str">
        <f>IF(ISBLANK(input_wld_az1_rack7_uplink02_vlan),"Value Missing",input_wld_az1_rack7_uplink02_vlan)</f>
        <v>Value Missing</v>
      </c>
      <c r="AC16" s="4" t="s">
        <v>1665</v>
      </c>
      <c r="AD16" s="337" t="str">
        <f>IF(ISBLANK(input_wld_az1_rack8_uplink02_vlan),"Value Missing",input_wld_az1_rack8_uplink02_vlan)</f>
        <v>Value Missing</v>
      </c>
    </row>
    <row r="17" spans="2:34" s="2" customFormat="1" ht="20.100000000000001" customHeight="1" x14ac:dyDescent="0.25">
      <c r="B17" s="4" t="s">
        <v>1666</v>
      </c>
      <c r="C17" s="2" t="str">
        <f>mgmt_internet_proxy_auth_chosen</f>
        <v>Selected</v>
      </c>
      <c r="E17" s="4" t="s">
        <v>1667</v>
      </c>
      <c r="F17" s="337" t="str">
        <f>IF(ISBLANK(input_mgmt_az1_edge_overlay_vlan),"Value Missing",input_mgmt_az1_edge_overlay_vlan)</f>
        <v>Value Missing</v>
      </c>
      <c r="H17" s="4" t="s">
        <v>1667</v>
      </c>
      <c r="I17" s="337" t="str">
        <f>IF(ISBLANK(input_wld_az1_edge_overlay_vlan),"Value Missing",input_wld_az1_edge_overlay_vlan)</f>
        <v>Value Missing</v>
      </c>
      <c r="K17" s="4" t="s">
        <v>1667</v>
      </c>
      <c r="L17" s="337" t="str">
        <f>IF(ISBLANK(input_wld_az1_rack2_edge_overlay_vlan),"Value Missing",input_wld_az1_rack2_edge_overlay_vlan)</f>
        <v>Value Missing</v>
      </c>
      <c r="N17" s="4" t="s">
        <v>1667</v>
      </c>
      <c r="O17" s="337" t="str">
        <f>IF(ISBLANK(input_wld_az1_rack3_edge_overlay_vlan),"Value Missing",input_wld_az1_rack3_edge_overlay_vlan)</f>
        <v>Value Missing</v>
      </c>
      <c r="Q17" s="4" t="s">
        <v>1667</v>
      </c>
      <c r="R17" s="337" t="str">
        <f>IF(ISBLANK(input_wld_az1_rack4_edge_overlay_vlan),"Value Missing",input_wld_az1_rack4_edge_overlay_vlan)</f>
        <v>Value Missing</v>
      </c>
      <c r="T17" s="4" t="s">
        <v>1667</v>
      </c>
      <c r="U17" s="337" t="str">
        <f>IF(ISBLANK(input_wld_az1_rack5_edge_overlay_vlan),"Value Missing",input_wld_az1_rack5_edge_overlay_vlan)</f>
        <v>Value Missing</v>
      </c>
      <c r="W17" s="4" t="s">
        <v>1667</v>
      </c>
      <c r="X17" s="337" t="str">
        <f>IF(ISBLANK(input_wld_az1_rack6_edge_overlay_vlan),"Value Missing",input_wld_az1_rack6_edge_overlay_vlan)</f>
        <v>Value Missing</v>
      </c>
      <c r="Z17" s="4" t="s">
        <v>1667</v>
      </c>
      <c r="AA17" s="337" t="str">
        <f>IF(ISBLANK(input_wld_az1_rack7_edge_overlay_vlan),"Value Missing",input_wld_az1_rack7_edge_overlay_vlan)</f>
        <v>Value Missing</v>
      </c>
      <c r="AC17" s="4" t="s">
        <v>1667</v>
      </c>
      <c r="AD17" s="337" t="str">
        <f>IF(ISBLANK(input_wld_az1_rack8_edge_overlay_vlan),"Value Missing",input_wld_az1_rack8_edge_overlay_vlan)</f>
        <v>Value Missing</v>
      </c>
      <c r="AG17" s="572" t="s">
        <v>1668</v>
      </c>
      <c r="AH17" s="573">
        <v>65</v>
      </c>
    </row>
    <row r="18" spans="2:34" s="2" customFormat="1" ht="20.100000000000001" customHeight="1" x14ac:dyDescent="0.25">
      <c r="B18" s="4" t="s">
        <v>294</v>
      </c>
      <c r="C18" s="337" t="str">
        <f>IF(ISBLANK(input_mgmt_internet_proxy_email),"Value Missing",input_mgmt_internet_proxy_email)</f>
        <v>vcf</v>
      </c>
      <c r="E18" s="4" t="s">
        <v>1669</v>
      </c>
      <c r="F18" s="337" t="str">
        <f>IF(ISBLANK(input_mgmt_az1_rtep_overlay_vlan),"Value Missing",input_mgmt_az1_rtep_overlay_vlan)</f>
        <v>Value Missing</v>
      </c>
      <c r="H18" s="4" t="s">
        <v>1669</v>
      </c>
      <c r="I18" s="337" t="str">
        <f>IF(ISBLANK(input_wld_az1_rtep_overlay_vlan),"Value Missing",input_wld_az1_rtep_overlay_vlan)</f>
        <v>Value Missing</v>
      </c>
      <c r="K18" s="4" t="s">
        <v>1669</v>
      </c>
      <c r="L18" s="337"/>
      <c r="N18" s="4" t="s">
        <v>1669</v>
      </c>
      <c r="O18" s="337"/>
      <c r="Q18" s="4" t="s">
        <v>1669</v>
      </c>
      <c r="R18" s="337"/>
      <c r="T18" s="4" t="s">
        <v>1669</v>
      </c>
      <c r="U18" s="337"/>
      <c r="W18" s="4" t="s">
        <v>1669</v>
      </c>
      <c r="X18" s="337"/>
      <c r="Z18" s="4" t="s">
        <v>1669</v>
      </c>
      <c r="AA18" s="337"/>
      <c r="AC18" s="4" t="s">
        <v>1669</v>
      </c>
      <c r="AD18" s="337"/>
      <c r="AG18" s="337" t="s">
        <v>1670</v>
      </c>
      <c r="AH18" s="337">
        <f>IF(this_instance="sfo",1,2)</f>
        <v>1</v>
      </c>
    </row>
    <row r="19" spans="2:34" s="2" customFormat="1" ht="20.100000000000001" customHeight="1" x14ac:dyDescent="0.25">
      <c r="B19" s="4" t="s">
        <v>296</v>
      </c>
      <c r="C19" s="337" t="str">
        <f>IF(ISBLANK(input_mgmt_internet_proxy_password),"Value Missing",input_mgmt_internet_proxy_password)</f>
        <v>VMware123!VMware123!</v>
      </c>
      <c r="E19" s="4" t="s">
        <v>1671</v>
      </c>
      <c r="F19" s="337" t="str">
        <f>IF(ISBLANK(input_mgmt_az1_vrms_vlan),"Value Missing",input_mgmt_az1_vrms_vlan)</f>
        <v>Value Missing</v>
      </c>
      <c r="H19" s="4" t="s">
        <v>1671</v>
      </c>
      <c r="I19" s="337" t="str">
        <f>IF(ISBLANK(input_wld_az1_vrms_vlan),"Value Missing",input_wld_az1_vrms_vlan)</f>
        <v>Value Missing</v>
      </c>
      <c r="K19" s="4" t="s">
        <v>1671</v>
      </c>
      <c r="L19" s="337"/>
      <c r="N19" s="4" t="s">
        <v>1671</v>
      </c>
      <c r="O19" s="337"/>
      <c r="Q19" s="4" t="s">
        <v>1671</v>
      </c>
      <c r="R19" s="337"/>
      <c r="T19" s="4" t="s">
        <v>1671</v>
      </c>
      <c r="U19" s="337"/>
      <c r="W19" s="4" t="s">
        <v>1671</v>
      </c>
      <c r="X19" s="337"/>
      <c r="Z19" s="4" t="s">
        <v>1671</v>
      </c>
      <c r="AA19" s="337"/>
      <c r="AC19" s="4" t="s">
        <v>1671</v>
      </c>
      <c r="AD19" s="337"/>
      <c r="AG19" s="337" t="s">
        <v>1672</v>
      </c>
      <c r="AH19" s="337">
        <v>1</v>
      </c>
    </row>
    <row r="20" spans="2:34" s="2" customFormat="1" ht="20.100000000000001" customHeight="1" x14ac:dyDescent="0.25">
      <c r="B20" s="6"/>
      <c r="AG20" s="337" t="s">
        <v>1673</v>
      </c>
      <c r="AH20" s="337">
        <v>2</v>
      </c>
    </row>
    <row r="21" spans="2:34" s="2" customFormat="1" ht="20.100000000000001" customHeight="1" x14ac:dyDescent="0.25">
      <c r="B21" s="569" t="s">
        <v>1674</v>
      </c>
      <c r="C21" s="570"/>
      <c r="E21" s="382" t="s">
        <v>1675</v>
      </c>
      <c r="F21" s="383"/>
      <c r="H21" s="382" t="s">
        <v>1676</v>
      </c>
      <c r="I21" s="383"/>
      <c r="K21" s="382" t="s">
        <v>1677</v>
      </c>
      <c r="L21" s="383"/>
      <c r="N21" s="382" t="s">
        <v>1678</v>
      </c>
      <c r="O21" s="383"/>
      <c r="Q21" s="379" t="s">
        <v>1679</v>
      </c>
      <c r="R21" s="381"/>
      <c r="T21" s="379" t="s">
        <v>1680</v>
      </c>
      <c r="U21" s="381"/>
      <c r="W21" s="379" t="s">
        <v>1681</v>
      </c>
      <c r="X21" s="381"/>
      <c r="Z21" s="379" t="s">
        <v>1682</v>
      </c>
      <c r="AA21" s="381"/>
      <c r="AC21" s="379" t="s">
        <v>1683</v>
      </c>
      <c r="AD21" s="381"/>
      <c r="AG21" s="337" t="s">
        <v>1684</v>
      </c>
      <c r="AH21" s="337">
        <f>IF(wld_domain_number_chosen=1,3,IF(wld_domain_number_chosen=2,5,7))</f>
        <v>3</v>
      </c>
    </row>
    <row r="22" spans="2:34" s="2" customFormat="1" ht="20.100000000000001" customHeight="1" x14ac:dyDescent="0.25">
      <c r="B22" s="11" t="s">
        <v>259</v>
      </c>
      <c r="C22" s="12" t="s">
        <v>138</v>
      </c>
      <c r="E22" s="11" t="s">
        <v>259</v>
      </c>
      <c r="F22" s="12" t="s">
        <v>1652</v>
      </c>
      <c r="H22" s="11" t="s">
        <v>259</v>
      </c>
      <c r="I22" s="12" t="s">
        <v>1652</v>
      </c>
      <c r="K22" s="11" t="s">
        <v>259</v>
      </c>
      <c r="L22" s="12" t="s">
        <v>1652</v>
      </c>
      <c r="N22" s="11" t="s">
        <v>259</v>
      </c>
      <c r="O22" s="12" t="s">
        <v>1652</v>
      </c>
      <c r="Q22" s="13" t="s">
        <v>259</v>
      </c>
      <c r="R22" s="14" t="s">
        <v>1652</v>
      </c>
      <c r="S22" s="15"/>
      <c r="T22" s="13" t="s">
        <v>259</v>
      </c>
      <c r="U22" s="14" t="s">
        <v>1652</v>
      </c>
      <c r="V22" s="15"/>
      <c r="W22" s="13" t="s">
        <v>259</v>
      </c>
      <c r="X22" s="14" t="s">
        <v>1652</v>
      </c>
      <c r="Y22" s="15"/>
      <c r="Z22" s="13" t="s">
        <v>259</v>
      </c>
      <c r="AA22" s="14" t="s">
        <v>1652</v>
      </c>
      <c r="AB22" s="15"/>
      <c r="AC22" s="13" t="s">
        <v>259</v>
      </c>
      <c r="AD22" s="14" t="s">
        <v>1652</v>
      </c>
      <c r="AG22" s="337" t="s">
        <v>1685</v>
      </c>
      <c r="AH22" s="337">
        <f>IF(wld_domain_number_chosen=1,4,IF(wld_domain_number_chosen=2,6,8))</f>
        <v>4</v>
      </c>
    </row>
    <row r="23" spans="2:34" s="2" customFormat="1" ht="20.100000000000001" customHeight="1" x14ac:dyDescent="0.2">
      <c r="B23" s="4" t="s">
        <v>123</v>
      </c>
      <c r="C23" s="337" t="str">
        <f>mgmt_domain_deployment_type_chosen</f>
        <v>VMware Cloud Foundation</v>
      </c>
      <c r="E23" s="4" t="s">
        <v>1655</v>
      </c>
      <c r="F23" s="337" t="str">
        <f>IF(ISBLANK(input_mgmt_az1_mgmt_vm_cidr),"Value Missing",input_mgmt_az1_mgmt_vm_cidr)</f>
        <v>10.100.50.0/24</v>
      </c>
      <c r="H23" s="4" t="s">
        <v>1655</v>
      </c>
      <c r="I23" s="337" t="str">
        <f>IF(ISBLANK(input_wld_az1_mgmt_vm_cidr),"Value Missing",input_wld_az1_mgmt_vm_cidr)</f>
        <v>Value Missing</v>
      </c>
      <c r="K23" s="4" t="s">
        <v>1655</v>
      </c>
      <c r="L23" s="337" t="str">
        <f>IF(ISBLANK(input_wld_az1_rack2_mgmt_vm_cidr),"Value Missing",input_wld_az1_rack2_mgmt_vm_cidr)</f>
        <v>Value Missing</v>
      </c>
      <c r="N23" s="4" t="s">
        <v>1655</v>
      </c>
      <c r="O23" s="337" t="str">
        <f>IF(ISBLANK(input_wld_az1_rack3_mgmt_vm_cidr),"Value Missing",input_wld_az1_rack3_mgmt_vm_cidr)</f>
        <v>Value Missing</v>
      </c>
      <c r="Q23" s="4" t="s">
        <v>1655</v>
      </c>
      <c r="R23" s="337" t="str">
        <f>IF(ISBLANK(input_wld_az1_rack4_mgmt_vm_cidr),"Value Missing",input_wld_az1_rack4_mgmt_vm_cidr)</f>
        <v>Value Missing</v>
      </c>
      <c r="T23" s="4" t="s">
        <v>1655</v>
      </c>
      <c r="U23" s="337" t="str">
        <f>IF(ISBLANK(input_wld_az1_rack5_mgmt_vm_cidr),"Value Missing",input_wld_az1_rack5_mgmt_vm_cidr)</f>
        <v>Value Missing</v>
      </c>
      <c r="W23" s="4" t="s">
        <v>1655</v>
      </c>
      <c r="X23" s="337" t="str">
        <f>IF(ISBLANK(input_wld_az1_rack6_mgmt_vm_cidr),"Value Missing",input_wld_az1_rack6_mgmt_vm_cidr)</f>
        <v>Value Missing</v>
      </c>
      <c r="Z23" s="4" t="s">
        <v>1655</v>
      </c>
      <c r="AA23" s="337" t="str">
        <f>IF(ISBLANK(input_wld_az1_rack7_mgmt_vm_cidr),"Value Missing",input_wld_az1_rack7_mgmt_vm_cidr)</f>
        <v>Value Missing</v>
      </c>
      <c r="AC23" s="4" t="s">
        <v>1655</v>
      </c>
      <c r="AD23" s="337" t="str">
        <f>IF(ISBLANK(input_wld_az1_rack8_mgmt_vm_cidr),"Value Missing",input_wld_az1_rack8_mgmt_vm_cidr)</f>
        <v>Value Missing</v>
      </c>
      <c r="AG23" s="8"/>
    </row>
    <row r="24" spans="2:34" s="2" customFormat="1" ht="20.100000000000001" customHeight="1" x14ac:dyDescent="0.2">
      <c r="B24" s="4" t="s">
        <v>1686</v>
      </c>
      <c r="C24" s="337" t="str">
        <f>IF(ISBLANK(input_mgmt_sddc_domain),"Value Missing",input_mgmt_sddc_domain)</f>
        <v>vcf-lab-mgmt01</v>
      </c>
      <c r="E24" s="4" t="s">
        <v>1657</v>
      </c>
      <c r="F24" s="337" t="str">
        <f>IF(ISBLANK(input_mgmt_az1_mgmt_cidr),"Value Missing",input_mgmt_az1_mgmt_cidr)</f>
        <v>10.100.51.0/24</v>
      </c>
      <c r="H24" s="4" t="s">
        <v>1657</v>
      </c>
      <c r="I24" s="337" t="str">
        <f>IF(ISBLANK(input_wld_az1_mgmt_cidr),"Value Missing",input_wld_az1_mgmt_cidr)</f>
        <v>Value Missing</v>
      </c>
      <c r="K24" s="4" t="s">
        <v>1657</v>
      </c>
      <c r="L24" s="337" t="str">
        <f>IF(ISBLANK(input_wld_az1_rack2_mgmt_cidr),"Value Missing",input_wld_az1_rack2_mgmt_cidr)</f>
        <v>Value Missing</v>
      </c>
      <c r="N24" s="4" t="s">
        <v>1657</v>
      </c>
      <c r="O24" s="337" t="str">
        <f>IF(ISBLANK(input_wld_az1_rack3_mgmt_cidr),"Value Missing",input_wld_az1_rack3_mgmt_cidr)</f>
        <v>Value Missing</v>
      </c>
      <c r="Q24" s="4" t="s">
        <v>1657</v>
      </c>
      <c r="R24" s="337" t="str">
        <f>IF(ISBLANK(input_wld_az1_rack4_mgmt_cidr),"Value Missing",input_wld_az1_rack4_mgmt_cidr)</f>
        <v>Value Missing</v>
      </c>
      <c r="T24" s="4" t="s">
        <v>1657</v>
      </c>
      <c r="U24" s="337" t="str">
        <f>IF(ISBLANK(input_wld_az1_rack5_mgmt_cidr),"Value Missing",input_wld_az1_rack5_mgmt_cidr)</f>
        <v>Value Missing</v>
      </c>
      <c r="W24" s="4" t="s">
        <v>1657</v>
      </c>
      <c r="X24" s="337" t="str">
        <f>IF(ISBLANK(input_wld_az1_rack6_mgmt_cidr),"Value Missing",input_wld_az1_rack6_mgmt_cidr)</f>
        <v>Value Missing</v>
      </c>
      <c r="Z24" s="4" t="s">
        <v>1657</v>
      </c>
      <c r="AA24" s="337" t="str">
        <f>IF(ISBLANK(input_wld_az1_rack7_mgmt_cidr),"Value Missing",input_wld_az1_rack7_mgmt_cidr)</f>
        <v>Value Missing</v>
      </c>
      <c r="AC24" s="4" t="s">
        <v>1657</v>
      </c>
      <c r="AD24" s="337" t="str">
        <f>IF(ISBLANK(input_wld_az1_rack8_mgmt_cidr),"Value Missing",input_wld_az1_rack8_mgmt_cidr)</f>
        <v>Value Missing</v>
      </c>
      <c r="AG24" s="8"/>
    </row>
    <row r="25" spans="2:34" s="2" customFormat="1" ht="20.100000000000001" customHeight="1" x14ac:dyDescent="0.25">
      <c r="B25" s="4" t="s">
        <v>121</v>
      </c>
      <c r="C25" s="337" t="str">
        <f>vcf_version</f>
        <v>9.0.2.0</v>
      </c>
      <c r="E25" s="4" t="s">
        <v>404</v>
      </c>
      <c r="F25" s="337" t="str">
        <f>IF(ISBLANK(input_mgmt_az1_vmotion_cidr),"Value Missing",input_mgmt_az1_vmotion_cidr)</f>
        <v>192.168.21.0/24</v>
      </c>
      <c r="H25" s="4" t="s">
        <v>404</v>
      </c>
      <c r="I25" s="337" t="str">
        <f>IF(OR(wld_az1_vmotion_network="Value Missing",wld_az1_vmotion_mask="Value Missing"),"Value Missing",(CONCATENATE(wld_az1_vmotion_network,"/",VLOOKUP(wld_az1_vmotion_mask,table_mask_to_cidr,2,FALSE))))</f>
        <v>Value Missing</v>
      </c>
      <c r="K25" s="4" t="s">
        <v>404</v>
      </c>
      <c r="L25" s="337" t="str">
        <f>IF(OR(wld_az1_rack2_vmotion_network="Value Missing",wld_az1_rack2_vmotion_mask="Value Missing"),"Value Missing",(CONCATENATE(wld_az1_rack2_vmotion_network,"/",VLOOKUP(wld_az1_rack2_vmotion_mask,table_mask_to_cidr,2,FALSE))))</f>
        <v>Value Missing</v>
      </c>
      <c r="N25" s="4" t="s">
        <v>404</v>
      </c>
      <c r="O25" s="337" t="str">
        <f>IF(OR(wld_az1_rack3_vmotion_network="Value Missing",wld_az1_rack3_vmotion_mask="Value Missing"),"Value Missing",(CONCATENATE(wld_az1_rack3_vmotion_network,"/",VLOOKUP(wld_az1_rack3_vmotion_mask,table_mask_to_cidr,2,FALSE))))</f>
        <v>Value Missing</v>
      </c>
      <c r="Q25" s="4" t="s">
        <v>404</v>
      </c>
      <c r="R25" s="337" t="str">
        <f>IF(OR(wld_az1_rack4_vmotion_network="Value Missing",wld_az1_rack4_vmotion_mask="Value Missing"),"Value Missing",(CONCATENATE(wld_az1_rack4_vmotion_network,"/",VLOOKUP(wld_az1_rack4_vmotion_mask,table_mask_to_cidr,2,FALSE))))</f>
        <v>Value Missing</v>
      </c>
      <c r="T25" s="4" t="s">
        <v>404</v>
      </c>
      <c r="U25" s="337" t="str">
        <f>IF(OR(wld_az1_rack5_vmotion_network="Value Missing",wld_az1_rack5_vmotion_mask="Value Missing"),"Value Missing",(CONCATENATE(wld_az1_rack5_vmotion_network,"/",VLOOKUP(wld_az1_rack5_vmotion_mask,table_mask_to_cidr,2,FALSE))))</f>
        <v>Value Missing</v>
      </c>
      <c r="W25" s="4" t="s">
        <v>404</v>
      </c>
      <c r="X25" s="337" t="str">
        <f>IF(OR(wld_az1_rack6_vmotion_network="Value Missing",wld_az1_rack6_vmotion_mask="Value Missing"),"Value Missing",(CONCATENATE(wld_az1_rack6_vmotion_network,"/",VLOOKUP(wld_az1_rack6_vmotion_mask,table_mask_to_cidr,2,FALSE))))</f>
        <v>Value Missing</v>
      </c>
      <c r="Z25" s="4" t="s">
        <v>404</v>
      </c>
      <c r="AA25" s="337" t="str">
        <f>IF(OR(wld_az1_rack7_vmotion_network="Value Missing",wld_az1_rack7_vmotion_mask="Value Missing"),"Value Missing",(CONCATENATE(wld_az1_rack7_vmotion_network,"/",VLOOKUP(wld_az1_rack7_vmotion_mask,table_mask_to_cidr,2,FALSE))))</f>
        <v>Value Missing</v>
      </c>
      <c r="AC25" s="4" t="s">
        <v>404</v>
      </c>
      <c r="AD25" s="337" t="str">
        <f>IF(OR(wld_az1_rack8_vmotion_network="Value Missing",wld_az1_rack8_vmotion_mask="Value Missing"),"Value Missing",(CONCATENATE(wld_az1_rack8_vmotion_network,"/",VLOOKUP(wld_az1_rack8_vmotion_mask,table_mask_to_cidr,2,FALSE))))</f>
        <v>Value Missing</v>
      </c>
    </row>
    <row r="26" spans="2:34" s="2" customFormat="1" ht="20.100000000000001" customHeight="1" x14ac:dyDescent="0.2">
      <c r="B26" s="4" t="s">
        <v>1687</v>
      </c>
      <c r="C26" s="337" t="str">
        <f>mgmt_domain_vcf_operations_ha_mode_chosen</f>
        <v>High Availability (Three-node)</v>
      </c>
      <c r="E26" s="17" t="str">
        <f>CONCATENATE("Principal Storage Network ",wld_principal_storage_chosen)</f>
        <v>Principal Storage Network vSAN-ESA</v>
      </c>
      <c r="F26" s="337" t="str">
        <f>IF(ISBLANK(input_mgmt_az1_vsan_cidr),"Value Missing",input_mgmt_az1_vsan_cidr)</f>
        <v>192.168.20.0/24</v>
      </c>
      <c r="H26" s="17" t="s">
        <v>407</v>
      </c>
      <c r="I26" s="337" t="str">
        <f>IF(OR(wld_az1_principal_storage_network="Value Missing",wld_az1_principal_storage_mask="Value Missing"),"Value Missing",(CONCATENATE(wld_az1_principal_storage_network,"/",VLOOKUP(wld_az1_principal_storage_mask,table_mask_to_cidr,2,FALSE))))</f>
        <v>Value Missing</v>
      </c>
      <c r="K26" s="17" t="str">
        <f>CONCATENATE("Principal Storage Network ",wld_principal_storage_chosen)</f>
        <v>Principal Storage Network vSAN-ESA</v>
      </c>
      <c r="L26" s="337" t="str">
        <f>IF(OR(wld_az1_rack2_principal_storage_network="Value Missing",wld_az1_rack2_principal_storage_mask="Value Missing"),"Value Missing",(CONCATENATE(wld_az1_rack2_principal_storage_network,"/",VLOOKUP(wld_az1_rack2_principal_storage_mask,table_mask_to_cidr,2,FALSE))))</f>
        <v>Value Missing</v>
      </c>
      <c r="N26" s="17" t="str">
        <f>CONCATENATE("Principal Storage Network ",wld_principal_storage_chosen)</f>
        <v>Principal Storage Network vSAN-ESA</v>
      </c>
      <c r="O26" s="337" t="str">
        <f>IF(OR(wld_az1_rack3_principal_storage_network="Value Missing",wld_az1_rack3_principal_storage_mask="Value Missing"),"Value Missing",(CONCATENATE(wld_az1_rack3_principal_storage_network,"/",VLOOKUP(wld_az1_rack3_principal_storage_mask,table_mask_to_cidr,2,FALSE))))</f>
        <v>Value Missing</v>
      </c>
      <c r="Q26" s="17" t="str">
        <f>CONCATENATE("Principal Storage Network ",wld_principal_storage_chosen)</f>
        <v>Principal Storage Network vSAN-ESA</v>
      </c>
      <c r="R26" s="337" t="str">
        <f>IF(OR(wld_az1_rack4_principal_storage_network="Value Missing",wld_az1_rack4_principal_storage_mask="Value Missing"),"Value Missing",(CONCATENATE(wld_az1_rack4_principal_storage_network,"/",VLOOKUP(wld_az1_rack4_principal_storage_mask,table_mask_to_cidr,2,FALSE))))</f>
        <v>Value Missing</v>
      </c>
      <c r="T26" s="17" t="str">
        <f>CONCATENATE("Principal Storage Network ",wld_principal_storage_chosen)</f>
        <v>Principal Storage Network vSAN-ESA</v>
      </c>
      <c r="U26" s="337" t="str">
        <f>IF(OR(wld_az1_rack5_principal_storage_network="Value Missing",wld_az1_rack5_principal_storage_mask="Value Missing"),"Value Missing",(CONCATENATE(wld_az1_rack5_principal_storage_network,"/",VLOOKUP(wld_az1_rack5_principal_storage_mask,table_mask_to_cidr,2,FALSE))))</f>
        <v>Value Missing</v>
      </c>
      <c r="W26" s="17" t="str">
        <f>CONCATENATE("Principal Storage Network ",wld_principal_storage_chosen)</f>
        <v>Principal Storage Network vSAN-ESA</v>
      </c>
      <c r="X26" s="337" t="str">
        <f>IF(OR(wld_az1_rack6_principal_storage_network="Value Missing",wld_az1_rack6_principal_storage_mask="Value Missing"),"Value Missing",(CONCATENATE(wld_az1_rack6_principal_storage_network,"/",VLOOKUP(wld_az1_rack6_principal_storage_mask,table_mask_to_cidr,2,FALSE))))</f>
        <v>Value Missing</v>
      </c>
      <c r="Z26" s="17" t="str">
        <f>CONCATENATE("Principal Storage Network ",wld_principal_storage_chosen)</f>
        <v>Principal Storage Network vSAN-ESA</v>
      </c>
      <c r="AA26" s="337" t="str">
        <f>IF(OR(wld_az1_rack7_principal_storage_network="Value Missing",wld_az1_rack7_principal_storage_mask="Value Missing"),"Value Missing",(CONCATENATE(wld_az1_rack7_principal_storage_network,"/",VLOOKUP(wld_az1_rack7_principal_storage_mask,table_mask_to_cidr,2,FALSE))))</f>
        <v>Value Missing</v>
      </c>
      <c r="AC26" s="17" t="str">
        <f>CONCATENATE("Principal Storage Network ",wld_principal_storage_chosen)</f>
        <v>Principal Storage Network vSAN-ESA</v>
      </c>
      <c r="AD26" s="337" t="str">
        <f>IF(OR(wld_az1_rack8_principal_storage_network="Value Missing",wld_az1_rack8_principal_storage_mask="Value Missing"),"Value Missing",(CONCATENATE(wld_az1_rack8_principal_storage_network,"/",VLOOKUP(wld_az1_rack8_principal_storage_mask,table_mask_to_cidr,2,FALSE))))</f>
        <v>Value Missing</v>
      </c>
      <c r="AG26" s="8"/>
    </row>
    <row r="27" spans="2:34" s="2" customFormat="1" ht="20.100000000000001" customHeight="1" x14ac:dyDescent="0.2">
      <c r="B27" s="4" t="s">
        <v>1688</v>
      </c>
      <c r="C27" s="337" t="str">
        <f>IF(mgmt_domain_password_creation_chosen="Included","Selected","Unselected")</f>
        <v>Unselected</v>
      </c>
      <c r="E27" s="4" t="s">
        <v>1661</v>
      </c>
      <c r="F27" s="337" t="str">
        <f>IF(ISBLANK(input_mgmt_az1_host_overlay_cidr),"Value Missing",input_mgmt_az1_host_overlay_cidr)</f>
        <v>10.100.38.0/24</v>
      </c>
      <c r="H27" s="4" t="s">
        <v>1661</v>
      </c>
      <c r="I27" s="337" t="str">
        <f>IF(ISBLANK(input_wld_az1_host_overlay_cidr),"Value Missing",input_wld_az1_host_overlay_cidr)</f>
        <v>Value Missing</v>
      </c>
      <c r="K27" s="4" t="s">
        <v>1661</v>
      </c>
      <c r="L27" s="337" t="str">
        <f>IF(OR(wld_az1_rack2_host_overlay_network="Value Missing",wld_az1_rack2_host_overlay_mask="Value Missing"),"Value Missing",(CONCATENATE(wld_az1_rack2_host_overlay_network,"/",VLOOKUP(wld_az1_rack2_host_overlay_mask,table_mask_to_cidr,2,FALSE))))</f>
        <v>Value Missing</v>
      </c>
      <c r="N27" s="4" t="s">
        <v>1661</v>
      </c>
      <c r="O27" s="337" t="str">
        <f>IF(OR(wld_az1_rack3_host_overlay_network="Value Missing",wld_az1_rack3_host_overlay_mask="Value Missing"),"Value Missing",(CONCATENATE(wld_az1_rack3_host_overlay_network,"/",VLOOKUP(wld_az1_rack3_host_overlay_mask,table_mask_to_cidr,2,FALSE))))</f>
        <v>Value Missing</v>
      </c>
      <c r="Q27" s="4" t="s">
        <v>1661</v>
      </c>
      <c r="R27" s="337" t="str">
        <f>IF(OR(wld_az1_rack4_host_overlay_network="Value Missing",wld_az1_rack4_host_overlay_mask="Value Missing"),"Value Missing",(CONCATENATE(wld_az1_rack4_host_overlay_network,"/",VLOOKUP(wld_az1_rack4_host_overlay_mask,table_mask_to_cidr,2,FALSE))))</f>
        <v>Value Missing</v>
      </c>
      <c r="T27" s="4" t="s">
        <v>1661</v>
      </c>
      <c r="U27" s="337" t="str">
        <f>IF(OR(wld_az1_rack5_host_overlay_network="Value Missing",wld_az1_rack5_host_overlay_mask="Value Missing"),"Value Missing",(CONCATENATE(wld_az1_rack5_host_overlay_network,"/",VLOOKUP(wld_az1_rack5_host_overlay_mask,table_mask_to_cidr,2,FALSE))))</f>
        <v>Value Missing</v>
      </c>
      <c r="W27" s="4" t="s">
        <v>1661</v>
      </c>
      <c r="X27" s="337" t="str">
        <f>IF(OR(wld_az1_rack6_host_overlay_network="Value Missing",wld_az1_rack6_host_overlay_mask="Value Missing"),"Value Missing",(CONCATENATE(wld_az1_rack6_host_overlay_network,"/",VLOOKUP(wld_az1_rack6_host_overlay_mask,table_mask_to_cidr,2,FALSE))))</f>
        <v>Value Missing</v>
      </c>
      <c r="Z27" s="4" t="s">
        <v>1661</v>
      </c>
      <c r="AA27" s="337" t="str">
        <f>IF(OR(wld_az1_rack7_host_overlay_network="Value Missing",wld_az1_rack7_host_overlay_mask="Value Missing"),"Value Missing",(CONCATENATE(wld_az1_rack7_host_overlay_network,"/",VLOOKUP(wld_az1_rack7_host_overlay_mask,table_mask_to_cidr,2,FALSE))))</f>
        <v>Value Missing</v>
      </c>
      <c r="AC27" s="4" t="s">
        <v>1661</v>
      </c>
      <c r="AD27" s="337" t="str">
        <f>IF(OR(wld_az1_rack8_host_overlay_network="Value Missing",wld_az1_rack8_host_overlay_mask="Value Missing"),"Value Missing",(CONCATENATE(wld_az1_rack8_host_overlay_network,"/",VLOOKUP(wld_az1_rack8_host_overlay_mask,table_mask_to_cidr,2,FALSE))))</f>
        <v>Value Missing</v>
      </c>
      <c r="AG27" s="8"/>
    </row>
    <row r="28" spans="2:34" s="2" customFormat="1" ht="20.100000000000001" customHeight="1" x14ac:dyDescent="0.2">
      <c r="B28" s="4" t="s">
        <v>1689</v>
      </c>
      <c r="C28" s="337" t="str">
        <f>mgmt_flt_fm_reuse_password_chosen</f>
        <v>Selected</v>
      </c>
      <c r="E28" s="18" t="s">
        <v>1662</v>
      </c>
      <c r="F28" s="337" t="str">
        <f>IF(ISBLANK(input_mgmt_az1_secondary_storage_cidr),"Value Missing",input_mgmt_az1_secondary_storage_cidr)</f>
        <v>Value Missing</v>
      </c>
      <c r="H28" s="4" t="s">
        <v>1662</v>
      </c>
      <c r="I28" s="337" t="str">
        <f>IF(OR(wld_az1_secondary_storage_network="Value Missing",wld_az1_secondary_storage_mask="Value Missing"),"Value Missing",(CONCATENATE(wld_az1_secondary_storage_network,"/",VLOOKUP(wld_az1_secondary_storage_mask,table_mask_to_cidr,2,FALSE))))</f>
        <v>Value Missing</v>
      </c>
      <c r="K28" s="4" t="s">
        <v>1662</v>
      </c>
      <c r="L28" s="337" t="str">
        <f>IF(OR(wld_az1_rack2_secondary_storage_network="Value Missing",wld_az1_rack2_secondary_storage_mask="Value Missing"),"Value Missing",(CONCATENATE(wld_az1_rack2_secondary_storage_network,"/",VLOOKUP(wld_az1_rack2_secondary_storage_mask,table_mask_to_cidr,2,FALSE))))</f>
        <v>Value Missing</v>
      </c>
      <c r="N28" s="4" t="s">
        <v>1662</v>
      </c>
      <c r="O28" s="337" t="str">
        <f>IF(OR(wld_az1_rack3_secondary_storage_network="Value Missing",wld_az1_rack3_secondary_storage_mask="Value Missing"),"Value Missing",(CONCATENATE(wld_az1_rack3_secondary_storage_network,"/",VLOOKUP(wld_az1_rack3_secondary_storage_mask,table_mask_to_cidr,2,FALSE))))</f>
        <v>Value Missing</v>
      </c>
      <c r="Q28" s="4" t="s">
        <v>1662</v>
      </c>
      <c r="R28" s="337" t="str">
        <f>IF(OR(wld_az1_rack4_secondary_storage_network="Value Missing",wld_az1_rack4_secondary_storage_mask="Value Missing"),"Value Missing",(CONCATENATE(wld_az1_rack4_secondary_storage_network,"/",VLOOKUP(wld_az1_rack4_secondary_storage_mask,table_mask_to_cidr,2,FALSE))))</f>
        <v>Value Missing</v>
      </c>
      <c r="T28" s="4" t="s">
        <v>1662</v>
      </c>
      <c r="U28" s="337" t="str">
        <f>IF(OR(wld_az1_rack5_secondary_storage_network="Value Missing",wld_az1_rack5_secondary_storage_mask="Value Missing"),"Value Missing",(CONCATENATE(wld_az1_rack5_secondary_storage_network,"/",VLOOKUP(wld_az1_rack5_secondary_storage_mask,table_mask_to_cidr,2,FALSE))))</f>
        <v>Value Missing</v>
      </c>
      <c r="W28" s="4" t="s">
        <v>1662</v>
      </c>
      <c r="X28" s="337" t="str">
        <f>IF(OR(wld_az1_rack6_secondary_storage_network="Value Missing",wld_az1_rack6_secondary_storage_mask="Value Missing"),"Value Missing",(CONCATENATE(wld_az1_rack6_secondary_storage_network,"/",VLOOKUP(wld_az1_rack6_secondary_storage_mask,table_mask_to_cidr,2,FALSE))))</f>
        <v>Value Missing</v>
      </c>
      <c r="Z28" s="4" t="s">
        <v>1662</v>
      </c>
      <c r="AA28" s="337" t="str">
        <f>IF(OR(wld_az1_rack7_secondary_storage_network="Value Missing",wld_az1_rack7_secondary_storage_mask="Value Missing"),"Value Missing",(CONCATENATE(wld_az1_rack7_secondary_storage_network,"/",VLOOKUP(wld_az1_rack7_secondary_storage_mask,table_mask_to_cidr,2,FALSE))))</f>
        <v>Value Missing</v>
      </c>
      <c r="AC28" s="4" t="s">
        <v>1662</v>
      </c>
      <c r="AD28" s="337" t="str">
        <f>IF(OR(wld_az1_rack7_secondary_storage_network="Value Missing",wld_az1_rack8_secondary_storage_mask="Value Missing"),"Value Missing",(CONCATENATE(wld_az1_rack8_secondary_storage_network,"/",VLOOKUP(wld_az1_rack8_secondary_storage_mask,table_mask_to_cidr,2,FALSE))))</f>
        <v>Value Missing</v>
      </c>
      <c r="AG28" s="8"/>
    </row>
    <row r="29" spans="2:34" s="2" customFormat="1" ht="20.100000000000001" customHeight="1" x14ac:dyDescent="0.2">
      <c r="B29" s="4" t="s">
        <v>1690</v>
      </c>
      <c r="C29" s="337" t="str">
        <f>mgmt_ops_collector_reuse_password_chosen</f>
        <v>Selected</v>
      </c>
      <c r="E29" s="18"/>
      <c r="F29" s="337"/>
      <c r="H29" s="4" t="s">
        <v>1231</v>
      </c>
      <c r="I29" s="337" t="str">
        <f>IF(OR(wld_az1_storage_cluster_network="Value Missing",wld_az1_storage_cluster_mask="Value Missing"),"Value Missing",(CONCATENATE(wld_az1_storage_cluster_network,"/",VLOOKUP(wld_az1_storage_cluster_mask,table_mask_to_cidr,2,FALSE))))</f>
        <v>Value Missing</v>
      </c>
      <c r="K29" s="22" t="s">
        <v>1231</v>
      </c>
      <c r="L29" s="337"/>
      <c r="N29" s="22" t="s">
        <v>1231</v>
      </c>
      <c r="O29" s="337"/>
      <c r="Q29" s="22" t="s">
        <v>1231</v>
      </c>
      <c r="R29" s="337"/>
      <c r="T29" s="22" t="s">
        <v>1231</v>
      </c>
      <c r="U29" s="337"/>
      <c r="W29" s="22" t="s">
        <v>1231</v>
      </c>
      <c r="X29" s="337"/>
      <c r="Z29" s="22" t="s">
        <v>1231</v>
      </c>
      <c r="AA29" s="337"/>
      <c r="AC29" s="22" t="s">
        <v>1231</v>
      </c>
      <c r="AD29" s="337"/>
      <c r="AG29" s="8"/>
    </row>
    <row r="30" spans="2:34" s="2" customFormat="1" ht="20.100000000000001" customHeight="1" x14ac:dyDescent="0.2">
      <c r="E30" s="4" t="s">
        <v>1664</v>
      </c>
      <c r="F30" s="337" t="str">
        <f>IF(ISBLANK(input_mgmt_az1_uplink01_cidr),"Value Missing",input_mgmt_az1_uplink01_cidr)</f>
        <v>Value Missing</v>
      </c>
      <c r="H30" s="4" t="s">
        <v>1664</v>
      </c>
      <c r="I30" s="337" t="str">
        <f>IF(ISBLANK(input_wld_az1_uplink01_cidr),"Value Missing",input_wld_az1_uplink01_cidr)</f>
        <v>Value Missing</v>
      </c>
      <c r="K30" s="4" t="s">
        <v>1664</v>
      </c>
      <c r="L30" s="337" t="str">
        <f>IF(OR(wld_az1_rack2_uplink01_network="Value Missing",wld_az1_rack2_uplink01_mask="Value Missing"),"Value Missing",(CONCATENATE(wld_az1_rack2_uplink01_network,"/",VLOOKUP(wld_az1_rack2_uplink01_mask,table_mask_to_cidr,2,FALSE))))</f>
        <v>Value Missing</v>
      </c>
      <c r="N30" s="4" t="s">
        <v>1664</v>
      </c>
      <c r="O30" s="337" t="str">
        <f>IF(OR(wld_az1_rack3_uplink01_network="Value Missing",wld_az1_rack3_uplink01_mask="Value Missing"),"Value Missing",(CONCATENATE(wld_az1_rack3_uplink01_network,"/",VLOOKUP(wld_az1_rack3_uplink01_mask,table_mask_to_cidr,2,FALSE))))</f>
        <v>Value Missing</v>
      </c>
      <c r="Q30" s="4" t="s">
        <v>1664</v>
      </c>
      <c r="R30" s="337" t="str">
        <f>IF(OR(wld_az1_rack4_uplink01_network="Value Missing",wld_az1_rack4_uplink01_mask="Value Missing"),"Value Missing",(CONCATENATE(wld_az1_rack4_uplink01_network,"/",VLOOKUP(wld_az1_rack4_uplink01_mask,table_mask_to_cidr,2,FALSE))))</f>
        <v>Value Missing</v>
      </c>
      <c r="T30" s="4" t="s">
        <v>1664</v>
      </c>
      <c r="U30" s="337" t="str">
        <f>IF(OR(wld_az1_rack5_uplink01_network="Value Missing",wld_az1_rack5_uplink01_mask="Value Missing"),"Value Missing",(CONCATENATE(wld_az1_rack5_uplink01_network,"/",VLOOKUP(wld_az1_rack5_uplink01_mask,table_mask_to_cidr,2,FALSE))))</f>
        <v>Value Missing</v>
      </c>
      <c r="W30" s="4" t="s">
        <v>1664</v>
      </c>
      <c r="X30" s="337" t="str">
        <f>IF(OR(wld_az1_rack6_uplink01_network="Value Missing",wld_az1_rack6_uplink01_mask="Value Missing"),"Value Missing",(CONCATENATE(wld_az1_rack6_uplink01_network,"/",VLOOKUP(wld_az1_rack6_uplink01_mask,table_mask_to_cidr,2,FALSE))))</f>
        <v>Value Missing</v>
      </c>
      <c r="Z30" s="4" t="s">
        <v>1664</v>
      </c>
      <c r="AA30" s="337" t="str">
        <f>IF(OR(wld_az1_rack7_uplink01_network="Value Missing",wld_az1_rack7_uplink01_mask="Value Missing"),"Value Missing",(CONCATENATE(wld_az1_rack7_uplink01_network,"/",VLOOKUP(wld_az1_rack7_uplink01_mask,table_mask_to_cidr,2,FALSE))))</f>
        <v>Value Missing</v>
      </c>
      <c r="AC30" s="4" t="s">
        <v>1664</v>
      </c>
      <c r="AD30" s="337" t="str">
        <f>IF(OR(wld_az1_rack8_uplink01_network="Value Missing",wld_az1_rack8_uplink01_mask="Value Missing"),"Value Missing",(CONCATENATE(wld_az1_rack8_uplink01_network,"/",VLOOKUP(wld_az1_rack8_uplink01_mask,table_mask_to_cidr,2,FALSE))))</f>
        <v>Value Missing</v>
      </c>
      <c r="AG30" s="8"/>
    </row>
    <row r="31" spans="2:34" s="2" customFormat="1" ht="20.100000000000001" customHeight="1" x14ac:dyDescent="0.2">
      <c r="B31" s="569" t="s">
        <v>1691</v>
      </c>
      <c r="C31" s="570"/>
      <c r="E31" s="4" t="s">
        <v>1665</v>
      </c>
      <c r="F31" s="337" t="str">
        <f>IF(ISBLANK(input_mgmt_az1_uplink02_cidr),"Value Missing",input_mgmt_az1_uplink02_cidr)</f>
        <v>Value Missing</v>
      </c>
      <c r="H31" s="4" t="s">
        <v>1665</v>
      </c>
      <c r="I31" s="337" t="str">
        <f>IF(ISBLANK(input_wld_az1_uplink02_cidr),"Value Missing",input_wld_az1_uplink02_cidr)</f>
        <v>Value Missing</v>
      </c>
      <c r="K31" s="4" t="s">
        <v>1665</v>
      </c>
      <c r="L31" s="337" t="str">
        <f>IF(OR(wld_az1_rack2_uplink02_network="Value Missing",wld_az1_rack2_uplink02_mask="Value Missing"),"Value Missing",(CONCATENATE(wld_az1_rack2_uplink02_network,"/",VLOOKUP(wld_az1_rack2_uplink02_mask,table_mask_to_cidr,2,FALSE))))</f>
        <v>Value Missing</v>
      </c>
      <c r="N31" s="4" t="s">
        <v>1665</v>
      </c>
      <c r="O31" s="337" t="str">
        <f>IF(OR(wld_az1_rack3_uplink02_network="Value Missing",wld_az1_rack3_uplink02_mask="Value Missing"),"Value Missing",(CONCATENATE(wld_az1_rack3_uplink02_network,"/",VLOOKUP(wld_az1_rack3_uplink02_mask,table_mask_to_cidr,2,FALSE))))</f>
        <v>Value Missing</v>
      </c>
      <c r="Q31" s="4" t="s">
        <v>1665</v>
      </c>
      <c r="R31" s="337" t="str">
        <f>IF(OR(wld_az1_rack4_uplink02_network="Value Missing",wld_az1_rack4_uplink02_mask="Value Missing"),"Value Missing",(CONCATENATE(wld_az1_rack4_uplink02_network,"/",VLOOKUP(wld_az1_rack4_uplink02_mask,table_mask_to_cidr,2,FALSE))))</f>
        <v>Value Missing</v>
      </c>
      <c r="T31" s="4" t="s">
        <v>1665</v>
      </c>
      <c r="U31" s="337" t="str">
        <f>IF(OR(wld_az1_rack5_uplink02_network="Value Missing",wld_az1_rack5_uplink02_mask="Value Missing"),"Value Missing",(CONCATENATE(wld_az1_rack5_uplink02_network,"/",VLOOKUP(wld_az1_rack5_uplink02_mask,table_mask_to_cidr,2,FALSE))))</f>
        <v>Value Missing</v>
      </c>
      <c r="W31" s="4" t="s">
        <v>1665</v>
      </c>
      <c r="X31" s="337" t="str">
        <f>IF(OR(wld_az1_rack6_uplink02_network="Value Missing",wld_az1_rack6_uplink02_mask="Value Missing"),"Value Missing",(CONCATENATE(wld_az1_rack6_uplink02_network,"/",VLOOKUP(wld_az1_rack6_uplink02_mask,table_mask_to_cidr,2,FALSE))))</f>
        <v>Value Missing</v>
      </c>
      <c r="Z31" s="4" t="s">
        <v>1665</v>
      </c>
      <c r="AA31" s="337" t="str">
        <f>IF(OR(wld_az1_rack7_uplink02_network="Value Missing",wld_az1_rack7_uplink02_mask="Value Missing"),"Value Missing",(CONCATENATE(wld_az1_rack7_uplink02_network,"/",VLOOKUP(wld_az1_rack7_uplink02_mask,table_mask_to_cidr,2,FALSE))))</f>
        <v>Value Missing</v>
      </c>
      <c r="AC31" s="4" t="s">
        <v>1665</v>
      </c>
      <c r="AD31" s="337" t="str">
        <f>IF(OR(wld_az1_rack8_uplink02_network="Value Missing",wld_az1_rack8_uplink02_mask="Value Missing"),"Value Missing",(CONCATENATE(wld_az1_rack8_uplink02_network,"/",VLOOKUP(wld_az1_rack8_uplink02_mask,table_mask_to_cidr,2,FALSE))))</f>
        <v>Value Missing</v>
      </c>
      <c r="AG31" s="8"/>
    </row>
    <row r="32" spans="2:34" s="2" customFormat="1" ht="20.100000000000001" customHeight="1" x14ac:dyDescent="0.2">
      <c r="B32" s="11" t="s">
        <v>259</v>
      </c>
      <c r="C32" s="12" t="s">
        <v>138</v>
      </c>
      <c r="E32" s="4" t="s">
        <v>1667</v>
      </c>
      <c r="F32" s="337" t="str">
        <f>IF(ISBLANK(input_mgmt_az1_edge_overlay_cidr),"Value Missing",input_mgmt_az1_edge_overlay_cidr)</f>
        <v>Value Missing</v>
      </c>
      <c r="H32" s="4" t="s">
        <v>1667</v>
      </c>
      <c r="I32" s="337" t="str">
        <f>IF(ISBLANK(input_wld_az1_edge_overlay_cidr),"Value Missing",input_wld_az1_edge_overlay_cidr)</f>
        <v>Value Missing</v>
      </c>
      <c r="K32" s="4" t="s">
        <v>1667</v>
      </c>
      <c r="L32" s="337" t="str">
        <f>IF(OR(wld_az1_rack2_edge_overlay_network="Value Missing",wld_az1_rack2_edge_overlay_mask="Value Missing"),"Value Missing",(CONCATENATE(wld_az1_rack2_edge_overlay_network,"/",VLOOKUP(wld_az1_rack2_edge_overlay_mask,table_mask_to_cidr,2,FALSE))))</f>
        <v>Value Missing</v>
      </c>
      <c r="N32" s="4" t="s">
        <v>1667</v>
      </c>
      <c r="O32" s="337" t="str">
        <f>IF(OR(wld_az1_rack3_edge_overlay_network="Value Missing",wld_az1_rack3_edge_overlay_mask="Value Missing"),"Value Missing",(CONCATENATE(wld_az1_rack3_edge_overlay_network,"/",VLOOKUP(wld_az1_rack3_edge_overlay_mask,table_mask_to_cidr,2,FALSE))))</f>
        <v>Value Missing</v>
      </c>
      <c r="Q32" s="4" t="s">
        <v>1667</v>
      </c>
      <c r="R32" s="337" t="str">
        <f>IF(OR(wld_az1_rack4_edge_overlay_network="Value Missing",wld_az1_rack4_edge_overlay_mask="Value Missing"),"Value Missing",(CONCATENATE(wld_az1_rack4_edge_overlay_network,"/",VLOOKUP(wld_az1_rack4_edge_overlay_mask,table_mask_to_cidr,2,FALSE))))</f>
        <v>Value Missing</v>
      </c>
      <c r="T32" s="4" t="s">
        <v>1667</v>
      </c>
      <c r="U32" s="337" t="str">
        <f>IF(OR(wld_az1_rack5_edge_overlay_network="Value Missing",wld_az1_rack5_edge_overlay_mask="Value Missing"),"Value Missing",(CONCATENATE(wld_az1_rack5_edge_overlay_network,"/",VLOOKUP(wld_az1_rack5_edge_overlay_mask,table_mask_to_cidr,2,FALSE))))</f>
        <v>Value Missing</v>
      </c>
      <c r="W32" s="4" t="s">
        <v>1667</v>
      </c>
      <c r="X32" s="337" t="str">
        <f>IF(OR(wld_az1_rack6_edge_overlay_network="Value Missing",wld_az1_rack6_edge_overlay_mask="Value Missing"),"Value Missing",(CONCATENATE(wld_az1_rack6_edge_overlay_network,"/",VLOOKUP(wld_az1_rack6_edge_overlay_mask,table_mask_to_cidr,2,FALSE))))</f>
        <v>Value Missing</v>
      </c>
      <c r="Z32" s="4" t="s">
        <v>1667</v>
      </c>
      <c r="AA32" s="337" t="str">
        <f>IF(OR(wld_az1_rack7_edge_overlay_network="Value Missing",wld_az1_rack7_edge_overlay_mask="Value Missing"),"Value Missing",(CONCATENATE(wld_az1_rack7_edge_overlay_network,"/",VLOOKUP(wld_az1_rack7_edge_overlay_mask,table_mask_to_cidr,2,FALSE))))</f>
        <v>Value Missing</v>
      </c>
      <c r="AC32" s="4" t="s">
        <v>1667</v>
      </c>
      <c r="AD32" s="337" t="str">
        <f>IF(OR(wld_az1_rack8_edge_overlay_network="Value Missing",wld_az1_rack8_edge_overlay_mask="Value Missing"),"Value Missing",(CONCATENATE(wld_az1_rack8_edge_overlay_network,"/",VLOOKUP(wld_az1_rack8_edge_overlay_mask,table_mask_to_cidr,2,FALSE))))</f>
        <v>Value Missing</v>
      </c>
      <c r="AG32" s="8"/>
    </row>
    <row r="33" spans="2:34" s="2" customFormat="1" ht="20.100000000000001" customHeight="1" x14ac:dyDescent="0.2">
      <c r="B33" s="11" t="s">
        <v>88</v>
      </c>
      <c r="C33" s="12"/>
      <c r="E33" s="4" t="s">
        <v>1669</v>
      </c>
      <c r="F33" s="337" t="str">
        <f>IF(ISBLANK(input_mgmt_az1_rtep_overlay_cidr),"Value Missing",input_mgmt_az1_rtep_overlay_cidr)</f>
        <v>Value Missing</v>
      </c>
      <c r="H33" s="4" t="s">
        <v>1669</v>
      </c>
      <c r="I33" s="337" t="str">
        <f>IF(ISBLANK(input_wld_az1_rtep_overlay_cidr),"Value Missing",input_wld_az1_rtep_overlay_cidr)</f>
        <v>Value Missing</v>
      </c>
      <c r="K33" s="4" t="s">
        <v>1669</v>
      </c>
      <c r="L33" s="337"/>
      <c r="N33" s="4" t="s">
        <v>1669</v>
      </c>
      <c r="O33" s="337"/>
      <c r="Q33" s="4" t="s">
        <v>1669</v>
      </c>
      <c r="R33" s="337"/>
      <c r="T33" s="4" t="s">
        <v>1669</v>
      </c>
      <c r="U33" s="337"/>
      <c r="W33" s="4" t="s">
        <v>1669</v>
      </c>
      <c r="X33" s="337"/>
      <c r="Z33" s="4" t="s">
        <v>1669</v>
      </c>
      <c r="AA33" s="337"/>
      <c r="AC33" s="4" t="s">
        <v>1669</v>
      </c>
      <c r="AD33" s="337"/>
      <c r="AG33" s="8"/>
    </row>
    <row r="34" spans="2:34" s="2" customFormat="1" ht="20.100000000000001" customHeight="1" x14ac:dyDescent="0.2">
      <c r="B34" s="4" t="s">
        <v>1692</v>
      </c>
      <c r="C34" s="337" t="str">
        <f>parent_dns_zone</f>
        <v>vcf.lab.local</v>
      </c>
      <c r="E34" s="4" t="s">
        <v>1671</v>
      </c>
      <c r="F34" s="337"/>
      <c r="H34" s="4" t="s">
        <v>1671</v>
      </c>
      <c r="I34" s="337" t="str">
        <f>IF(ISBLANK(input_wld_az1_vrms_cidr),"Value Missing",input_wld_az1_vrms_cidr)</f>
        <v>Value Missing</v>
      </c>
      <c r="K34" s="4" t="s">
        <v>1671</v>
      </c>
      <c r="L34" s="337"/>
      <c r="N34" s="4" t="s">
        <v>1671</v>
      </c>
      <c r="O34" s="337"/>
      <c r="Q34" s="4" t="s">
        <v>1671</v>
      </c>
      <c r="R34" s="337"/>
      <c r="T34" s="4" t="s">
        <v>1671</v>
      </c>
      <c r="U34" s="337"/>
      <c r="W34" s="4" t="s">
        <v>1671</v>
      </c>
      <c r="X34" s="337"/>
      <c r="Z34" s="4" t="s">
        <v>1671</v>
      </c>
      <c r="AA34" s="337"/>
      <c r="AC34" s="4" t="s">
        <v>1671</v>
      </c>
      <c r="AD34" s="337"/>
      <c r="AG34" s="8"/>
      <c r="AH34" s="8"/>
    </row>
    <row r="35" spans="2:34" s="2" customFormat="1" ht="20.100000000000001" customHeight="1" x14ac:dyDescent="0.2">
      <c r="B35" s="4" t="s">
        <v>319</v>
      </c>
      <c r="C35" s="337" t="str">
        <f>region_dns1_ip</f>
        <v>10.255.50.26</v>
      </c>
      <c r="AG35" s="8"/>
      <c r="AH35" s="8"/>
    </row>
    <row r="36" spans="2:34" s="2" customFormat="1" ht="20.100000000000001" customHeight="1" x14ac:dyDescent="0.2">
      <c r="B36" s="4" t="s">
        <v>320</v>
      </c>
      <c r="C36" s="337" t="str">
        <f>region_dns2_ip</f>
        <v>Value Missing</v>
      </c>
      <c r="E36" s="382" t="s">
        <v>1693</v>
      </c>
      <c r="F36" s="383"/>
      <c r="H36" s="382" t="s">
        <v>1694</v>
      </c>
      <c r="I36" s="383"/>
      <c r="K36" s="382" t="s">
        <v>1695</v>
      </c>
      <c r="L36" s="383"/>
      <c r="N36" s="382" t="s">
        <v>1696</v>
      </c>
      <c r="O36" s="383"/>
      <c r="Q36" s="379" t="s">
        <v>1697</v>
      </c>
      <c r="R36" s="381"/>
      <c r="T36" s="379" t="s">
        <v>1698</v>
      </c>
      <c r="U36" s="381"/>
      <c r="W36" s="379" t="s">
        <v>1699</v>
      </c>
      <c r="X36" s="381"/>
      <c r="Z36" s="379" t="s">
        <v>1700</v>
      </c>
      <c r="AA36" s="381"/>
      <c r="AC36" s="379" t="s">
        <v>1701</v>
      </c>
      <c r="AD36" s="381"/>
      <c r="AG36" s="8"/>
      <c r="AH36" s="8"/>
    </row>
    <row r="37" spans="2:34" s="2" customFormat="1" ht="20.100000000000001" customHeight="1" x14ac:dyDescent="0.2">
      <c r="B37" s="11" t="s">
        <v>100</v>
      </c>
      <c r="C37" s="12"/>
      <c r="E37" s="11" t="s">
        <v>259</v>
      </c>
      <c r="F37" s="12" t="s">
        <v>1652</v>
      </c>
      <c r="H37" s="11" t="s">
        <v>259</v>
      </c>
      <c r="I37" s="12" t="s">
        <v>1652</v>
      </c>
      <c r="K37" s="11" t="s">
        <v>259</v>
      </c>
      <c r="L37" s="12" t="s">
        <v>1652</v>
      </c>
      <c r="N37" s="11" t="s">
        <v>259</v>
      </c>
      <c r="O37" s="12" t="s">
        <v>1652</v>
      </c>
      <c r="Q37" s="13" t="s">
        <v>259</v>
      </c>
      <c r="R37" s="14" t="s">
        <v>1652</v>
      </c>
      <c r="S37" s="15"/>
      <c r="T37" s="13" t="s">
        <v>259</v>
      </c>
      <c r="U37" s="14" t="s">
        <v>1652</v>
      </c>
      <c r="V37" s="15"/>
      <c r="W37" s="13" t="s">
        <v>259</v>
      </c>
      <c r="X37" s="14" t="s">
        <v>1652</v>
      </c>
      <c r="Y37" s="15"/>
      <c r="Z37" s="13" t="s">
        <v>259</v>
      </c>
      <c r="AA37" s="14" t="s">
        <v>1652</v>
      </c>
      <c r="AB37" s="15"/>
      <c r="AC37" s="13" t="s">
        <v>259</v>
      </c>
      <c r="AD37" s="14" t="s">
        <v>1652</v>
      </c>
      <c r="AG37" s="8"/>
      <c r="AH37" s="8"/>
    </row>
    <row r="38" spans="2:34" s="2" customFormat="1" ht="20.100000000000001" customHeight="1" x14ac:dyDescent="0.2">
      <c r="B38" s="4" t="s">
        <v>319</v>
      </c>
      <c r="C38" s="337" t="str">
        <f>region_ntp1_server</f>
        <v>10.255.50.26</v>
      </c>
      <c r="E38" s="4" t="s">
        <v>1655</v>
      </c>
      <c r="F38" s="337" t="str">
        <f>IF(mgmt_az1_mgmt_vm_cidr="Value Missing",mgmt_az1_mgmt_vm_cidr,(LEFT(mgmt_az1_mgmt_vm_cidr,(FIND("/",mgmt_az1_mgmt_vm_cidr)-1))))</f>
        <v>10.100.50.0</v>
      </c>
      <c r="H38" s="4" t="s">
        <v>1655</v>
      </c>
      <c r="I38" s="337" t="str">
        <f>IF(wld_az1_mgmt_vm_cidr="Value Missing","Value Missing",IF(ISBLANK(wld_az1_mgmt_vm_cidr),"Value Missing",LEFT(wld_az1_mgmt_vm_cidr,(FIND("/",wld_az1_mgmt_vm_cidr)-1))))</f>
        <v>Value Missing</v>
      </c>
      <c r="K38" s="4" t="s">
        <v>1655</v>
      </c>
      <c r="N38" s="4" t="s">
        <v>1655</v>
      </c>
      <c r="Q38" s="4" t="s">
        <v>1655</v>
      </c>
      <c r="T38" s="4" t="s">
        <v>1655</v>
      </c>
      <c r="W38" s="4" t="s">
        <v>1655</v>
      </c>
      <c r="Z38" s="4" t="s">
        <v>1655</v>
      </c>
      <c r="AC38" s="4" t="s">
        <v>1655</v>
      </c>
      <c r="AG38" s="8"/>
      <c r="AH38" s="8"/>
    </row>
    <row r="39" spans="2:34" s="2" customFormat="1" ht="20.100000000000001" customHeight="1" x14ac:dyDescent="0.2">
      <c r="B39" s="4" t="s">
        <v>320</v>
      </c>
      <c r="C39" s="337" t="str">
        <f>region_ntp2_server</f>
        <v>Value Missing</v>
      </c>
      <c r="E39" s="4" t="s">
        <v>1657</v>
      </c>
      <c r="F39" s="337" t="str">
        <f>IF(mgmt_az1_mgmt_cidr="Value Missing",mgmt_az1_mgmt_cidr,LEFT(mgmt_az1_mgmt_cidr,(FIND("/",mgmt_az1_mgmt_cidr)-1)))</f>
        <v>10.100.51.0</v>
      </c>
      <c r="H39" s="4" t="s">
        <v>1657</v>
      </c>
      <c r="I39" s="337" t="str">
        <f>IF(wld_az1_mgmt_cidr="Value Missing","Value Missing",IF(ISBLANK(wld_az1_mgmt_cidr),"Value Missing",LEFT(wld_az1_mgmt_cidr,(FIND("/",wld_az1_mgmt_cidr)-1))))</f>
        <v>Value Missing</v>
      </c>
      <c r="K39" s="4" t="s">
        <v>1657</v>
      </c>
      <c r="L39" s="337" t="str">
        <f>IF(wld_az1_rack2_mgmt_cidr="Value Missing","Value Missing",IF(ISBLANK(wld_az1_rack2_mgmt_cidr),"Value Missing",LEFT(wld_az1_rack2_mgmt_cidr,(FIND("/",wld_az1_rack2_mgmt_cidr)-1))))</f>
        <v>Value Missing</v>
      </c>
      <c r="N39" s="4" t="s">
        <v>1657</v>
      </c>
      <c r="O39" s="337" t="str">
        <f>IF(wld_az1_rack3_mgmt_cidr="Value Missing","Value Missing",IF(ISBLANK(wld_az1_rack3_mgmt_cidr),"Value Missing",LEFT(wld_az1_rack3_mgmt_cidr,(FIND("/",wld_az1_rack3_mgmt_cidr)-1))))</f>
        <v>Value Missing</v>
      </c>
      <c r="Q39" s="4" t="s">
        <v>1657</v>
      </c>
      <c r="R39" s="337" t="str">
        <f>IF(wld_az1_rack4_mgmt_cidr="Value Missing","Value Missing",IF(ISBLANK(wld_az1_rack4_mgmt_cidr),"Value Missing",LEFT(wld_az1_rack4_mgmt_cidr,(FIND("/",wld_az1_rack4_mgmt_cidr)-1))))</f>
        <v>Value Missing</v>
      </c>
      <c r="T39" s="4" t="s">
        <v>1657</v>
      </c>
      <c r="U39" s="337" t="str">
        <f>IF(wld_az1_rack5_mgmt_cidr="Value Missing","Value Missing",IF(ISBLANK(wld_az1_rack5_mgmt_cidr),"Value Missing",LEFT(wld_az1_rack5_mgmt_cidr,(FIND("/",wld_az1_rack5_mgmt_cidr)-1))))</f>
        <v>Value Missing</v>
      </c>
      <c r="W39" s="4" t="s">
        <v>1657</v>
      </c>
      <c r="X39" s="337" t="str">
        <f>IF(wld_az1_rack6_mgmt_cidr="Value Missing","Value Missing",IF(ISBLANK(wld_az1_rack6_mgmt_cidr),"Value Missing",LEFT(wld_az1_rack6_mgmt_cidr,(FIND("/",wld_az1_rack6_mgmt_cidr)-1))))</f>
        <v>Value Missing</v>
      </c>
      <c r="Z39" s="4" t="s">
        <v>1657</v>
      </c>
      <c r="AA39" s="337" t="str">
        <f>IF(wld_az1_rack7_mgmt_cidr="Value Missing","Value Missing",IF(ISBLANK(wld_az1_rack7_mgmt_cidr),"Value Missing",LEFT(wld_az1_rack7_mgmt_cidr,(FIND("/",wld_az1_rack7_mgmt_cidr)-1))))</f>
        <v>Value Missing</v>
      </c>
      <c r="AC39" s="4" t="s">
        <v>1657</v>
      </c>
      <c r="AD39" s="337" t="str">
        <f>IF(wld_az1_rack8_mgmt_cidr="Value Missing","Value Missing",IF(ISBLANK(wld_az1_rack8_mgmt_cidr),"Value Missing",LEFT(wld_az1_rack8_mgmt_cidr,(FIND("/",wld_az1_rack8_mgmt_cidr)-1))))</f>
        <v>Value Missing</v>
      </c>
      <c r="AG39" s="8"/>
      <c r="AH39" s="8"/>
    </row>
    <row r="40" spans="2:34" s="2" customFormat="1" ht="20.100000000000001" customHeight="1" x14ac:dyDescent="0.2">
      <c r="B40" s="74" t="s">
        <v>1702</v>
      </c>
      <c r="C40" s="337"/>
      <c r="E40" s="4" t="s">
        <v>404</v>
      </c>
      <c r="F40" s="337" t="str">
        <f>IF(mgmt_az1_vmotion_cidr="Value Missing",mgmt_az1_vmotion_cidr,LEFT(mgmt_az1_vmotion_cidr,(FIND("/",mgmt_az1_vmotion_cidr)-1)))</f>
        <v>192.168.21.0</v>
      </c>
      <c r="H40" s="4" t="s">
        <v>404</v>
      </c>
      <c r="I40" s="337" t="str">
        <f>IF(ISBLANK(input_wld_az1_vmotion_network),"Value Missing",input_wld_az1_vmotion_network)</f>
        <v>Value Missing</v>
      </c>
      <c r="K40" s="4" t="s">
        <v>404</v>
      </c>
      <c r="L40" s="337" t="str">
        <f>IF(ISBLANK(input_wld_az1_rack2_vmotion_network),"Value Missing",input_wld_az1_rack2_vmotion_network)</f>
        <v>Value Missing</v>
      </c>
      <c r="N40" s="4" t="s">
        <v>404</v>
      </c>
      <c r="O40" s="337" t="str">
        <f>IF(ISBLANK(input_wld_az1_rack3_vmotion_network),"Value Missing",input_wld_az1_rack3_vmotion_network)</f>
        <v>Value Missing</v>
      </c>
      <c r="Q40" s="4" t="s">
        <v>404</v>
      </c>
      <c r="R40" s="337" t="str">
        <f>IF(ISBLANK(input_wld_az1_rack4_vmotion_network),"Value Missing",input_wld_az1_rack4_vmotion_network)</f>
        <v>Value Missing</v>
      </c>
      <c r="T40" s="4" t="s">
        <v>404</v>
      </c>
      <c r="U40" s="337" t="str">
        <f>IF(ISBLANK(input_wld_az1_rack5_vmotion_network),"Value Missing",input_wld_az1_rack5_vmotion_network)</f>
        <v>Value Missing</v>
      </c>
      <c r="W40" s="4" t="s">
        <v>404</v>
      </c>
      <c r="X40" s="337" t="str">
        <f>IF(ISBLANK(input_wld_az1_rack6_vmotion_network),"Value Missing",input_wld_az1_rack6_vmotion_network)</f>
        <v>Value Missing</v>
      </c>
      <c r="Z40" s="4" t="s">
        <v>404</v>
      </c>
      <c r="AA40" s="337" t="str">
        <f>IF(ISBLANK(input_wld_az1_rack7_vmotion_network),"Value Missing",input_wld_az1_rack7_vmotion_network)</f>
        <v>Value Missing</v>
      </c>
      <c r="AC40" s="4" t="s">
        <v>404</v>
      </c>
      <c r="AD40" s="337" t="str">
        <f>IF(ISBLANK(input_wld_az1_rack8_vmotion_network),"Value Missing",input_wld_az1_rack8_vmotion_network)</f>
        <v>Value Missing</v>
      </c>
      <c r="AG40" s="8"/>
      <c r="AH40" s="8"/>
    </row>
    <row r="41" spans="2:34" s="2" customFormat="1" ht="20.100000000000001" customHeight="1" x14ac:dyDescent="0.2">
      <c r="B41" s="4" t="s">
        <v>322</v>
      </c>
      <c r="C41" s="337" t="str">
        <f>IF(ISBLANK(mgmt_ceip_status_chosen),"Value Missing",mgmt_ceip_status_chosen)</f>
        <v>Selected</v>
      </c>
      <c r="E41" s="17" t="str">
        <f>CONCATENATE("Principal Storage Network ",wld_principal_storage_chosen)</f>
        <v>Principal Storage Network vSAN-ESA</v>
      </c>
      <c r="F41" s="337" t="str">
        <f>IF(mgmt_az1_vsan_cidr="Value Missing",mgmt_az1_vsan_cidr,LEFT(mgmt_az1_vsan_cidr,(FIND("/",mgmt_az1_vsan_cidr)-1)))</f>
        <v>192.168.20.0</v>
      </c>
      <c r="H41" s="17" t="s">
        <v>407</v>
      </c>
      <c r="I41" s="337" t="str">
        <f>IF(ISBLANK(input_wld_az1_principal_storage_network),"Value Missing",input_wld_az1_principal_storage_network)</f>
        <v>Value Missing</v>
      </c>
      <c r="K41" s="17" t="str">
        <f>CONCATENATE("Principal Storage Network ",wld_principal_storage_chosen)</f>
        <v>Principal Storage Network vSAN-ESA</v>
      </c>
      <c r="L41" s="337" t="str">
        <f>IF(ISBLANK(input_wld_az1_rack2_principal_storage_network),"Value Missing",input_wld_az1_rack2_principal_storage_network)</f>
        <v>Value Missing</v>
      </c>
      <c r="N41" s="17" t="str">
        <f>CONCATENATE("Principal Storage Network ",wld_principal_storage_chosen)</f>
        <v>Principal Storage Network vSAN-ESA</v>
      </c>
      <c r="O41" s="337" t="str">
        <f>IF(ISBLANK(input_wld_az1_rack3_principal_storage_network),"Value Missing",input_wld_az1_rack3_principal_storage_network)</f>
        <v>Value Missing</v>
      </c>
      <c r="Q41" s="17" t="str">
        <f>CONCATENATE("Principal Storage Network ",wld_principal_storage_chosen)</f>
        <v>Principal Storage Network vSAN-ESA</v>
      </c>
      <c r="R41" s="337" t="str">
        <f>IF(ISBLANK(input_wld_az1_rack4_principal_storage_network),"Value Missing",input_wld_az1_rack4_principal_storage_network)</f>
        <v>Value Missing</v>
      </c>
      <c r="T41" s="17" t="str">
        <f>CONCATENATE("Principal Storage Network ",wld_principal_storage_chosen)</f>
        <v>Principal Storage Network vSAN-ESA</v>
      </c>
      <c r="U41" s="337" t="str">
        <f>IF(ISBLANK(input_wld_az1_rack5_principal_storage_network),"Value Missing",input_wld_az1_rack5_principal_storage_network)</f>
        <v>Value Missing</v>
      </c>
      <c r="W41" s="17" t="str">
        <f>CONCATENATE("Principal Storage Network ",wld_principal_storage_chosen)</f>
        <v>Principal Storage Network vSAN-ESA</v>
      </c>
      <c r="X41" s="337" t="str">
        <f>IF(ISBLANK(input_wld_az1_rack6_principal_storage_network),"Value Missing",input_wld_az1_rack6_principal_storage_network)</f>
        <v>Value Missing</v>
      </c>
      <c r="Z41" s="17" t="str">
        <f>CONCATENATE("Principal Storage Network ",wld_principal_storage_chosen)</f>
        <v>Principal Storage Network vSAN-ESA</v>
      </c>
      <c r="AA41" s="337" t="str">
        <f>IF(ISBLANK(input_wld_az1_rack7_principal_storage_network),"Value Missing",input_wld_az1_rack7_principal_storage_network)</f>
        <v>Value Missing</v>
      </c>
      <c r="AC41" s="17" t="str">
        <f>CONCATENATE("Principal Storage Network ",wld_principal_storage_chosen)</f>
        <v>Principal Storage Network vSAN-ESA</v>
      </c>
      <c r="AD41" s="337" t="str">
        <f>IF(ISBLANK(input_wld_az1_rack8_principal_storage_network),"Value Missing",input_wld_az1_rack8_principal_storage_network)</f>
        <v>Value Missing</v>
      </c>
      <c r="AG41" s="8"/>
      <c r="AH41" s="8"/>
    </row>
    <row r="42" spans="2:34" s="2" customFormat="1" ht="20.100000000000001" customHeight="1" x14ac:dyDescent="0.2">
      <c r="E42" s="4" t="s">
        <v>1661</v>
      </c>
      <c r="F42" s="337" t="str">
        <f>IF(mgmt_az1_host_overlay_cidr="Value Missing",mgmt_az1_host_overlay_cidr,LEFT(mgmt_az1_host_overlay_cidr,(FIND("/",mgmt_az1_host_overlay_cidr)-1)))</f>
        <v>10.100.38.0</v>
      </c>
      <c r="H42" s="4" t="s">
        <v>1661</v>
      </c>
      <c r="I42" s="337" t="str">
        <f>IF(wld_az1_host_overlay_cidr="Value Missing","Value Missing",IF(ISBLANK(wld_az1_host_overlay_cidr),"Value Missing",LEFT(wld_az1_host_overlay_cidr,(FIND("/",wld_az1_host_overlay_cidr)-1))))</f>
        <v>Value Missing</v>
      </c>
      <c r="K42" s="4" t="s">
        <v>1661</v>
      </c>
      <c r="L42" s="337" t="str">
        <f>IF(ISBLANK(input_wld_az1_rack2_host_overlay_network),"Value Missing",input_wld_az1_rack2_host_overlay_network)</f>
        <v>Value Missing</v>
      </c>
      <c r="N42" s="4" t="s">
        <v>1661</v>
      </c>
      <c r="O42" s="337" t="str">
        <f>IF(ISBLANK(input_wld_az1_rack2_host_overlay_network),"Value Missing",input_wld_az1_rack3_host_overlay_network)</f>
        <v>Value Missing</v>
      </c>
      <c r="Q42" s="4" t="s">
        <v>1661</v>
      </c>
      <c r="R42" s="337" t="str">
        <f>IF(ISBLANK(input_wld_az1_rack4_host_overlay_network),"Value Missing",input_wld_az1_rack4_host_overlay_network)</f>
        <v>Value Missing</v>
      </c>
      <c r="T42" s="4" t="s">
        <v>1661</v>
      </c>
      <c r="U42" s="337" t="str">
        <f>IF(ISBLANK(input_wld_az1_rack5_host_overlay_network),"Value Missing",input_wld_az1_rack5_host_overlay_network)</f>
        <v>Value Missing</v>
      </c>
      <c r="W42" s="4" t="s">
        <v>1661</v>
      </c>
      <c r="X42" s="337" t="str">
        <f>IF(ISBLANK(input_wld_az1_rack6_host_overlay_network),"Value Missing",input_wld_az1_rack6_host_overlay_network)</f>
        <v>Value Missing</v>
      </c>
      <c r="Z42" s="4" t="s">
        <v>1661</v>
      </c>
      <c r="AA42" s="337" t="str">
        <f>IF(ISBLANK(input_wld_az1_rack7_host_overlay_network),"Value Missing",input_wld_az1_rack7_host_overlay_network)</f>
        <v>Value Missing</v>
      </c>
      <c r="AC42" s="4" t="s">
        <v>1661</v>
      </c>
      <c r="AD42" s="337" t="str">
        <f>IF(ISBLANK(input_wld_az1_rack8_host_overlay_network),"Value Missing",input_wld_az1_rack8_host_overlay_network)</f>
        <v>Value Missing</v>
      </c>
      <c r="AG42" s="8"/>
      <c r="AH42" s="8"/>
    </row>
    <row r="43" spans="2:34" s="2" customFormat="1" ht="20.100000000000001" customHeight="1" x14ac:dyDescent="0.2">
      <c r="B43" s="569" t="s">
        <v>299</v>
      </c>
      <c r="C43" s="570"/>
      <c r="E43" s="18" t="s">
        <v>1662</v>
      </c>
      <c r="F43" s="337" t="str">
        <f>IF(mgmt_az1_secondary_storage_cidr="Value Missing",mgmt_az1_secondary_storage_cidr,LEFT(mgmt_az1_secondary_storage_cidr,(FIND("/",mgmt_az1_secondary_storage_cidr)-1)))</f>
        <v>Value Missing</v>
      </c>
      <c r="H43" s="4" t="s">
        <v>1662</v>
      </c>
      <c r="I43" s="337" t="str">
        <f>IF(ISBLANK(input_wld_az1_secondary_storage_network),"Value Missing",input_wld_az1_secondary_storage_network)</f>
        <v>Value Missing</v>
      </c>
      <c r="K43" s="22" t="s">
        <v>1231</v>
      </c>
      <c r="L43" s="337"/>
      <c r="N43" s="22" t="s">
        <v>1231</v>
      </c>
      <c r="O43" s="337"/>
      <c r="Q43" s="22" t="s">
        <v>1231</v>
      </c>
      <c r="R43" s="337"/>
      <c r="T43" s="22" t="s">
        <v>1231</v>
      </c>
      <c r="U43" s="337"/>
      <c r="W43" s="22" t="s">
        <v>1231</v>
      </c>
      <c r="X43" s="337"/>
      <c r="Z43" s="22" t="s">
        <v>1231</v>
      </c>
      <c r="AA43" s="337"/>
      <c r="AC43" s="22" t="s">
        <v>1231</v>
      </c>
      <c r="AD43" s="337"/>
      <c r="AG43" s="8"/>
      <c r="AH43" s="8"/>
    </row>
    <row r="44" spans="2:34" s="2" customFormat="1" ht="20.100000000000001" customHeight="1" x14ac:dyDescent="0.2">
      <c r="B44" s="11" t="s">
        <v>259</v>
      </c>
      <c r="C44" s="12" t="s">
        <v>138</v>
      </c>
      <c r="E44" s="18"/>
      <c r="F44" s="337"/>
      <c r="H44" s="4" t="s">
        <v>1231</v>
      </c>
      <c r="I44" s="337" t="str">
        <f>IF(ISBLANK(input_wld_az1_storage_cluster_network),"Value Missing",input_wld_az1_storage_cluster_network)</f>
        <v>Value Missing</v>
      </c>
      <c r="K44" s="18" t="s">
        <v>1662</v>
      </c>
      <c r="L44" s="337" t="str">
        <f>IF(ISBLANK(input_wld_az1_rack2_secondary_storage_network),"Value Missing",input_wld_az1_rack2_secondary_storage_network)</f>
        <v>Value Missing</v>
      </c>
      <c r="N44" s="18" t="s">
        <v>1662</v>
      </c>
      <c r="O44" s="337" t="str">
        <f>IF(ISBLANK(input_wld_az1_rack3_secondary_storage_network),"Value Missing",input_wld_az1_rack3_secondary_storage_network)</f>
        <v>Value Missing</v>
      </c>
      <c r="Q44" s="18" t="s">
        <v>1662</v>
      </c>
      <c r="R44" s="337" t="str">
        <f>IF(ISBLANK(input_wld_az1_rack4_secondary_storage_network),"Value Missing",input_wld_az1_rack4_secondary_storage_network)</f>
        <v>Value Missing</v>
      </c>
      <c r="T44" s="18" t="s">
        <v>1662</v>
      </c>
      <c r="U44" s="337" t="str">
        <f>IF(ISBLANK(input_wld_az1_rack5_secondary_storage_network),"Value Missing",input_wld_az1_rack5_secondary_storage_network)</f>
        <v>Value Missing</v>
      </c>
      <c r="W44" s="18" t="s">
        <v>1662</v>
      </c>
      <c r="X44" s="337" t="str">
        <f>IF(ISBLANK(input_wld_az1_rack6_secondary_storage_network),"Value Missing",input_wld_az1_rack6_secondary_storage_network)</f>
        <v>Value Missing</v>
      </c>
      <c r="Z44" s="18" t="s">
        <v>1662</v>
      </c>
      <c r="AA44" s="337" t="str">
        <f>IF(ISBLANK(input_wld_az1_rack7_secondary_storage_network),"Value Missing",input_wld_az1_rack7_secondary_storage_network)</f>
        <v>Value Missing</v>
      </c>
      <c r="AC44" s="18" t="s">
        <v>1662</v>
      </c>
      <c r="AD44" s="337" t="str">
        <f>IF(ISBLANK(input_wld_az1_rack8_secondary_storage_network),"Value Missing",input_wld_az1_rack8_secondary_storage_network)</f>
        <v>Value Missing</v>
      </c>
      <c r="AG44" s="8"/>
      <c r="AH44" s="8"/>
    </row>
    <row r="45" spans="2:34" s="2" customFormat="1" ht="20.100000000000001" customHeight="1" x14ac:dyDescent="0.2">
      <c r="B45" s="4" t="s">
        <v>527</v>
      </c>
      <c r="C45" s="337" t="str">
        <f>IF(ISBLANK(mgmt_vc_fqdn),"Value Missing",mgmt_vc_fqdn)</f>
        <v>labvcvcf01v.vcf.lab.local</v>
      </c>
      <c r="E45" s="4" t="s">
        <v>1664</v>
      </c>
      <c r="F45" s="337" t="str">
        <f>IF(mgmt_az1_uplink01_cidr="Value Missing",mgmt_az1_uplink01_cidr,LEFT(mgmt_az1_uplink01_cidr,(FIND("/",mgmt_az1_uplink01_cidr)-1)))</f>
        <v>Value Missing</v>
      </c>
      <c r="H45" s="4" t="s">
        <v>1664</v>
      </c>
      <c r="I45" s="337" t="str">
        <f>IF(wld_az1_uplink01_cidr="Value Missing",wld_az1_uplink01_cidr,IF(ISBLANK(wld_az1_uplink01_cidr),"Value Missing",LEFT(wld_az1_uplink01_cidr,(FIND("/",wld_az1_uplink01_cidr)-1))))</f>
        <v>Value Missing</v>
      </c>
      <c r="K45" s="4" t="s">
        <v>1664</v>
      </c>
      <c r="L45" s="337" t="str">
        <f>IF(ISBLANK(input_wld_az1_rack2_uplink01_network),"Value Missing",input_wld_az1_rack2_uplink01_network)</f>
        <v>Value Missing</v>
      </c>
      <c r="N45" s="4" t="s">
        <v>1664</v>
      </c>
      <c r="O45" s="337" t="str">
        <f>IF(ISBLANK(input_wld_az1_rack3_uplink01_network),"Value Missing",input_wld_az1_rack3_uplink01_network)</f>
        <v>Value Missing</v>
      </c>
      <c r="Q45" s="4" t="s">
        <v>1664</v>
      </c>
      <c r="R45" s="337" t="str">
        <f>IF(ISBLANK(input_wld_az1_rack4_uplink01_network),"Value Missing",input_wld_az1_rack4_uplink01_network)</f>
        <v>Value Missing</v>
      </c>
      <c r="T45" s="4" t="s">
        <v>1664</v>
      </c>
      <c r="U45" s="337" t="str">
        <f>IF(ISBLANK(input_wld_az1_rack5_uplink01_network),"Value Missing",input_wld_az1_rack5_uplink01_network)</f>
        <v>Value Missing</v>
      </c>
      <c r="W45" s="4" t="s">
        <v>1664</v>
      </c>
      <c r="X45" s="337" t="str">
        <f>IF(ISBLANK(input_wld_az1_rack6_uplink01_network),"Value Missing",input_wld_az1_rack6_uplink01_network)</f>
        <v>Value Missing</v>
      </c>
      <c r="Z45" s="4" t="s">
        <v>1664</v>
      </c>
      <c r="AA45" s="337" t="str">
        <f>IF(ISBLANK(input_wld_az1_rack7_uplink01_network),"Value Missing",input_wld_az1_rack7_uplink01_network)</f>
        <v>Value Missing</v>
      </c>
      <c r="AC45" s="4" t="s">
        <v>1664</v>
      </c>
      <c r="AD45" s="337" t="str">
        <f>IF(ISBLANK(input_wld_az1_rack8_uplink01_network),"Value Missing",input_wld_az1_rack8_uplink01_network)</f>
        <v>Value Missing</v>
      </c>
      <c r="AG45" s="8"/>
      <c r="AH45" s="8"/>
    </row>
    <row r="46" spans="2:34" s="2" customFormat="1" ht="20.100000000000001" customHeight="1" x14ac:dyDescent="0.2">
      <c r="B46" s="4" t="s">
        <v>350</v>
      </c>
      <c r="C46" s="337" t="str">
        <f>mgmt_vcenter_appliance_size_chosen</f>
        <v>Small</v>
      </c>
      <c r="E46" s="4" t="s">
        <v>1665</v>
      </c>
      <c r="F46" s="337" t="str">
        <f>IF(mgmt_az1_uplink02_cidr="Value Missing",mgmt_az1_uplink02_cidr,LEFT(mgmt_az1_uplink02_cidr,(FIND("/",mgmt_az1_uplink02_cidr)-1)))</f>
        <v>Value Missing</v>
      </c>
      <c r="H46" s="4" t="s">
        <v>1665</v>
      </c>
      <c r="I46" s="337" t="str">
        <f>IF(wld_az1_uplink02_cidr="Value Missing",wld_az1_uplink02_cidr,IF(ISBLANK(wld_az1_uplink02_cidr),"Value Missing",LEFT(wld_az1_uplink02_cidr,(FIND("/",wld_az1_uplink02_cidr)-1))))</f>
        <v>Value Missing</v>
      </c>
      <c r="K46" s="4" t="s">
        <v>1665</v>
      </c>
      <c r="L46" s="337" t="str">
        <f>IF(ISBLANK(input_wld_az1_rack2_uplink02_network),"Value Missing",input_wld_az1_rack2_uplink02_network)</f>
        <v>Value Missing</v>
      </c>
      <c r="N46" s="4" t="s">
        <v>1665</v>
      </c>
      <c r="O46" s="337" t="str">
        <f>IF(ISBLANK(input_wld_az1_rack3_uplink02_network),"Value Missing",input_wld_az1_rack3_uplink02_network)</f>
        <v>Value Missing</v>
      </c>
      <c r="Q46" s="4" t="s">
        <v>1665</v>
      </c>
      <c r="R46" s="337" t="str">
        <f>IF(ISBLANK(input_wld_az1_rack4_uplink02_network),"Value Missing",input_wld_az1_rack4_uplink02_network)</f>
        <v>Value Missing</v>
      </c>
      <c r="T46" s="4" t="s">
        <v>1665</v>
      </c>
      <c r="U46" s="337" t="str">
        <f>IF(ISBLANK(input_wld_az1_rack5_uplink02_network),"Value Missing",input_wld_az1_rack5_uplink02_network)</f>
        <v>Value Missing</v>
      </c>
      <c r="W46" s="4" t="s">
        <v>1665</v>
      </c>
      <c r="X46" s="337" t="str">
        <f>IF(ISBLANK(input_wld_az1_rack6_uplink02_network),"Value Missing",input_wld_az1_rack6_uplink02_network)</f>
        <v>Value Missing</v>
      </c>
      <c r="Z46" s="4" t="s">
        <v>1665</v>
      </c>
      <c r="AA46" s="337" t="str">
        <f>IF(ISBLANK(input_wld_az1_rack7_uplink02_network),"Value Missing",input_wld_az1_rack7_uplink02_network)</f>
        <v>Value Missing</v>
      </c>
      <c r="AC46" s="4" t="s">
        <v>1665</v>
      </c>
      <c r="AD46" s="337" t="str">
        <f>IF(ISBLANK(input_wld_az1_rack8_uplink02_network),"Value Missing",input_wld_az1_rack8_uplink02_network)</f>
        <v>Value Missing</v>
      </c>
      <c r="AG46" s="8"/>
    </row>
    <row r="47" spans="2:34" s="2" customFormat="1" ht="20.100000000000001" customHeight="1" x14ac:dyDescent="0.2">
      <c r="B47" s="4" t="s">
        <v>351</v>
      </c>
      <c r="C47" s="337" t="str">
        <f>sizing_m01_vcenter_storage_size_chosen</f>
        <v>Default</v>
      </c>
      <c r="E47" s="4" t="s">
        <v>1667</v>
      </c>
      <c r="F47" s="337" t="str">
        <f>IF(mgmt_az1_edge_overlay_cidr="Value Missing",mgmt_az1_edge_overlay_cidr,(LEFT(mgmt_az1_edge_overlay_cidr,(FIND("/",mgmt_az1_edge_overlay_cidr)-1))))</f>
        <v>Value Missing</v>
      </c>
      <c r="H47" s="4" t="s">
        <v>1667</v>
      </c>
      <c r="I47" s="337" t="str">
        <f>IF(wld_az1_edge_overlay_cidr="Value Missing",wld_az1_edge_overlay_cidr,IF(ISBLANK(wld_az1_edge_overlay_cidr),"Value Missing",LEFT(wld_az1_edge_overlay_cidr,(FIND("/",wld_az1_edge_overlay_cidr)-1))))</f>
        <v>Value Missing</v>
      </c>
      <c r="K47" s="4" t="s">
        <v>1667</v>
      </c>
      <c r="L47" s="337" t="str">
        <f>IF(ISBLANK(input_wld_az1_rack2_edge_overlay_network),"Value Missing",input_wld_az1_rack2_edge_overlay_network)</f>
        <v>Value Missing</v>
      </c>
      <c r="N47" s="4" t="s">
        <v>1667</v>
      </c>
      <c r="O47" s="337" t="str">
        <f>IF(ISBLANK(input_wld_az1_rack3_edge_overlay_network),"Value Missing",input_wld_az1_rack3_edge_overlay_network)</f>
        <v>Value Missing</v>
      </c>
      <c r="Q47" s="4" t="s">
        <v>1667</v>
      </c>
      <c r="R47" s="337" t="str">
        <f>IF(ISBLANK(input_wld_az1_rack4_edge_overlay_network),"Value Missing",input_wld_az1_rack4_edge_overlay_network)</f>
        <v>Value Missing</v>
      </c>
      <c r="T47" s="4" t="s">
        <v>1667</v>
      </c>
      <c r="U47" s="337" t="str">
        <f>IF(ISBLANK(input_wld_az1_rack5_edge_overlay_network),"Value Missing",input_wld_az1_rack5_edge_overlay_network)</f>
        <v>Value Missing</v>
      </c>
      <c r="W47" s="4" t="s">
        <v>1667</v>
      </c>
      <c r="X47" s="337" t="str">
        <f>IF(ISBLANK(input_wld_az1_rack6_edge_overlay_network),"Value Missing",input_wld_az1_rack6_edge_overlay_network)</f>
        <v>Value Missing</v>
      </c>
      <c r="Z47" s="4" t="s">
        <v>1667</v>
      </c>
      <c r="AA47" s="337" t="str">
        <f>IF(ISBLANK(input_wld_az1_rack7_edge_overlay_network),"Value Missing",input_wld_az1_rack7_edge_overlay_network)</f>
        <v>Value Missing</v>
      </c>
      <c r="AC47" s="4" t="s">
        <v>1667</v>
      </c>
      <c r="AD47" s="337" t="str">
        <f>IF(ISBLANK(input_wld_az1_rack8_edge_overlay_network),"Value Missing",input_wld_az1_rack8_edge_overlay_network)</f>
        <v>Value Missing</v>
      </c>
      <c r="AG47" s="8"/>
    </row>
    <row r="48" spans="2:34" s="2" customFormat="1" ht="20.100000000000001" customHeight="1" x14ac:dyDescent="0.2">
      <c r="B48" s="4" t="s">
        <v>1703</v>
      </c>
      <c r="C48" s="337" t="str">
        <f>IF(ISBLANK(input_mgmt_datacenter),"Value Missing",input_mgmt_datacenter)</f>
        <v>Site01</v>
      </c>
      <c r="E48" s="4" t="s">
        <v>1669</v>
      </c>
      <c r="F48" s="337" t="str">
        <f>IF(mgmt_az1_rtep_overlay_cidr="Value Missing",mgmt_az1_rtep_overlay_cidr,(LEFT(mgmt_az1_rtep_overlay_cidr,(FIND("/",mgmt_az1_rtep_overlay_cidr)-1))))</f>
        <v>Value Missing</v>
      </c>
      <c r="H48" s="4" t="s">
        <v>1669</v>
      </c>
      <c r="I48" s="337" t="str">
        <f>IF(wld_az1_rtep_overlay_cidr="Value Missing",wld_az1_rtep_overlay_cidr,(LEFT(wld_az1_rtep_overlay_cidr,(FIND("/",wld_az1_rtep_overlay_cidr)-1))))</f>
        <v>Value Missing</v>
      </c>
      <c r="K48" s="4" t="s">
        <v>1669</v>
      </c>
      <c r="N48" s="4" t="s">
        <v>1669</v>
      </c>
      <c r="Q48" s="4" t="s">
        <v>1669</v>
      </c>
      <c r="T48" s="4" t="s">
        <v>1669</v>
      </c>
      <c r="W48" s="4" t="s">
        <v>1669</v>
      </c>
      <c r="Z48" s="4" t="s">
        <v>1669</v>
      </c>
      <c r="AC48" s="4" t="s">
        <v>1669</v>
      </c>
      <c r="AG48" s="8"/>
    </row>
    <row r="49" spans="2:34" s="2" customFormat="1" ht="20.100000000000001" customHeight="1" x14ac:dyDescent="0.2">
      <c r="B49" s="4" t="s">
        <v>1704</v>
      </c>
      <c r="C49" s="337" t="str">
        <f>IF(ISBLANK(input_mgmt_cl01_cluster),"Value Missing",input_mgmt_cl01_cluster)</f>
        <v>vcf-mgmt-cluster01</v>
      </c>
      <c r="E49" s="4" t="s">
        <v>1671</v>
      </c>
      <c r="F49" s="337"/>
      <c r="H49" s="4" t="s">
        <v>1671</v>
      </c>
      <c r="I49" s="337" t="str">
        <f>IF(wld_az1_vrms_cidr="Value Missing",wld_az1_vrms_cidr,(LEFT(wld_az1_vrms_cidr,(FIND("/",wld_az1_vrms_cidr)-1))))</f>
        <v>Value Missing</v>
      </c>
      <c r="K49" s="4" t="s">
        <v>1671</v>
      </c>
      <c r="N49" s="4" t="s">
        <v>1671</v>
      </c>
      <c r="Q49" s="4" t="s">
        <v>1671</v>
      </c>
      <c r="T49" s="4" t="s">
        <v>1671</v>
      </c>
      <c r="W49" s="4" t="s">
        <v>1671</v>
      </c>
      <c r="Z49" s="4" t="s">
        <v>1671</v>
      </c>
      <c r="AC49" s="4" t="s">
        <v>1671</v>
      </c>
      <c r="AG49" s="8"/>
    </row>
    <row r="50" spans="2:34" s="2" customFormat="1" ht="20.100000000000001" customHeight="1" x14ac:dyDescent="0.2">
      <c r="Q50" s="7"/>
      <c r="R50" s="7"/>
      <c r="AG50" s="8"/>
    </row>
    <row r="51" spans="2:34" s="2" customFormat="1" ht="20.100000000000001" customHeight="1" x14ac:dyDescent="0.2">
      <c r="B51" s="569" t="s">
        <v>706</v>
      </c>
      <c r="C51" s="570"/>
      <c r="E51" s="377" t="s">
        <v>1705</v>
      </c>
      <c r="F51" s="378"/>
      <c r="H51" s="377" t="s">
        <v>1706</v>
      </c>
      <c r="I51" s="378"/>
      <c r="K51" s="377" t="s">
        <v>1707</v>
      </c>
      <c r="L51" s="378"/>
      <c r="N51" s="377" t="s">
        <v>1708</v>
      </c>
      <c r="O51" s="378"/>
      <c r="Q51" s="377" t="s">
        <v>1709</v>
      </c>
      <c r="R51" s="378"/>
      <c r="T51" s="377" t="s">
        <v>1710</v>
      </c>
      <c r="U51" s="378"/>
      <c r="W51" s="377" t="s">
        <v>1711</v>
      </c>
      <c r="X51" s="378"/>
      <c r="Z51" s="377" t="s">
        <v>1712</v>
      </c>
      <c r="AA51" s="378"/>
      <c r="AC51" s="377" t="s">
        <v>1713</v>
      </c>
      <c r="AD51" s="378"/>
      <c r="AG51" s="8"/>
    </row>
    <row r="52" spans="2:34" s="2" customFormat="1" ht="20.100000000000001" customHeight="1" x14ac:dyDescent="0.2">
      <c r="B52" s="11" t="s">
        <v>259</v>
      </c>
      <c r="C52" s="12" t="s">
        <v>138</v>
      </c>
      <c r="E52" s="36" t="s">
        <v>259</v>
      </c>
      <c r="F52" s="37" t="s">
        <v>1652</v>
      </c>
      <c r="H52" s="36" t="s">
        <v>259</v>
      </c>
      <c r="I52" s="37" t="s">
        <v>1652</v>
      </c>
      <c r="K52" s="36" t="s">
        <v>259</v>
      </c>
      <c r="L52" s="37" t="s">
        <v>1652</v>
      </c>
      <c r="N52" s="36" t="s">
        <v>259</v>
      </c>
      <c r="O52" s="37" t="s">
        <v>1652</v>
      </c>
      <c r="Q52" s="36" t="s">
        <v>259</v>
      </c>
      <c r="R52" s="37" t="s">
        <v>1652</v>
      </c>
      <c r="T52" s="36" t="s">
        <v>259</v>
      </c>
      <c r="U52" s="37" t="s">
        <v>1652</v>
      </c>
      <c r="W52" s="36" t="s">
        <v>259</v>
      </c>
      <c r="X52" s="37" t="s">
        <v>1652</v>
      </c>
      <c r="Z52" s="36" t="s">
        <v>259</v>
      </c>
      <c r="AA52" s="37" t="s">
        <v>1652</v>
      </c>
      <c r="AC52" s="36" t="s">
        <v>259</v>
      </c>
      <c r="AD52" s="37" t="s">
        <v>1652</v>
      </c>
      <c r="AG52" s="8"/>
    </row>
    <row r="53" spans="2:34" s="2" customFormat="1" ht="20.100000000000001" customHeight="1" x14ac:dyDescent="0.2">
      <c r="B53" s="337" t="s">
        <v>350</v>
      </c>
      <c r="C53" s="337" t="str">
        <f>sizing_m01_nsxt_appliance_size</f>
        <v>Medium</v>
      </c>
      <c r="E53" s="22" t="s">
        <v>1655</v>
      </c>
      <c r="F53" s="337" t="str">
        <f>IF(mgmt_az1_mgmt_vm_cidr="Value Missing",mgmt_az1_mgmt_vm_cidr,VLOOKUP(INT(RIGHT(mgmt_az1_mgmt_vm_cidr,LEN(mgmt_az1_mgmt_vm_cidr)-FIND("/",mgmt_az1_mgmt_vm_cidr))),table_cidr_to_mask,2,FALSE))</f>
        <v>255.255.255.0</v>
      </c>
      <c r="H53" s="22" t="s">
        <v>1655</v>
      </c>
      <c r="I53" s="356" t="str">
        <f>IF(ISBLANK(input_wld_az1_mgmt_vm_cidr),"Value Missing",VLOOKUP(INT(RIGHT(input_wld_az1_mgmt_vm_cidr,LEN(input_wld_az1_mgmt_vm_cidr)-FIND("/",input_wld_az1_mgmt_vm_cidr))),table_cidr_to_mask,2,FALSE))</f>
        <v>Value Missing</v>
      </c>
      <c r="K53" s="22" t="s">
        <v>1655</v>
      </c>
      <c r="L53" s="356"/>
      <c r="N53" s="22" t="s">
        <v>1655</v>
      </c>
      <c r="O53" s="356"/>
      <c r="Q53" s="22" t="s">
        <v>1655</v>
      </c>
      <c r="R53" s="356"/>
      <c r="T53" s="22" t="s">
        <v>1655</v>
      </c>
      <c r="U53" s="356"/>
      <c r="W53" s="22" t="s">
        <v>1655</v>
      </c>
      <c r="X53" s="356"/>
      <c r="Z53" s="22" t="s">
        <v>1655</v>
      </c>
      <c r="AA53" s="356"/>
      <c r="AC53" s="22" t="s">
        <v>1655</v>
      </c>
      <c r="AD53" s="356"/>
      <c r="AG53" s="8"/>
    </row>
    <row r="54" spans="2:34" s="2" customFormat="1" ht="20.100000000000001" customHeight="1" x14ac:dyDescent="0.2">
      <c r="B54" s="337" t="s">
        <v>360</v>
      </c>
      <c r="C54" s="337" t="str">
        <f>IF(ISBLANK(mgmt_nsxt_mgra_fqdn),"Value Missing",mgmt_nsxt_mgra_fqdn)</f>
        <v>labnsxmanager01v.vcf.lab.local</v>
      </c>
      <c r="E54" s="22" t="s">
        <v>1657</v>
      </c>
      <c r="F54" s="337" t="str">
        <f>IF(mgmt_az1_mgmt_cidr="Value Missing",mgmt_az1_mgmt_cidr,VLOOKUP(INT(RIGHT(mgmt_az1_mgmt_cidr,LEN(mgmt_az1_mgmt_cidr)-FIND("/",mgmt_az1_mgmt_cidr))),table_cidr_to_mask,2,FALSE))</f>
        <v>255.255.255.0</v>
      </c>
      <c r="H54" s="22" t="s">
        <v>1657</v>
      </c>
      <c r="I54" s="337" t="str">
        <f>IF(wld_az1_mgmt_cidr="Value Missing","Value Missing",IF(ISBLANK(wld_az1_mgmt_cidr),"Value Missing",VLOOKUP(INT(RIGHT(wld_az1_mgmt_cidr,LEN(wld_az1_mgmt_cidr)-FIND("/",wld_az1_mgmt_cidr))),table_cidr_to_mask,2,FALSE)))</f>
        <v>Value Missing</v>
      </c>
      <c r="K54" s="22" t="s">
        <v>1657</v>
      </c>
      <c r="L54" s="337" t="str">
        <f>IF(wld_az1_rack2_mgmt_cidr="Value Missing","Value Missing",IF(ISBLANK(wld_az1_rack2_mgmt_cidr),"Value Missing",VLOOKUP(INT(RIGHT(wld_az1_rack2_mgmt_cidr,LEN(wld_az1_rack2_mgmt_cidr)-FIND("/",wld_az1_rack2_mgmt_cidr))),table_cidr_to_mask,2,FALSE)))</f>
        <v>Value Missing</v>
      </c>
      <c r="N54" s="22" t="s">
        <v>1657</v>
      </c>
      <c r="O54" s="337" t="str">
        <f>IF(wld_az1_rack3_mgmt_cidr="Value Missing","Value Missing",IF(ISBLANK(wld_az1_rack3_mgmt_cidr),"Value Missing",VLOOKUP(INT(RIGHT(wld_az1_rack3_mgmt_cidr,LEN(wld_az1_rack3_mgmt_cidr)-FIND("/",wld_az1_rack3_mgmt_cidr))),table_cidr_to_mask,2,FALSE)))</f>
        <v>Value Missing</v>
      </c>
      <c r="Q54" s="22" t="s">
        <v>1657</v>
      </c>
      <c r="R54" s="337" t="str">
        <f>IF(wld_az1_rack4_mgmt_cidr="Value Missing","Value Missing",IF(ISBLANK(wld_az1_rack4_mgmt_cidr),"Value Missing",VLOOKUP(INT(RIGHT(wld_az1_rack4_mgmt_cidr,LEN(wld_az1_rack4_mgmt_cidr)-FIND("/",wld_az1_rack4_mgmt_cidr))),table_cidr_to_mask,2,FALSE)))</f>
        <v>Value Missing</v>
      </c>
      <c r="T54" s="22" t="s">
        <v>1657</v>
      </c>
      <c r="U54" s="337" t="str">
        <f>IF(wld_az1_rack5_mgmt_cidr="Value Missing","Value Missing",IF(ISBLANK(wld_az1_rack5_mgmt_cidr),"Value Missing",VLOOKUP(INT(RIGHT(wld_az1_rack5_mgmt_cidr,LEN(wld_az1_rack5_mgmt_cidr)-FIND("/",wld_az1_rack5_mgmt_cidr))),table_cidr_to_mask,2,FALSE)))</f>
        <v>Value Missing</v>
      </c>
      <c r="W54" s="22" t="s">
        <v>1657</v>
      </c>
      <c r="X54" s="337" t="str">
        <f>IF(wld_az1_rack6_mgmt_cidr="Value Missing","Value Missing",IF(ISBLANK(wld_az1_rack6_mgmt_cidr),"Value Missing",VLOOKUP(INT(RIGHT(wld_az1_rack6_mgmt_cidr,LEN(wld_az1_rack6_mgmt_cidr)-FIND("/",wld_az1_rack6_mgmt_cidr))),table_cidr_to_mask,2,FALSE)))</f>
        <v>Value Missing</v>
      </c>
      <c r="Z54" s="22" t="s">
        <v>1657</v>
      </c>
      <c r="AA54" s="337" t="str">
        <f>IF(wld_az1_rack7_mgmt_cidr="Value Missing","Value Missing",IF(ISBLANK(wld_az1_rack7_mgmt_cidr),"Value Missing",VLOOKUP(INT(RIGHT(wld_az1_rack7_mgmt_cidr,LEN(wld_az1_rack7_mgmt_cidr)-FIND("/",wld_az1_rack7_mgmt_cidr))),table_cidr_to_mask,2,FALSE)))</f>
        <v>Value Missing</v>
      </c>
      <c r="AC54" s="22" t="s">
        <v>1657</v>
      </c>
      <c r="AD54" s="337" t="str">
        <f>IF(wld_az1_rack8_mgmt_cidr="Value Missing","Value Missing",IF(ISBLANK(wld_az1_rack8_mgmt_cidr),"Value Missing",VLOOKUP(INT(RIGHT(wld_az1_rack8_mgmt_cidr,LEN(wld_az1_rack8_mgmt_cidr)-FIND("/",wld_az1_rack8_mgmt_cidr))),table_cidr_to_mask,2,FALSE)))</f>
        <v>Value Missing</v>
      </c>
      <c r="AG54" s="8"/>
    </row>
    <row r="55" spans="2:34" s="2" customFormat="1" ht="20.100000000000001" customHeight="1" x14ac:dyDescent="0.2">
      <c r="B55" s="337" t="s">
        <v>361</v>
      </c>
      <c r="C55" s="337" t="str">
        <f>IF(ISBLANK(mgmt_nsxt_mgrb_fqdn),"Value Missing",mgmt_nsxt_mgrb_fqdn)</f>
        <v>labnsxmanager02v.vcf.lab.local</v>
      </c>
      <c r="E55" s="22" t="s">
        <v>404</v>
      </c>
      <c r="F55" s="337" t="str">
        <f>IF(mgmt_az1_vmotion_cidr="Value Missing",mgmt_az1_vmotion_cidr,VLOOKUP(INT(RIGHT(mgmt_az1_vmotion_cidr,LEN(mgmt_az1_vmotion_cidr)-FIND("/",mgmt_az1_vmotion_cidr))),table_cidr_to_mask,2,FALSE))</f>
        <v>255.255.255.0</v>
      </c>
      <c r="H55" s="22" t="s">
        <v>404</v>
      </c>
      <c r="I55" s="337" t="str">
        <f>IF(ISBLANK(input_wld_az1_vmotion_mask),"Value Missing",input_wld_az1_vmotion_mask)</f>
        <v>Value Missing</v>
      </c>
      <c r="K55" s="22" t="s">
        <v>404</v>
      </c>
      <c r="L55" s="337" t="str">
        <f>IF(ISBLANK(input_wld_az1_rack2_vmotion_mask),"Value Missing",input_wld_az1_rack2_vmotion_mask)</f>
        <v>Value Missing</v>
      </c>
      <c r="N55" s="22" t="s">
        <v>404</v>
      </c>
      <c r="O55" s="337" t="str">
        <f>IF(ISBLANK(input_wld_az1_rack3_vmotion_mask),"Value Missing",input_wld_az1_rack3_vmotion_mask)</f>
        <v>Value Missing</v>
      </c>
      <c r="Q55" s="22" t="s">
        <v>404</v>
      </c>
      <c r="R55" s="337" t="str">
        <f>IF(ISBLANK(input_wld_az1_rack4_vmotion_mask),"Value Missing",input_wld_az1_rack4_vmotion_mask)</f>
        <v>Value Missing</v>
      </c>
      <c r="T55" s="22" t="s">
        <v>404</v>
      </c>
      <c r="U55" s="337" t="str">
        <f>IF(ISBLANK(input_wld_az1_rack5_vmotion_mask),"Value Missing",input_wld_az1_rack5_vmotion_mask)</f>
        <v>Value Missing</v>
      </c>
      <c r="W55" s="22" t="s">
        <v>404</v>
      </c>
      <c r="X55" s="337" t="str">
        <f>IF(ISBLANK(input_wld_az1_rack6_vmotion_mask),"Value Missing",input_wld_az1_rack6_vmotion_mask)</f>
        <v>Value Missing</v>
      </c>
      <c r="Z55" s="22" t="s">
        <v>404</v>
      </c>
      <c r="AA55" s="337" t="str">
        <f>IF(ISBLANK(input_wld_az1_rack7_vmotion_mask),"Value Missing",input_wld_az1_rack7_vmotion_mask)</f>
        <v>Value Missing</v>
      </c>
      <c r="AC55" s="22" t="s">
        <v>404</v>
      </c>
      <c r="AD55" s="337" t="str">
        <f>IF(ISBLANK(input_wld_az1_rack8_vmotion_mask),"Value Missing",input_wld_az1_rack8_vmotion_mask)</f>
        <v>Value Missing</v>
      </c>
      <c r="AG55" s="8"/>
    </row>
    <row r="56" spans="2:34" s="2" customFormat="1" ht="20.100000000000001" customHeight="1" x14ac:dyDescent="0.2">
      <c r="B56" s="337" t="s">
        <v>362</v>
      </c>
      <c r="C56" s="337" t="str">
        <f>IF(ISBLANK(mgmt_nsxt_mgrc_fqdn),"Value Missing",mgmt_nsxt_mgrc_fqdn)</f>
        <v>labnsxmanager03v.vcf.lab.local</v>
      </c>
      <c r="E56" s="22" t="s">
        <v>1714</v>
      </c>
      <c r="F56" s="337" t="str">
        <f>IF(mgmt_az1_vsan_cidr="Value Missing",mgmt_az1_vsan_cidr,VLOOKUP(INT(RIGHT(mgmt_az1_vsan_cidr,LEN(mgmt_az1_vsan_cidr)-FIND("/",mgmt_az1_vsan_cidr))),table_cidr_to_mask,2,FALSE))</f>
        <v>255.255.255.0</v>
      </c>
      <c r="H56" s="22" t="s">
        <v>1714</v>
      </c>
      <c r="I56" s="337" t="str">
        <f>IF(ISBLANK(input_wld_az1_principal_storage_mask),"Value Missing",input_wld_az1_principal_storage_mask)</f>
        <v>Value Missing</v>
      </c>
      <c r="K56" s="22" t="s">
        <v>1714</v>
      </c>
      <c r="L56" s="337" t="str">
        <f>IF(ISBLANK(input_wld_az1_rack2_principal_storage_mask),"Value Missing",input_wld_az1_rack2_principal_storage_mask)</f>
        <v>Value Missing</v>
      </c>
      <c r="N56" s="22" t="s">
        <v>1714</v>
      </c>
      <c r="O56" s="337" t="str">
        <f>IF(ISBLANK(input_wld_az1_rack3_principal_storage_mask),"Value Missing",input_wld_az1_rack3_principal_storage_mask)</f>
        <v>Value Missing</v>
      </c>
      <c r="Q56" s="22" t="s">
        <v>1714</v>
      </c>
      <c r="R56" s="337" t="str">
        <f>IF(ISBLANK(input_wld_az1_rack4_principal_storage_mask),"Value Missing",input_wld_az1_rack4_principal_storage_mask)</f>
        <v>Value Missing</v>
      </c>
      <c r="T56" s="22" t="s">
        <v>1714</v>
      </c>
      <c r="U56" s="337" t="str">
        <f>IF(ISBLANK(input_wld_az1_rack5_principal_storage_mask),"Value Missing",input_wld_az1_rack5_principal_storage_mask)</f>
        <v>Value Missing</v>
      </c>
      <c r="W56" s="22" t="s">
        <v>1714</v>
      </c>
      <c r="X56" s="337" t="str">
        <f>IF(ISBLANK(input_wld_az1_rack6_principal_storage_mask),"Value Missing",input_wld_az1_rack6_principal_storage_mask)</f>
        <v>Value Missing</v>
      </c>
      <c r="Z56" s="22" t="s">
        <v>1714</v>
      </c>
      <c r="AA56" s="337" t="str">
        <f>IF(ISBLANK(input_wld_az1_rack7_principal_storage_mask),"Value Missing",input_wld_az1_rack7_principal_storage_mask)</f>
        <v>Value Missing</v>
      </c>
      <c r="AC56" s="22" t="s">
        <v>1714</v>
      </c>
      <c r="AD56" s="337" t="str">
        <f>IF(ISBLANK(input_wld_az1_rack8_principal_storage_mask),"Value Missing",input_wld_az1_rack8_principal_storage_mask)</f>
        <v>Value Missing</v>
      </c>
      <c r="AG56" s="8"/>
    </row>
    <row r="57" spans="2:34" s="2" customFormat="1" ht="20.100000000000001" customHeight="1" x14ac:dyDescent="0.2">
      <c r="B57" s="337" t="s">
        <v>1218</v>
      </c>
      <c r="C57" s="337" t="str">
        <f>IF(ISBLANK(mgmt_nsxt_vip_fqdn),"Value Missing",mgmt_nsxt_vip_fqdn)</f>
        <v>nsx.vcf.lab.local</v>
      </c>
      <c r="E57" s="22" t="s">
        <v>1661</v>
      </c>
      <c r="F57" s="337" t="str">
        <f>IF(mgmt_az1_host_overlay_cidr="Value Missing",mgmt_az1_host_overlay_cidr,VLOOKUP(INT(RIGHT(mgmt_az1_host_overlay_cidr,LEN(mgmt_az1_host_overlay_cidr)-FIND("/",mgmt_az1_host_overlay_cidr))),table_cidr_to_mask,2,FALSE))</f>
        <v>255.255.255.0</v>
      </c>
      <c r="H57" s="22" t="s">
        <v>1661</v>
      </c>
      <c r="I57" s="337" t="str">
        <f>IF(wld_az1_host_overlay_cidr="Value Missing","Value Missing",VLOOKUP(INT(RIGHT(wld_az1_host_overlay_cidr,LEN(wld_az1_host_overlay_cidr)-FIND("/",wld_az1_host_overlay_cidr))),table_cidr_to_mask,2,FALSE))</f>
        <v>Value Missing</v>
      </c>
      <c r="K57" s="22" t="s">
        <v>1661</v>
      </c>
      <c r="L57" s="337" t="str">
        <f>IF(ISBLANK(input_wld_az1_rack2_host_overlay_mask),"Value Missing",input_wld_az1_rack2_host_overlay_mask)</f>
        <v>Value Missing</v>
      </c>
      <c r="N57" s="22" t="s">
        <v>1661</v>
      </c>
      <c r="O57" s="337" t="str">
        <f>IF(ISBLANK(input_wld_az1_rack3_host_overlay_mask),"Value Missing",input_wld_az1_rack3_host_overlay_mask)</f>
        <v>Value Missing</v>
      </c>
      <c r="Q57" s="22" t="s">
        <v>1661</v>
      </c>
      <c r="R57" s="337" t="str">
        <f>IF(ISBLANK(input_wld_az1_rack4_host_overlay_mask),"Value Missing",input_wld_az1_rack4_host_overlay_mask)</f>
        <v>Value Missing</v>
      </c>
      <c r="T57" s="22" t="s">
        <v>1661</v>
      </c>
      <c r="U57" s="337" t="str">
        <f>IF(ISBLANK(input_wld_az1_rack5_host_overlay_mask),"Value Missing",input_wld_az1_rack5_host_overlay_mask)</f>
        <v>Value Missing</v>
      </c>
      <c r="W57" s="22" t="s">
        <v>1661</v>
      </c>
      <c r="X57" s="337" t="str">
        <f>IF(ISBLANK(input_wld_az1_rack6_host_overlay_mask),"Value Missing",input_wld_az1_rack6_host_overlay_mask)</f>
        <v>Value Missing</v>
      </c>
      <c r="Z57" s="22" t="s">
        <v>1661</v>
      </c>
      <c r="AA57" s="337" t="str">
        <f>IF(ISBLANK(input_wld_az1_rack7_host_overlay_mask),"Value Missing",input_wld_az1_rack7_host_overlay_mask)</f>
        <v>Value Missing</v>
      </c>
      <c r="AC57" s="22" t="s">
        <v>1661</v>
      </c>
      <c r="AD57" s="337" t="str">
        <f>IF(ISBLANK(input_wld_az1_rack8_host_overlay_mask),"Value Missing",input_wld_az1_rack8_host_overlay_mask)</f>
        <v>Value Missing</v>
      </c>
      <c r="AG57" s="8"/>
    </row>
    <row r="58" spans="2:34" s="2" customFormat="1" ht="20.100000000000001" customHeight="1" x14ac:dyDescent="0.2">
      <c r="E58" s="22"/>
      <c r="F58" s="337"/>
      <c r="H58" s="22" t="s">
        <v>1662</v>
      </c>
      <c r="I58" s="337" t="str">
        <f>IF(ISBLANK(input_wld_az1_secondary_storage_mask),"Value Missing",input_wld_az1_secondary_storage_mask)</f>
        <v>Value Missing</v>
      </c>
      <c r="K58" s="22" t="s">
        <v>1662</v>
      </c>
      <c r="L58" s="337" t="str">
        <f>IF(ISBLANK(input_wld_az1_rack2_secondary_storage_mask),"Value Missing",input_wld_az1_rack2_secondary_storage_mask)</f>
        <v>Value Missing</v>
      </c>
      <c r="N58" s="22" t="s">
        <v>1662</v>
      </c>
      <c r="O58" s="337" t="str">
        <f>IF(ISBLANK(input_wld_az1_rack3_secondary_storage_mask),"Value Missing",input_wld_az1_rack3_secondary_storage_mask)</f>
        <v>Value Missing</v>
      </c>
      <c r="Q58" s="22" t="s">
        <v>1662</v>
      </c>
      <c r="R58" s="337" t="str">
        <f>IF(ISBLANK(input_wld_az1_rack4_secondary_storage_mask),"Value Missing",input_wld_az1_rack4_secondary_storage_mask)</f>
        <v>Value Missing</v>
      </c>
      <c r="T58" s="22" t="s">
        <v>1662</v>
      </c>
      <c r="U58" s="337" t="str">
        <f>IF(ISBLANK(input_wld_az1_rack5_secondary_storage_mask),"Value Missing",input_wld_az1_rack5_secondary_storage_mask)</f>
        <v>Value Missing</v>
      </c>
      <c r="W58" s="22" t="s">
        <v>1662</v>
      </c>
      <c r="X58" s="337" t="str">
        <f>IF(ISBLANK(input_wld_az1_rack6_secondary_storage_mask),"Value Missing",input_wld_az1_rack6_secondary_storage_mask)</f>
        <v>Value Missing</v>
      </c>
      <c r="Z58" s="22" t="s">
        <v>1662</v>
      </c>
      <c r="AA58" s="337" t="str">
        <f>IF(ISBLANK(input_wld_az1_rack7_secondary_storage_mask),"Value Missing",input_wld_az1_rack7_secondary_storage_mask)</f>
        <v>Value Missing</v>
      </c>
      <c r="AC58" s="22" t="s">
        <v>1662</v>
      </c>
      <c r="AD58" s="337" t="str">
        <f>IF(ISBLANK(input_wld_az1_rack8_secondary_storage_mask),"Value Missing",input_wld_az1_rack8_secondary_storage_mask)</f>
        <v>Value Missing</v>
      </c>
      <c r="AG58" s="8"/>
    </row>
    <row r="59" spans="2:34" s="2" customFormat="1" ht="20.100000000000001" customHeight="1" x14ac:dyDescent="0.2">
      <c r="B59" s="569" t="s">
        <v>184</v>
      </c>
      <c r="C59" s="570"/>
      <c r="E59" s="38" t="s">
        <v>1662</v>
      </c>
      <c r="F59" s="337" t="str">
        <f>IF(mgmt_az1_secondary_storage_cidr="Value Missing",mgmt_az1_secondary_storage_cidr,VLOOKUP(INT(RIGHT(mgmt_az1_secondary_storage_cidr,LEN(mgmt_az1_secondary_storage_cidr)-FIND("/",mgmt_az1_secondary_storage_cidr))),table_cidr_to_mask,2,FALSE))</f>
        <v>Value Missing</v>
      </c>
      <c r="H59" s="22" t="s">
        <v>1231</v>
      </c>
      <c r="I59" s="337" t="str">
        <f>IF(ISBLANK(input_wld_az1_storage_cluster_mask),"Value Missing",input_wld_az1_storage_cluster_mask)</f>
        <v>Value Missing</v>
      </c>
      <c r="K59" s="22" t="s">
        <v>1231</v>
      </c>
      <c r="L59" s="337"/>
      <c r="N59" s="22" t="s">
        <v>1231</v>
      </c>
      <c r="O59" s="337"/>
      <c r="Q59" s="22" t="s">
        <v>1231</v>
      </c>
      <c r="R59" s="337"/>
      <c r="T59" s="22" t="s">
        <v>1231</v>
      </c>
      <c r="U59" s="337"/>
      <c r="W59" s="22" t="s">
        <v>1231</v>
      </c>
      <c r="X59" s="337"/>
      <c r="Z59" s="22" t="s">
        <v>1231</v>
      </c>
      <c r="AA59" s="337"/>
      <c r="AC59" s="22" t="s">
        <v>1231</v>
      </c>
      <c r="AD59" s="337"/>
      <c r="AG59" s="8"/>
    </row>
    <row r="60" spans="2:34" s="2" customFormat="1" ht="20.100000000000001" customHeight="1" x14ac:dyDescent="0.2">
      <c r="B60" s="11" t="s">
        <v>259</v>
      </c>
      <c r="C60" s="12" t="s">
        <v>138</v>
      </c>
      <c r="E60" s="22" t="s">
        <v>1664</v>
      </c>
      <c r="F60" s="337" t="str">
        <f>IF(mgmt_az1_uplink01_cidr="Value Missing",mgmt_az1_uplink01_cidr,VLOOKUP(INT(RIGHT(mgmt_az1_uplink01_cidr,LEN(mgmt_az1_uplink01_cidr)-FIND("/",mgmt_az1_uplink01_cidr))),table_cidr_to_mask,2,FALSE))</f>
        <v>Value Missing</v>
      </c>
      <c r="H60" s="22" t="s">
        <v>1664</v>
      </c>
      <c r="I60" s="337" t="str">
        <f>IF(wld_az1_uplink01_cidr="Value Missing",wld_az1_uplink01_cidr,VLOOKUP(INT(RIGHT(wld_az1_uplink01_cidr,LEN(wld_az1_uplink01_cidr)-FIND("/",wld_az1_uplink01_cidr))),table_cidr_to_mask,2,FALSE))</f>
        <v>Value Missing</v>
      </c>
      <c r="K60" s="22" t="s">
        <v>1664</v>
      </c>
      <c r="L60" s="337" t="str">
        <f>IF(ISBLANK(input_wld_az1_rack2_uplink01_mask),"Value Missing",input_wld_az1_rack2_uplink01_mask)</f>
        <v>Value Missing</v>
      </c>
      <c r="N60" s="22" t="s">
        <v>1664</v>
      </c>
      <c r="O60" s="337" t="str">
        <f>IF(ISBLANK(input_wld_az1_rack3_uplink01_mask),"Value Missing",input_wld_az1_rack3_uplink01_mask)</f>
        <v>Value Missing</v>
      </c>
      <c r="Q60" s="22" t="s">
        <v>1664</v>
      </c>
      <c r="R60" s="337" t="str">
        <f>IF(ISBLANK(input_wld_az1_rack4_uplink01_mask),"Value Missing",input_wld_az1_rack4_uplink01_mask)</f>
        <v>Value Missing</v>
      </c>
      <c r="T60" s="22" t="s">
        <v>1664</v>
      </c>
      <c r="U60" s="337" t="str">
        <f>IF(ISBLANK(input_wld_az1_rack5_uplink01_mask),"Value Missing",input_wld_az1_rack5_uplink01_mask)</f>
        <v>Value Missing</v>
      </c>
      <c r="W60" s="22" t="s">
        <v>1664</v>
      </c>
      <c r="X60" s="337" t="str">
        <f>IF(ISBLANK(input_wld_az1_rack6_uplink01_mask),"Value Missing",input_wld_az1_rack6_uplink01_mask)</f>
        <v>Value Missing</v>
      </c>
      <c r="Z60" s="22" t="s">
        <v>1664</v>
      </c>
      <c r="AA60" s="337" t="str">
        <f>IF(ISBLANK(input_wld_az1_rack7_uplink01_mask),"Value Missing",input_wld_az1_rack7_uplink01_mask)</f>
        <v>Value Missing</v>
      </c>
      <c r="AC60" s="22" t="s">
        <v>1664</v>
      </c>
      <c r="AD60" s="337" t="str">
        <f>IF(ISBLANK(input_wld_az1_rack8_uplink01_mask),"Value Missing",input_wld_az1_rack8_uplink01_mask)</f>
        <v>Value Missing</v>
      </c>
      <c r="AG60" s="8"/>
    </row>
    <row r="61" spans="2:34" s="2" customFormat="1" ht="20.100000000000001" customHeight="1" x14ac:dyDescent="0.2">
      <c r="B61" s="337" t="s">
        <v>1715</v>
      </c>
      <c r="C61" s="337" t="str">
        <f>'Value Reference Tables'!R89</f>
        <v>labvcfopscollector01v</v>
      </c>
      <c r="E61" s="22" t="s">
        <v>1665</v>
      </c>
      <c r="F61" s="337" t="str">
        <f>IF(mgmt_az1_uplink02_cidr="Value Missing",mgmt_az1_uplink02_cidr,VLOOKUP(INT(RIGHT(mgmt_az1_uplink02_cidr,LEN(mgmt_az1_uplink02_cidr)-FIND("/",mgmt_az1_uplink02_cidr))),table_cidr_to_mask,2,FALSE))</f>
        <v>Value Missing</v>
      </c>
      <c r="H61" s="22" t="s">
        <v>1665</v>
      </c>
      <c r="I61" s="337" t="str">
        <f>IF(wld_az1_uplink02_cidr="Value Missing",wld_az1_uplink02_cidr,VLOOKUP(INT(RIGHT(wld_az1_uplink02_cidr,LEN(wld_az1_uplink02_cidr)-FIND("/",wld_az1_uplink02_cidr))),table_cidr_to_mask,2,FALSE))</f>
        <v>Value Missing</v>
      </c>
      <c r="K61" s="22" t="s">
        <v>1665</v>
      </c>
      <c r="L61" s="337" t="str">
        <f>IF(ISBLANK(input_wld_az1_rack2_uplink02_mask),"Value Missing",input_wld_az1_rack2_uplink02_mask)</f>
        <v>Value Missing</v>
      </c>
      <c r="N61" s="22" t="s">
        <v>1665</v>
      </c>
      <c r="O61" s="337" t="str">
        <f>IF(ISBLANK(input_wld_az1_rack3_uplink02_mask),"Value Missing",input_wld_az1_rack3_uplink02_mask)</f>
        <v>Value Missing</v>
      </c>
      <c r="Q61" s="22" t="s">
        <v>1665</v>
      </c>
      <c r="R61" s="337" t="str">
        <f>IF(ISBLANK(input_wld_az1_rack4_uplink02_mask),"Value Missing",input_wld_az1_rack4_uplink02_mask)</f>
        <v>Value Missing</v>
      </c>
      <c r="T61" s="22" t="s">
        <v>1665</v>
      </c>
      <c r="U61" s="337" t="str">
        <f>IF(ISBLANK(input_wld_az1_rack5_uplink02_mask),"Value Missing",input_wld_az1_rack5_uplink02_mask)</f>
        <v>Value Missing</v>
      </c>
      <c r="W61" s="22" t="s">
        <v>1665</v>
      </c>
      <c r="X61" s="337" t="str">
        <f>IF(ISBLANK(input_wld_az1_rack6_uplink02_mask),"Value Missing",input_wld_az1_rack6_uplink02_mask)</f>
        <v>Value Missing</v>
      </c>
      <c r="Z61" s="22" t="s">
        <v>1665</v>
      </c>
      <c r="AA61" s="337" t="str">
        <f>IF(ISBLANK(input_wld_az1_rack7_uplink02_mask),"Value Missing",input_wld_az1_rack7_uplink02_mask)</f>
        <v>Value Missing</v>
      </c>
      <c r="AC61" s="22" t="s">
        <v>1665</v>
      </c>
      <c r="AD61" s="337" t="str">
        <f>IF(ISBLANK(input_wld_az1_rack8_uplink02_mask),"Value Missing",input_wld_az1_rack8_uplink02_mask)</f>
        <v>Value Missing</v>
      </c>
      <c r="AG61" s="8"/>
    </row>
    <row r="62" spans="2:34" s="2" customFormat="1" ht="20.100000000000001" customHeight="1" x14ac:dyDescent="0.2">
      <c r="E62" s="22" t="s">
        <v>1667</v>
      </c>
      <c r="F62" s="337" t="str">
        <f>IF(ISBLANK(input_mgmt_az1_edge_overlay_mask),"Value Missing",input_mgmt_az1_edge_overlay_mask)</f>
        <v>Value Missing</v>
      </c>
      <c r="H62" s="22" t="s">
        <v>1667</v>
      </c>
      <c r="I62" s="337" t="str">
        <f>IF(ISBLANK(input_wld_az1_edge_overlay_mask),"Value Missing",input_wld_az1_edge_overlay_mask)</f>
        <v>Value Missing</v>
      </c>
      <c r="K62" s="22" t="s">
        <v>1667</v>
      </c>
      <c r="L62" s="337" t="str">
        <f>IF(ISBLANK(input_wld_az1_rack2_edge_overlay_mask),"Value Missing",input_wld_az1_rack2_edge_overlay_mask)</f>
        <v>Value Missing</v>
      </c>
      <c r="N62" s="22" t="s">
        <v>1667</v>
      </c>
      <c r="O62" s="337" t="str">
        <f>IF(ISBLANK(input_wld_az1_rack3_edge_overlay_mask),"Value Missing",input_wld_az1_rack3_edge_overlay_mask)</f>
        <v>Value Missing</v>
      </c>
      <c r="Q62" s="22" t="s">
        <v>1667</v>
      </c>
      <c r="R62" s="337" t="str">
        <f>IF(ISBLANK(input_wld_az1_rack4_edge_overlay_mask),"Value Missing",input_wld_az1_rack4_edge_overlay_mask)</f>
        <v>Value Missing</v>
      </c>
      <c r="T62" s="22" t="s">
        <v>1667</v>
      </c>
      <c r="U62" s="337" t="str">
        <f>IF(ISBLANK(input_wld_az1_rack5_edge_overlay_mask),"Value Missing",input_wld_az1_rack5_edge_overlay_mask)</f>
        <v>Value Missing</v>
      </c>
      <c r="W62" s="22" t="s">
        <v>1667</v>
      </c>
      <c r="X62" s="337" t="str">
        <f>IF(ISBLANK(input_wld_az1_rack6_edge_overlay_mask),"Value Missing",input_wld_az1_rack6_edge_overlay_mask)</f>
        <v>Value Missing</v>
      </c>
      <c r="Z62" s="22" t="s">
        <v>1667</v>
      </c>
      <c r="AA62" s="337" t="str">
        <f>IF(ISBLANK(input_wld_az1_rack7_edge_overlay_mask),"Value Missing",input_wld_az1_rack7_edge_overlay_mask)</f>
        <v>Value Missing</v>
      </c>
      <c r="AC62" s="22" t="s">
        <v>1667</v>
      </c>
      <c r="AD62" s="337" t="str">
        <f>IF(ISBLANK(input_wld_az1_rack8_edge_overlay_mask),"Value Missing",input_wld_az1_rack8_edge_overlay_mask)</f>
        <v>Value Missing</v>
      </c>
      <c r="AG62" s="8"/>
    </row>
    <row r="63" spans="2:34" s="2" customFormat="1" ht="20.100000000000001" customHeight="1" x14ac:dyDescent="0.2">
      <c r="E63" s="22" t="s">
        <v>1669</v>
      </c>
      <c r="F63" s="337" t="str">
        <f>IF(mgmt_az1_rtep_overlay_cidr="Value Missing",mgmt_az1_rtep_overlay_cidr,VLOOKUP(INT(RIGHT(mgmt_az1_rtep_overlay_cidr,LEN(mgmt_az1_rtep_overlay_cidr)-FIND("/",mgmt_az1_rtep_overlay_cidr))),table_cidr_to_mask,2,FALSE))</f>
        <v>Value Missing</v>
      </c>
      <c r="H63" s="22" t="s">
        <v>1669</v>
      </c>
      <c r="I63" s="337" t="str">
        <f>IF(wld_az1_rtep_overlay_cidr="Value Missing",wld_az1_rtep_overlay_cidr,VLOOKUP(INT(RIGHT(wld_az1_rtep_overlay_cidr,LEN(wld_az1_rtep_overlay_cidr)-FIND("/",wld_az1_rtep_overlay_cidr))),table_cidr_to_mask,2,FALSE))</f>
        <v>Value Missing</v>
      </c>
      <c r="K63" s="22" t="s">
        <v>1669</v>
      </c>
      <c r="L63" s="337"/>
      <c r="N63" s="22" t="s">
        <v>1669</v>
      </c>
      <c r="O63" s="337"/>
      <c r="Q63" s="22" t="s">
        <v>1669</v>
      </c>
      <c r="R63" s="337"/>
      <c r="T63" s="22" t="s">
        <v>1669</v>
      </c>
      <c r="U63" s="337"/>
      <c r="W63" s="22" t="s">
        <v>1669</v>
      </c>
      <c r="X63" s="337"/>
      <c r="Z63" s="22" t="s">
        <v>1669</v>
      </c>
      <c r="AA63" s="337"/>
      <c r="AC63" s="22" t="s">
        <v>1669</v>
      </c>
      <c r="AD63" s="337"/>
      <c r="AG63" s="8"/>
    </row>
    <row r="64" spans="2:34" s="2" customFormat="1" ht="20.100000000000001" customHeight="1" x14ac:dyDescent="0.2">
      <c r="E64" s="22" t="s">
        <v>1671</v>
      </c>
      <c r="F64" s="337"/>
      <c r="H64" s="22" t="s">
        <v>1671</v>
      </c>
      <c r="I64" s="337" t="str">
        <f>IF(wld_az1_vrms_cidr="Value Missing",wld_az1_vrms_cidr,VLOOKUP(INT(RIGHT(wld_az1_vrms_cidr,LEN(wld_az1_vrms_cidr)-FIND("/",wld_az1_vrms_cidr))),table_cidr_to_mask,2,FALSE))</f>
        <v>Value Missing</v>
      </c>
      <c r="K64" s="22" t="s">
        <v>1671</v>
      </c>
      <c r="L64" s="337"/>
      <c r="N64" s="22" t="s">
        <v>1671</v>
      </c>
      <c r="O64" s="337"/>
      <c r="Q64" s="22" t="s">
        <v>1671</v>
      </c>
      <c r="R64" s="337"/>
      <c r="T64" s="22" t="s">
        <v>1671</v>
      </c>
      <c r="U64" s="337"/>
      <c r="W64" s="22" t="s">
        <v>1671</v>
      </c>
      <c r="X64" s="337"/>
      <c r="Z64" s="22" t="s">
        <v>1671</v>
      </c>
      <c r="AA64" s="337"/>
      <c r="AC64" s="22" t="s">
        <v>1671</v>
      </c>
      <c r="AD64" s="337"/>
      <c r="AG64" s="19"/>
      <c r="AH64" s="7"/>
    </row>
    <row r="65" spans="5:34" s="2" customFormat="1" ht="20.100000000000001" customHeight="1" x14ac:dyDescent="0.2">
      <c r="H65" s="35"/>
      <c r="I65" s="35"/>
      <c r="AG65" s="8"/>
    </row>
    <row r="66" spans="5:34" s="2" customFormat="1" ht="20.100000000000001" customHeight="1" x14ac:dyDescent="0.2">
      <c r="AG66" s="8"/>
    </row>
    <row r="67" spans="5:34" s="2" customFormat="1" ht="20.100000000000001" customHeight="1" x14ac:dyDescent="0.2">
      <c r="E67" s="382" t="s">
        <v>1716</v>
      </c>
      <c r="F67" s="383"/>
      <c r="H67" s="382" t="s">
        <v>1717</v>
      </c>
      <c r="I67" s="383"/>
      <c r="K67" s="382" t="s">
        <v>1718</v>
      </c>
      <c r="L67" s="383"/>
      <c r="N67" s="382" t="s">
        <v>1719</v>
      </c>
      <c r="O67" s="383"/>
      <c r="Q67" s="379" t="s">
        <v>1720</v>
      </c>
      <c r="R67" s="381"/>
      <c r="T67" s="379" t="s">
        <v>1721</v>
      </c>
      <c r="U67" s="381"/>
      <c r="W67" s="379" t="s">
        <v>1722</v>
      </c>
      <c r="X67" s="381"/>
      <c r="Z67" s="379" t="s">
        <v>1723</v>
      </c>
      <c r="AA67" s="381"/>
      <c r="AC67" s="379" t="s">
        <v>1724</v>
      </c>
      <c r="AD67" s="381"/>
      <c r="AG67" s="8"/>
      <c r="AH67" s="8"/>
    </row>
    <row r="68" spans="5:34" s="2" customFormat="1" ht="20.100000000000001" customHeight="1" x14ac:dyDescent="0.2">
      <c r="E68" s="11" t="s">
        <v>259</v>
      </c>
      <c r="F68" s="12" t="s">
        <v>1652</v>
      </c>
      <c r="H68" s="11" t="s">
        <v>259</v>
      </c>
      <c r="I68" s="12" t="s">
        <v>1652</v>
      </c>
      <c r="K68" s="11" t="s">
        <v>259</v>
      </c>
      <c r="L68" s="12" t="s">
        <v>1652</v>
      </c>
      <c r="N68" s="11" t="s">
        <v>259</v>
      </c>
      <c r="O68" s="12" t="s">
        <v>1652</v>
      </c>
      <c r="Q68" s="13" t="s">
        <v>259</v>
      </c>
      <c r="R68" s="14" t="s">
        <v>1652</v>
      </c>
      <c r="S68" s="15"/>
      <c r="T68" s="13" t="s">
        <v>259</v>
      </c>
      <c r="U68" s="14" t="s">
        <v>1652</v>
      </c>
      <c r="V68" s="15"/>
      <c r="W68" s="13" t="s">
        <v>259</v>
      </c>
      <c r="X68" s="14" t="s">
        <v>1652</v>
      </c>
      <c r="Y68" s="15"/>
      <c r="Z68" s="13" t="s">
        <v>259</v>
      </c>
      <c r="AA68" s="14" t="s">
        <v>1652</v>
      </c>
      <c r="AB68" s="15"/>
      <c r="AC68" s="13" t="s">
        <v>259</v>
      </c>
      <c r="AD68" s="14" t="s">
        <v>1652</v>
      </c>
      <c r="AG68" s="8"/>
      <c r="AH68" s="8"/>
    </row>
    <row r="69" spans="5:34" s="2" customFormat="1" ht="20.100000000000001" customHeight="1" x14ac:dyDescent="0.2">
      <c r="E69" s="4" t="s">
        <v>1655</v>
      </c>
      <c r="F69" s="337">
        <f>IF(ISBLANK(input_mgmt_az1_mgmt_vm_mtu),"Value Missing",input_mgmt_az1_mgmt_vm_mtu)</f>
        <v>1500</v>
      </c>
      <c r="H69" s="4" t="s">
        <v>1655</v>
      </c>
      <c r="I69" s="337" t="str">
        <f>IF(ISBLANK(input_wld_az1_mgmt_vm_mtu),"Value Missing",input_wld_az1_mgmt_vm_mtu)</f>
        <v>Value Missing</v>
      </c>
      <c r="K69" s="4" t="s">
        <v>1655</v>
      </c>
      <c r="L69" s="337" t="str">
        <f>IF(ISBLANK(input_wld_az1_rack2_mgmt_vm_mtu),"Value Missing",input_wld_az1_rack2_mgmt_vm_mtu)</f>
        <v>Value Missing</v>
      </c>
      <c r="N69" s="4" t="s">
        <v>1655</v>
      </c>
      <c r="O69" s="337" t="str">
        <f>IF(ISBLANK(input_wld_az1_rack3_mgmt_vm_mtu),"Value Missing",input_wld_az1_rack3_mgmt_vm_mtu)</f>
        <v>Value Missing</v>
      </c>
      <c r="Q69" s="4" t="s">
        <v>1655</v>
      </c>
      <c r="R69" s="337" t="str">
        <f>IF(ISBLANK(input_wld_az1_rack4_mgmt_vm_mtu),"Value Missing",input_wld_az1_rack4_mgmt_vm_mtu)</f>
        <v>Value Missing</v>
      </c>
      <c r="T69" s="4" t="s">
        <v>1655</v>
      </c>
      <c r="U69" s="337" t="str">
        <f>IF(ISBLANK(input_wld_az1_rack5_mgmt_vm_mtu),"Value Missing",input_wld_az1_rack5_mgmt_vm_mtu)</f>
        <v>Value Missing</v>
      </c>
      <c r="W69" s="4" t="s">
        <v>1655</v>
      </c>
      <c r="X69" s="337" t="str">
        <f>IF(ISBLANK(input_wld_az1_rack6_mgmt_vm_mtu),"Value Missing",input_wld_az1_rack6_mgmt_vm_mtu)</f>
        <v>Value Missing</v>
      </c>
      <c r="Z69" s="4" t="s">
        <v>1655</v>
      </c>
      <c r="AA69" s="337" t="str">
        <f>IF(ISBLANK(input_wld_az1_rack7_mgmt_vm_mtu),"Value Missing",input_wld_az1_rack7_mgmt_vm_mtu)</f>
        <v>Value Missing</v>
      </c>
      <c r="AC69" s="4" t="s">
        <v>1655</v>
      </c>
      <c r="AD69" s="337" t="str">
        <f>IF(ISBLANK(input_wld_az1_rack8_mgmt_vm_mtu),"Value Missing",input_wld_az1_rack8_mgmt_vm_mtu)</f>
        <v>Value Missing</v>
      </c>
      <c r="AG69" s="8"/>
      <c r="AH69" s="8"/>
    </row>
    <row r="70" spans="5:34" s="2" customFormat="1" ht="20.100000000000001" customHeight="1" x14ac:dyDescent="0.2">
      <c r="E70" s="4" t="s">
        <v>1657</v>
      </c>
      <c r="F70" s="337">
        <f>IF(ISBLANK(input_mgmt_az1_mgmt_mtu),"Value Missing",input_mgmt_az1_mgmt_mtu)</f>
        <v>1500</v>
      </c>
      <c r="H70" s="4" t="s">
        <v>1657</v>
      </c>
      <c r="I70" s="337" t="str">
        <f>IF(ISBLANK(input_wld_az1_mgmt_mtu),"Value Missing",input_wld_az1_mgmt_mtu)</f>
        <v>Value Missing</v>
      </c>
      <c r="K70" s="4" t="s">
        <v>1657</v>
      </c>
      <c r="L70" s="337" t="str">
        <f>IF(ISBLANK(input_wld_az1_rack2_mgmt_mtu),"Value Missing",input_wld_az1_rack2_mgmt_mtu)</f>
        <v>Value Missing</v>
      </c>
      <c r="N70" s="4" t="s">
        <v>1657</v>
      </c>
      <c r="O70" s="337" t="str">
        <f>IF(ISBLANK(input_wld_az1_rack3_mgmt_mtu),"Value Missing",input_wld_az1_rack3_mgmt_mtu)</f>
        <v>Value Missing</v>
      </c>
      <c r="Q70" s="4" t="s">
        <v>1657</v>
      </c>
      <c r="R70" s="337" t="str">
        <f>IF(ISBLANK(input_wld_az1_rack4_mgmt_mtu),"Value Missing",input_wld_az1_rack4_mgmt_mtu)</f>
        <v>Value Missing</v>
      </c>
      <c r="T70" s="4" t="s">
        <v>1657</v>
      </c>
      <c r="U70" s="337" t="str">
        <f>IF(ISBLANK(input_wld_az1_rack5_mgmt_mtu),"Value Missing",input_wld_az1_rack5_mgmt_mtu)</f>
        <v>Value Missing</v>
      </c>
      <c r="W70" s="4" t="s">
        <v>1657</v>
      </c>
      <c r="X70" s="337" t="str">
        <f>IF(ISBLANK(input_wld_az1_rack6_mgmt_mtu),"Value Missing",input_wld_az1_rack6_mgmt_mtu)</f>
        <v>Value Missing</v>
      </c>
      <c r="Z70" s="4" t="s">
        <v>1657</v>
      </c>
      <c r="AA70" s="337" t="str">
        <f>IF(ISBLANK(input_wld_az1_rack7_mgmt_mtu),"Value Missing",input_wld_az1_rack7_mgmt_mtu)</f>
        <v>Value Missing</v>
      </c>
      <c r="AC70" s="4" t="s">
        <v>1657</v>
      </c>
      <c r="AD70" s="337" t="str">
        <f>IF(ISBLANK(input_wld_az1_rack8_mgmt_mtu),"Value Missing",input_wld_az1_rack8_mgmt_mtu)</f>
        <v>Value Missing</v>
      </c>
      <c r="AG70" s="8"/>
      <c r="AH70" s="8"/>
    </row>
    <row r="71" spans="5:34" s="2" customFormat="1" ht="20.100000000000001" customHeight="1" x14ac:dyDescent="0.2">
      <c r="E71" s="4" t="s">
        <v>404</v>
      </c>
      <c r="F71" s="337">
        <f>IF(ISBLANK(input_mgmt_az1_vmotion_mtu),"Value Missing",input_mgmt_az1_vmotion_mtu)</f>
        <v>9000</v>
      </c>
      <c r="H71" s="4" t="s">
        <v>404</v>
      </c>
      <c r="I71" s="337" t="str">
        <f>IF(ISBLANK(input_wld_az1_vmotion_mtu),"Value Missing",input_wld_az1_vmotion_mtu)</f>
        <v>Value Missing</v>
      </c>
      <c r="K71" s="4" t="s">
        <v>404</v>
      </c>
      <c r="L71" s="337" t="str">
        <f>IF(ISBLANK(input_wld_az1_rack2_vmotion_mtu),"Value Missing",input_wld_az1_rack2_vmotion_mtu)</f>
        <v>Value Missing</v>
      </c>
      <c r="N71" s="4" t="s">
        <v>404</v>
      </c>
      <c r="O71" s="337" t="str">
        <f>IF(ISBLANK(input_wld_az1_rack3_vmotion_mtu),"Value Missing",input_wld_az1_rack3_vmotion_mtu)</f>
        <v>Value Missing</v>
      </c>
      <c r="Q71" s="4" t="s">
        <v>404</v>
      </c>
      <c r="R71" s="337" t="str">
        <f>IF(ISBLANK(input_wld_az1_rack4_vmotion_mtu),"Value Missing",input_wld_az1_rack4_vmotion_mtu)</f>
        <v>Value Missing</v>
      </c>
      <c r="T71" s="4" t="s">
        <v>404</v>
      </c>
      <c r="U71" s="337" t="str">
        <f>IF(ISBLANK(input_wld_az1_rack5_vmotion_mtu),"Value Missing",input_wld_az1_rack5_vmotion_mtu)</f>
        <v>Value Missing</v>
      </c>
      <c r="W71" s="4" t="s">
        <v>404</v>
      </c>
      <c r="X71" s="337" t="str">
        <f>IF(ISBLANK(input_wld_az1_rack6_vmotion_mtu),"Value Missing",input_wld_az1_rack6_vmotion_mtu)</f>
        <v>Value Missing</v>
      </c>
      <c r="Z71" s="4" t="s">
        <v>404</v>
      </c>
      <c r="AA71" s="337" t="str">
        <f>IF(ISBLANK(input_wld_az1_rack7_vmotion_mtu),"Value Missing",input_wld_az1_rack7_vmotion_mtu)</f>
        <v>Value Missing</v>
      </c>
      <c r="AC71" s="4" t="s">
        <v>404</v>
      </c>
      <c r="AD71" s="337" t="str">
        <f>IF(ISBLANK(input_wld_az1_rack8_vmotion_mtu),"Value Missing",input_wld_az1_rack8_vmotion_mtu)</f>
        <v>Value Missing</v>
      </c>
      <c r="AG71" s="8"/>
      <c r="AH71" s="8"/>
    </row>
    <row r="72" spans="5:34" s="2" customFormat="1" ht="20.100000000000001" customHeight="1" x14ac:dyDescent="0.2">
      <c r="E72" s="17" t="str">
        <f>CONCATENATE("Principal Storage Network ",wld_principal_storage_chosen)</f>
        <v>Principal Storage Network vSAN-ESA</v>
      </c>
      <c r="F72" s="337">
        <f>IF(ISBLANK(input_mgmt_az1_vsan_mtu),"Value Missing",input_mgmt_az1_vsan_mtu)</f>
        <v>9000</v>
      </c>
      <c r="H72" s="17" t="s">
        <v>407</v>
      </c>
      <c r="I72" s="337" t="str">
        <f>IF(ISBLANK(input_wld_az1_principal_storage_mtu),"Value Missing",input_wld_az1_principal_storage_mtu)</f>
        <v>Value Missing</v>
      </c>
      <c r="K72" s="17" t="str">
        <f>CONCATENATE("Principal Storage Network ",wld_principal_storage_chosen)</f>
        <v>Principal Storage Network vSAN-ESA</v>
      </c>
      <c r="L72" s="337" t="str">
        <f>IF(ISBLANK(input_wld_az1_rack2_principal_storage_mtu),"Value Missing",input_wld_az1_rack2_principal_storage_mtu)</f>
        <v>Value Missing</v>
      </c>
      <c r="N72" s="17" t="str">
        <f>CONCATENATE("Principal Storage Network ",wld_principal_storage_chosen)</f>
        <v>Principal Storage Network vSAN-ESA</v>
      </c>
      <c r="O72" s="337" t="str">
        <f>IF(ISBLANK(input_wld_az1_rack3_principal_storage_mtu),"Value Missing",input_wld_az1_rack3_principal_storage_mtu)</f>
        <v>Value Missing</v>
      </c>
      <c r="Q72" s="17" t="str">
        <f>CONCATENATE("Principal Storage Network ",wld_principal_storage_chosen)</f>
        <v>Principal Storage Network vSAN-ESA</v>
      </c>
      <c r="R72" s="337" t="str">
        <f>IF(ISBLANK(input_wld_az1_rack4_principal_storage_mtu),"Value Missing",input_wld_az1_rack4_principal_storage_mtu)</f>
        <v>Value Missing</v>
      </c>
      <c r="T72" s="17" t="str">
        <f>CONCATENATE("Principal Storage Network ",wld_principal_storage_chosen)</f>
        <v>Principal Storage Network vSAN-ESA</v>
      </c>
      <c r="U72" s="337" t="str">
        <f>IF(ISBLANK(input_wld_az1_rack5_principal_storage_mtu),"Value Missing",input_wld_az1_rack5_principal_storage_mtu)</f>
        <v>Value Missing</v>
      </c>
      <c r="W72" s="17" t="str">
        <f>CONCATENATE("Principal Storage Network ",wld_principal_storage_chosen)</f>
        <v>Principal Storage Network vSAN-ESA</v>
      </c>
      <c r="X72" s="337" t="str">
        <f>IF(ISBLANK(input_wld_az1_rack6_principal_storage_mtu),"Value Missing",input_wld_az1_rack6_principal_storage_mtu)</f>
        <v>Value Missing</v>
      </c>
      <c r="Z72" s="17" t="str">
        <f>CONCATENATE("Principal Storage Network ",wld_principal_storage_chosen)</f>
        <v>Principal Storage Network vSAN-ESA</v>
      </c>
      <c r="AA72" s="337" t="str">
        <f>IF(ISBLANK(input_wld_az1_rack7_principal_storage_mtu),"Value Missing",input_wld_az1_rack7_principal_storage_mtu)</f>
        <v>Value Missing</v>
      </c>
      <c r="AC72" s="17" t="str">
        <f>CONCATENATE("Principal Storage Network ",wld_principal_storage_chosen)</f>
        <v>Principal Storage Network vSAN-ESA</v>
      </c>
      <c r="AD72" s="337" t="str">
        <f>IF(ISBLANK(input_wld_az1_rack8_principal_storage_mtu),"Value Missing",input_wld_az1_rack8_principal_storage_mtu)</f>
        <v>Value Missing</v>
      </c>
      <c r="AG72" s="8"/>
      <c r="AH72" s="8"/>
    </row>
    <row r="73" spans="5:34" s="2" customFormat="1" ht="20.100000000000001" customHeight="1" x14ac:dyDescent="0.2">
      <c r="E73" s="4" t="s">
        <v>1661</v>
      </c>
      <c r="F73" s="337">
        <f>IF(ISBLANK(input_mgmt_az1_host_overlay_mtu),"Value Missing",input_mgmt_az1_host_overlay_mtu)</f>
        <v>9000</v>
      </c>
      <c r="H73" s="4" t="s">
        <v>1661</v>
      </c>
      <c r="I73" s="337" t="str">
        <f>IF(ISBLANK(input_wld_az1_host_overlay_mtu),"Value Missing",input_wld_az1_host_overlay_mtu)</f>
        <v>Value Missing</v>
      </c>
      <c r="K73" s="4" t="s">
        <v>1661</v>
      </c>
      <c r="L73" s="337" t="str">
        <f>IF(ISBLANK(input_wld_az1_rack2_host_overlay_mtu),"Value Missing",input_wld_az1_rack2_host_overlay_mtu)</f>
        <v>Value Missing</v>
      </c>
      <c r="N73" s="4" t="s">
        <v>1661</v>
      </c>
      <c r="O73" s="337" t="str">
        <f>IF(ISBLANK(input_wld_az1_rack3_host_overlay_mtu),"Value Missing",input_wld_az1_rack3_host_overlay_mtu)</f>
        <v>Value Missing</v>
      </c>
      <c r="Q73" s="4" t="s">
        <v>1661</v>
      </c>
      <c r="R73" s="337" t="str">
        <f>IF(ISBLANK(input_wld_az1_rack4_host_overlay_mtu),"Value Missing",input_wld_az1_rack4_host_overlay_mtu)</f>
        <v>Value Missing</v>
      </c>
      <c r="T73" s="4" t="s">
        <v>1661</v>
      </c>
      <c r="U73" s="337" t="str">
        <f>IF(ISBLANK(input_wld_az1_rack5_host_overlay_mtu),"Value Missing",input_wld_az1_rack5_host_overlay_mtu)</f>
        <v>Value Missing</v>
      </c>
      <c r="W73" s="4" t="s">
        <v>1661</v>
      </c>
      <c r="X73" s="337" t="str">
        <f>IF(ISBLANK(input_wld_az1_rack6_host_overlay_mtu),"Value Missing",input_wld_az1_rack6_host_overlay_mtu)</f>
        <v>Value Missing</v>
      </c>
      <c r="Z73" s="4" t="s">
        <v>1661</v>
      </c>
      <c r="AA73" s="337" t="str">
        <f>IF(ISBLANK(input_wld_az1_rack7_host_overlay_mtu),"Value Missing",input_wld_az1_rack7_host_overlay_mtu)</f>
        <v>Value Missing</v>
      </c>
      <c r="AC73" s="4" t="s">
        <v>1661</v>
      </c>
      <c r="AD73" s="337" t="str">
        <f>IF(ISBLANK(input_wld_az1_rack8_host_overlay_mtu),"Value Missing",input_wld_az1_rack8_host_overlay_mtu)</f>
        <v>Value Missing</v>
      </c>
      <c r="AG73" s="8"/>
      <c r="AH73" s="8"/>
    </row>
    <row r="74" spans="5:34" s="2" customFormat="1" ht="20.100000000000001" customHeight="1" x14ac:dyDescent="0.2">
      <c r="E74" s="18" t="s">
        <v>1662</v>
      </c>
      <c r="F74" s="337" t="str">
        <f>IF(ISBLANK(input_mgmt_az1_secondary_storage_mtu),"Value Missing",input_mgmt_az1_secondary_storage_mtu)</f>
        <v>Value Missing</v>
      </c>
      <c r="H74" s="4" t="s">
        <v>1662</v>
      </c>
      <c r="I74" s="337" t="str">
        <f>IF(ISBLANK(input_wld_az1_secondary_storage_mtu),"Value Missing",input_wld_az1_secondary_storage_mtu)</f>
        <v>Value Missing</v>
      </c>
      <c r="K74" s="4" t="s">
        <v>1662</v>
      </c>
      <c r="L74" s="337" t="str">
        <f>IF(ISBLANK(input_wld_az1_rack2_secondary_storage_mtu),"Value Missing",input_wld_az1_rack2_secondary_storage_mtu)</f>
        <v>Value Missing</v>
      </c>
      <c r="N74" s="4" t="s">
        <v>1662</v>
      </c>
      <c r="O74" s="337" t="str">
        <f>IF(ISBLANK(input_wld_az1_rack3_secondary_storage_mtu),"Value Missing",input_wld_az1_rack3_secondary_storage_mtu)</f>
        <v>Value Missing</v>
      </c>
      <c r="Q74" s="4" t="s">
        <v>1662</v>
      </c>
      <c r="R74" s="337" t="str">
        <f>IF(ISBLANK(input_wld_az1_rack4_secondary_storage_mtu),"Value Missing",input_wld_az1_rack4_secondary_storage_mtu)</f>
        <v>Value Missing</v>
      </c>
      <c r="T74" s="4" t="s">
        <v>1662</v>
      </c>
      <c r="U74" s="337" t="str">
        <f>IF(ISBLANK(input_wld_az1_rack5_secondary_storage_mtu),"Value Missing",input_wld_az1_rack5_secondary_storage_mtu)</f>
        <v>Value Missing</v>
      </c>
      <c r="W74" s="4" t="s">
        <v>1662</v>
      </c>
      <c r="X74" s="337" t="str">
        <f>IF(ISBLANK(input_wld_az1_rack6_secondary_storage_mtu),"Value Missing",input_wld_az1_rack6_secondary_storage_mtu)</f>
        <v>Value Missing</v>
      </c>
      <c r="Z74" s="4" t="s">
        <v>1662</v>
      </c>
      <c r="AA74" s="337" t="str">
        <f>IF(ISBLANK(input_wld_az1_rack7_secondary_storage_mtu),"Value Missing",input_wld_az1_rack7_secondary_storage_mtu)</f>
        <v>Value Missing</v>
      </c>
      <c r="AC74" s="4" t="s">
        <v>1662</v>
      </c>
      <c r="AD74" s="337" t="str">
        <f>IF(ISBLANK(input_wld_az1_rack8_secondary_storage_mtu),"Value Missing",input_wld_az1_rack8_secondary_storage_mtu)</f>
        <v>Value Missing</v>
      </c>
      <c r="AG74" s="8"/>
      <c r="AH74" s="8"/>
    </row>
    <row r="75" spans="5:34" s="2" customFormat="1" ht="20.100000000000001" customHeight="1" x14ac:dyDescent="0.2">
      <c r="E75" s="18"/>
      <c r="F75" s="337"/>
      <c r="H75" s="4" t="s">
        <v>1231</v>
      </c>
      <c r="I75" s="337" t="str">
        <f>IF(ISBLANK(input_wld_az1_storage_cluster_mtu),"Value Missing",input_wld_az1_storage_cluster_mtu)</f>
        <v>Value Missing</v>
      </c>
      <c r="K75" s="4"/>
      <c r="L75" s="337"/>
      <c r="N75" s="4"/>
      <c r="O75" s="337"/>
      <c r="Q75" s="4"/>
      <c r="R75" s="337"/>
      <c r="T75" s="4"/>
      <c r="U75" s="337"/>
      <c r="W75" s="4"/>
      <c r="X75" s="337"/>
      <c r="Z75" s="4"/>
      <c r="AA75" s="337"/>
      <c r="AC75" s="4"/>
      <c r="AD75" s="337"/>
      <c r="AG75" s="8"/>
      <c r="AH75" s="8"/>
    </row>
    <row r="76" spans="5:34" s="2" customFormat="1" ht="20.100000000000001" customHeight="1" x14ac:dyDescent="0.2">
      <c r="E76" s="4" t="s">
        <v>1664</v>
      </c>
      <c r="F76" s="337" t="str">
        <f>IF(ISBLANK(input_mgmt_az1_uplink01_mtu),"Value Missing",input_mgmt_az1_uplink01_mtu)</f>
        <v>Value Missing</v>
      </c>
      <c r="H76" s="4" t="s">
        <v>1664</v>
      </c>
      <c r="I76" s="337" t="str">
        <f>IF(ISBLANK(input_wld_az1_uplink01_mtu),"Value Missing",input_wld_az1_uplink01_mtu)</f>
        <v>Value Missing</v>
      </c>
      <c r="K76" s="4" t="s">
        <v>1664</v>
      </c>
      <c r="L76" s="337" t="str">
        <f>IF(ISBLANK(input_wld_az1_rack2_uplink01_mtu),"Value Missing",input_wld_az1_rack2_uplink01_mtu)</f>
        <v>Value Missing</v>
      </c>
      <c r="N76" s="4" t="s">
        <v>1664</v>
      </c>
      <c r="O76" s="337" t="str">
        <f>IF(ISBLANK(input_wld_az1_rack3_uplink01_mtu),"Value Missing",input_wld_az1_rack3_uplink01_mtu)</f>
        <v>Value Missing</v>
      </c>
      <c r="Q76" s="4" t="s">
        <v>1664</v>
      </c>
      <c r="R76" s="337" t="str">
        <f>IF(ISBLANK(input_wld_az1_rack4_uplink01_mtu),"Value Missing",input_wld_az1_rack4_uplink01_mtu)</f>
        <v>Value Missing</v>
      </c>
      <c r="T76" s="4" t="s">
        <v>1664</v>
      </c>
      <c r="U76" s="337" t="str">
        <f>IF(ISBLANK(input_wld_az1_rack5_uplink01_mtu),"Value Missing",input_wld_az1_rack5_uplink01_mtu)</f>
        <v>Value Missing</v>
      </c>
      <c r="W76" s="4" t="s">
        <v>1664</v>
      </c>
      <c r="X76" s="337" t="str">
        <f>IF(ISBLANK(input_wld_az1_rack6_uplink01_mtu),"Value Missing",input_wld_az1_rack6_uplink01_mtu)</f>
        <v>Value Missing</v>
      </c>
      <c r="Z76" s="4" t="s">
        <v>1664</v>
      </c>
      <c r="AA76" s="337" t="str">
        <f>IF(ISBLANK(input_wld_az1_rack7_uplink01_mtu),"Value Missing",input_wld_az1_rack7_uplink01_mtu)</f>
        <v>Value Missing</v>
      </c>
      <c r="AC76" s="4" t="s">
        <v>1664</v>
      </c>
      <c r="AD76" s="337" t="str">
        <f>IF(ISBLANK(input_wld_az1_rack8_uplink01_mtu),"Value Missing",input_wld_az1_rack8_uplink01_mtu)</f>
        <v>Value Missing</v>
      </c>
      <c r="AG76" s="8"/>
      <c r="AH76" s="8"/>
    </row>
    <row r="77" spans="5:34" s="2" customFormat="1" ht="20.100000000000001" customHeight="1" x14ac:dyDescent="0.2">
      <c r="E77" s="4" t="s">
        <v>1665</v>
      </c>
      <c r="F77" s="337" t="str">
        <f>IF(ISBLANK(input_mgmt_az1_uplink02_mtu),"Value Missing",input_mgmt_az1_uplink02_mtu)</f>
        <v>Value Missing</v>
      </c>
      <c r="H77" s="4" t="s">
        <v>1665</v>
      </c>
      <c r="I77" s="337" t="str">
        <f>IF(ISBLANK(input_wld_az1_uplink02_mtu),"Value Missing",input_wld_az1_uplink02_mtu)</f>
        <v>Value Missing</v>
      </c>
      <c r="K77" s="4" t="s">
        <v>1665</v>
      </c>
      <c r="L77" s="337" t="str">
        <f>IF(ISBLANK(input_wld_az1_rack2_uplink02_mtu),"Value Missing",input_wld_az1_rack2_uplink02_mtu)</f>
        <v>Value Missing</v>
      </c>
      <c r="N77" s="4" t="s">
        <v>1665</v>
      </c>
      <c r="O77" s="337" t="str">
        <f>IF(ISBLANK(input_wld_az1_rack3_uplink02_mtu),"Value Missing",input_wld_az1_rack3_uplink02_mtu)</f>
        <v>Value Missing</v>
      </c>
      <c r="Q77" s="4" t="s">
        <v>1665</v>
      </c>
      <c r="R77" s="337" t="str">
        <f>IF(ISBLANK(input_wld_az1_rack4_uplink02_mtu),"Value Missing",input_wld_az1_rack4_uplink02_mtu)</f>
        <v>Value Missing</v>
      </c>
      <c r="T77" s="4" t="s">
        <v>1665</v>
      </c>
      <c r="U77" s="337" t="str">
        <f>IF(ISBLANK(input_wld_az1_rack5_uplink02_mtu),"Value Missing",input_wld_az1_rack5_uplink02_mtu)</f>
        <v>Value Missing</v>
      </c>
      <c r="W77" s="4" t="s">
        <v>1665</v>
      </c>
      <c r="X77" s="337" t="str">
        <f>IF(ISBLANK(input_wld_az1_rack6_uplink02_mtu),"Value Missing",input_wld_az1_rack6_uplink02_mtu)</f>
        <v>Value Missing</v>
      </c>
      <c r="Z77" s="4" t="s">
        <v>1665</v>
      </c>
      <c r="AA77" s="337" t="str">
        <f>IF(ISBLANK(input_wld_az1_rack7_uplink02_mtu),"Value Missing",input_wld_az1_rack7_uplink02_mtu)</f>
        <v>Value Missing</v>
      </c>
      <c r="AC77" s="4" t="s">
        <v>1665</v>
      </c>
      <c r="AD77" s="337" t="str">
        <f>IF(ISBLANK(input_wld_az1_rack8_uplink02_mtu),"Value Missing",input_wld_az1_rack8_uplink02_mtu)</f>
        <v>Value Missing</v>
      </c>
      <c r="AG77" s="8"/>
      <c r="AH77" s="8"/>
    </row>
    <row r="78" spans="5:34" s="2" customFormat="1" ht="20.100000000000001" customHeight="1" x14ac:dyDescent="0.2">
      <c r="E78" s="4" t="s">
        <v>1667</v>
      </c>
      <c r="F78" s="337" t="str">
        <f>IF(ISBLANK(input_mgmt_az1_edge_overlay_mtu),"Value Missing",input_mgmt_az1_edge_overlay_mtu)</f>
        <v>Value Missing</v>
      </c>
      <c r="H78" s="4" t="s">
        <v>1667</v>
      </c>
      <c r="I78" s="337" t="s">
        <v>496</v>
      </c>
      <c r="K78" s="4" t="s">
        <v>1667</v>
      </c>
      <c r="L78" s="337" t="str">
        <f>IF(ISBLANK(input_wld_az1_rack2_edge_overlay_mtu),"Value Missing",input_wld_az1_rack2_edge_overlay_mtu)</f>
        <v>Value Missing</v>
      </c>
      <c r="N78" s="4" t="s">
        <v>1667</v>
      </c>
      <c r="O78" s="337" t="str">
        <f>IF(ISBLANK(input_wld_az1_rack3_edge_overlay_mtu),"Value Missing",input_wld_az1_rack3_edge_overlay_mtu)</f>
        <v>Value Missing</v>
      </c>
      <c r="Q78" s="4" t="s">
        <v>1667</v>
      </c>
      <c r="R78" s="33" t="str">
        <f>IF(ISBLANK(input_wld_az1_rack4_edge_overlay_mtu),"Value Missing",input_wld_az1_rack4_edge_overlay_mtu)</f>
        <v>Value Missing</v>
      </c>
      <c r="T78" s="4" t="s">
        <v>1667</v>
      </c>
      <c r="U78" s="337" t="str">
        <f>IF(ISBLANK(input_wld_az1_rack5_edge_overlay_mtu),"Value Missing",input_wld_az1_rack5_edge_overlay_mtu)</f>
        <v>Value Missing</v>
      </c>
      <c r="W78" s="4" t="s">
        <v>1667</v>
      </c>
      <c r="X78" s="337" t="str">
        <f>IF(ISBLANK(input_wld_az1_rack6_edge_overlay_mtu),"Value Missing",input_wld_az1_rack6_edge_overlay_mtu)</f>
        <v>Value Missing</v>
      </c>
      <c r="Z78" s="4" t="s">
        <v>1667</v>
      </c>
      <c r="AA78" s="337" t="str">
        <f>IF(ISBLANK(input_wld_az1_rack7_edge_overlay_mtu),"Value Missing",input_wld_az1_rack7_edge_overlay_mtu)</f>
        <v>Value Missing</v>
      </c>
      <c r="AC78" s="4" t="s">
        <v>1667</v>
      </c>
      <c r="AD78" s="337" t="str">
        <f>IF(ISBLANK(input_wld_az1_rack8_edge_overlay_mtu),"Value Missing",input_wld_az1_rack8_edge_overlay_mtu)</f>
        <v>Value Missing</v>
      </c>
      <c r="AG78" s="8"/>
      <c r="AH78" s="8"/>
    </row>
    <row r="79" spans="5:34" s="2" customFormat="1" ht="20.100000000000001" customHeight="1" x14ac:dyDescent="0.2">
      <c r="E79" s="4" t="s">
        <v>1669</v>
      </c>
      <c r="F79" s="337"/>
      <c r="H79" s="4" t="s">
        <v>1669</v>
      </c>
      <c r="I79" s="337"/>
      <c r="K79" s="4" t="s">
        <v>1669</v>
      </c>
      <c r="L79" s="337"/>
      <c r="N79" s="4" t="s">
        <v>1669</v>
      </c>
      <c r="O79" s="337"/>
      <c r="Q79" s="4" t="s">
        <v>1669</v>
      </c>
      <c r="R79" s="337"/>
      <c r="T79" s="4" t="s">
        <v>1669</v>
      </c>
      <c r="U79" s="337"/>
      <c r="W79" s="4" t="s">
        <v>1669</v>
      </c>
      <c r="X79" s="337"/>
      <c r="Z79" s="4" t="s">
        <v>1669</v>
      </c>
      <c r="AA79" s="337"/>
      <c r="AC79" s="4" t="s">
        <v>1669</v>
      </c>
      <c r="AD79" s="337"/>
      <c r="AG79" s="8"/>
      <c r="AH79" s="8"/>
    </row>
    <row r="80" spans="5:34" s="2" customFormat="1" ht="20.100000000000001" customHeight="1" x14ac:dyDescent="0.2">
      <c r="E80" s="4" t="s">
        <v>1671</v>
      </c>
      <c r="F80" s="337" t="str">
        <f>IF(ISBLANK(input_mgmt_az1_vrms_mtu),"Value Missing",input_mgmt_az1_vrms_mtu)</f>
        <v>Value Missing</v>
      </c>
      <c r="H80" s="4" t="s">
        <v>1671</v>
      </c>
      <c r="I80" s="337" t="str">
        <f>IF(ISBLANK(input_wld_az1_vrms_mtu),"Value Missing",input_wld_az1_vrms_mtu)</f>
        <v>Value Missing</v>
      </c>
      <c r="K80" s="4" t="s">
        <v>1671</v>
      </c>
      <c r="L80" s="337"/>
      <c r="N80" s="4" t="s">
        <v>1671</v>
      </c>
      <c r="O80" s="337"/>
      <c r="Q80" s="4" t="s">
        <v>1671</v>
      </c>
      <c r="R80" s="337"/>
      <c r="T80" s="4" t="s">
        <v>1671</v>
      </c>
      <c r="U80" s="337"/>
      <c r="W80" s="4" t="s">
        <v>1671</v>
      </c>
      <c r="X80" s="337"/>
      <c r="Z80" s="4" t="s">
        <v>1671</v>
      </c>
      <c r="AA80" s="337"/>
      <c r="AC80" s="4" t="s">
        <v>1671</v>
      </c>
      <c r="AD80" s="337"/>
      <c r="AG80" s="8"/>
      <c r="AH80" s="8"/>
    </row>
    <row r="81" spans="2:36" s="2" customFormat="1" ht="20.100000000000001" customHeight="1" x14ac:dyDescent="0.2">
      <c r="AG81" s="8"/>
      <c r="AH81" s="8"/>
      <c r="AI81" s="8"/>
      <c r="AJ81" s="8"/>
    </row>
    <row r="82" spans="2:36" s="2" customFormat="1" ht="20.100000000000001" customHeight="1" x14ac:dyDescent="0.2">
      <c r="B82" s="8"/>
      <c r="C82" s="8"/>
      <c r="AG82" s="8"/>
      <c r="AH82" s="8"/>
      <c r="AI82" s="8"/>
      <c r="AJ82" s="8"/>
    </row>
    <row r="83" spans="2:36" s="2" customFormat="1" ht="20.100000000000001" customHeight="1" x14ac:dyDescent="0.2">
      <c r="B83" s="8"/>
      <c r="C83" s="8"/>
      <c r="E83" s="382" t="s">
        <v>1725</v>
      </c>
      <c r="F83" s="383"/>
      <c r="H83" s="382" t="s">
        <v>1726</v>
      </c>
      <c r="I83" s="383"/>
      <c r="K83" s="382" t="s">
        <v>1727</v>
      </c>
      <c r="L83" s="383"/>
      <c r="N83" s="382" t="s">
        <v>1728</v>
      </c>
      <c r="O83" s="383"/>
      <c r="Q83" s="379" t="s">
        <v>1729</v>
      </c>
      <c r="R83" s="381"/>
      <c r="T83" s="379" t="s">
        <v>1730</v>
      </c>
      <c r="U83" s="381"/>
      <c r="W83" s="379" t="s">
        <v>1731</v>
      </c>
      <c r="X83" s="381"/>
      <c r="Z83" s="379" t="s">
        <v>1732</v>
      </c>
      <c r="AA83" s="381"/>
      <c r="AC83" s="379" t="s">
        <v>1733</v>
      </c>
      <c r="AD83" s="381"/>
      <c r="AG83" s="8"/>
      <c r="AH83" s="8"/>
      <c r="AI83" s="8"/>
      <c r="AJ83" s="8"/>
    </row>
    <row r="84" spans="2:36" s="2" customFormat="1" ht="20.100000000000001" customHeight="1" x14ac:dyDescent="0.2">
      <c r="B84" s="6"/>
      <c r="E84" s="11" t="s">
        <v>259</v>
      </c>
      <c r="F84" s="12" t="s">
        <v>1652</v>
      </c>
      <c r="H84" s="11" t="s">
        <v>259</v>
      </c>
      <c r="I84" s="12" t="s">
        <v>1652</v>
      </c>
      <c r="K84" s="11" t="s">
        <v>259</v>
      </c>
      <c r="L84" s="12" t="s">
        <v>1652</v>
      </c>
      <c r="N84" s="11" t="s">
        <v>259</v>
      </c>
      <c r="O84" s="12" t="s">
        <v>1652</v>
      </c>
      <c r="Q84" s="11" t="s">
        <v>259</v>
      </c>
      <c r="R84" s="14" t="s">
        <v>1652</v>
      </c>
      <c r="S84" s="15"/>
      <c r="T84" s="11" t="s">
        <v>259</v>
      </c>
      <c r="U84" s="14" t="s">
        <v>1652</v>
      </c>
      <c r="V84" s="15"/>
      <c r="W84" s="11" t="s">
        <v>259</v>
      </c>
      <c r="X84" s="14" t="s">
        <v>1652</v>
      </c>
      <c r="Y84" s="15"/>
      <c r="Z84" s="11" t="s">
        <v>259</v>
      </c>
      <c r="AA84" s="14" t="s">
        <v>1652</v>
      </c>
      <c r="AB84" s="15"/>
      <c r="AC84" s="11" t="s">
        <v>259</v>
      </c>
      <c r="AD84" s="14" t="s">
        <v>1652</v>
      </c>
      <c r="AG84" s="8"/>
      <c r="AH84" s="8"/>
      <c r="AI84" s="8"/>
      <c r="AJ84" s="8"/>
    </row>
    <row r="85" spans="2:36" s="2" customFormat="1" ht="20.100000000000001" customHeight="1" x14ac:dyDescent="0.2">
      <c r="B85" s="6"/>
      <c r="C85" s="26"/>
      <c r="E85" s="4" t="s">
        <v>1655</v>
      </c>
      <c r="F85" s="337" t="str">
        <f>IF(ISBLANK(input_mgmt_az1_mgmt_vm_gateway_ip),"Value Missing",input_mgmt_az1_mgmt_vm_gateway_ip)</f>
        <v>10.100.50.1</v>
      </c>
      <c r="H85" s="4" t="s">
        <v>1655</v>
      </c>
      <c r="I85" s="337" t="str">
        <f>IF(ISBLANK(input_wld_az1_mgmt_vm_gateway_ip),"Value Missing",input_wld_az1_mgmt_vm_gateway_ip)</f>
        <v>Value Missing</v>
      </c>
      <c r="K85" s="4" t="s">
        <v>1655</v>
      </c>
      <c r="L85" s="337" t="str">
        <f>IF(ISBLANK(input_wld_az1_rack2_mgmt_vm_gateway_ip),"Value Missing",input_wld_az1_rack2_mgmt_vm_gateway_ip)</f>
        <v>Value Missing</v>
      </c>
      <c r="N85" s="4" t="s">
        <v>1655</v>
      </c>
      <c r="O85" s="337" t="str">
        <f>IF(ISBLANK(input_wld_az1_rack3_mgmt_vm_gateway_ip),"Value Missing",input_wld_az1_rack3_mgmt_vm_gateway_ip)</f>
        <v>Value Missing</v>
      </c>
      <c r="Q85" s="4" t="s">
        <v>1655</v>
      </c>
      <c r="R85" s="337" t="str">
        <f>IF(ISBLANK(input_wld_az1_rack4_mgmt_vm_gateway_ip),"Value Missing",input_wld_az1_rack4_mgmt_vm_gateway_ip)</f>
        <v>Value Missing</v>
      </c>
      <c r="T85" s="4" t="s">
        <v>1655</v>
      </c>
      <c r="U85" s="337" t="str">
        <f>IF(ISBLANK(input_wld_az1_rack5_mgmt_vm_gateway_ip),"Value Missing",input_wld_az1_rack5_mgmt_vm_gateway_ip)</f>
        <v>Value Missing</v>
      </c>
      <c r="W85" s="4" t="s">
        <v>1655</v>
      </c>
      <c r="X85" s="337" t="str">
        <f>IF(ISBLANK(input_wld_az1_rack6_mgmt_vm_gateway_ip),"Value Missing",input_wld_az1_rack6_mgmt_vm_gateway_ip)</f>
        <v>Value Missing</v>
      </c>
      <c r="Z85" s="4" t="s">
        <v>1655</v>
      </c>
      <c r="AA85" s="337" t="str">
        <f>IF(ISBLANK(input_wld_az1_rack7_mgmt_vm_gateway_ip),"Value Missing",input_wld_az1_rack7_mgmt_vm_gateway_ip)</f>
        <v>Value Missing</v>
      </c>
      <c r="AC85" s="4" t="s">
        <v>1655</v>
      </c>
      <c r="AD85" s="337" t="str">
        <f>IF(ISBLANK(input_wld_az1_rack8_mgmt_vm_gateway_ip),"Value Missing",input_wld_az1_rack8_mgmt_vm_gateway_ip)</f>
        <v>Value Missing</v>
      </c>
      <c r="AG85" s="8"/>
      <c r="AH85" s="8"/>
      <c r="AI85" s="8"/>
      <c r="AJ85" s="8"/>
    </row>
    <row r="86" spans="2:36" s="2" customFormat="1" ht="20.100000000000001" customHeight="1" x14ac:dyDescent="0.2">
      <c r="B86" s="6"/>
      <c r="E86" s="4" t="s">
        <v>1657</v>
      </c>
      <c r="F86" s="337" t="str">
        <f>IF(ISBLANK(input_mgmt_az1_mgmt_gateway_ip),"Value Missing",input_mgmt_az1_mgmt_gateway_ip)</f>
        <v>10.100.51.1</v>
      </c>
      <c r="H86" s="4" t="s">
        <v>1657</v>
      </c>
      <c r="I86" s="337" t="str">
        <f>IF(ISBLANK(input_wld_az1_mgmt_gateway_ip),"Value Missing",input_wld_az1_mgmt_gateway_ip)</f>
        <v>Value Missing</v>
      </c>
      <c r="K86" s="4" t="s">
        <v>1657</v>
      </c>
      <c r="L86" s="337" t="str">
        <f>IF(ISBLANK(input_wld_az1_rack2_mgmt_gateway_ip),"Value Missing",input_wld_az1_rack2_mgmt_gateway_ip)</f>
        <v>Value Missing</v>
      </c>
      <c r="N86" s="4" t="s">
        <v>1657</v>
      </c>
      <c r="O86" s="337" t="str">
        <f>IF(ISBLANK(input_wld_az1_rack3_mgmt_gateway_ip),"Value Missing",input_wld_az1_rack3_mgmt_gateway_ip)</f>
        <v>Value Missing</v>
      </c>
      <c r="Q86" s="4" t="s">
        <v>1657</v>
      </c>
      <c r="R86" s="337" t="str">
        <f>IF(ISBLANK(input_wld_az1_rack4_mgmt_gateway_ip),"Value Missing",input_wld_az1_rack4_mgmt_gateway_ip)</f>
        <v>Value Missing</v>
      </c>
      <c r="T86" s="4" t="s">
        <v>1657</v>
      </c>
      <c r="U86" s="337" t="str">
        <f>IF(ISBLANK(input_wld_az1_rack5_mgmt_gateway_ip),"Value Missing",input_wld_az1_rack5_mgmt_gateway_ip)</f>
        <v>Value Missing</v>
      </c>
      <c r="W86" s="4" t="s">
        <v>1657</v>
      </c>
      <c r="X86" s="337" t="str">
        <f>IF(ISBLANK(input_wld_az1_rack6_mgmt_gateway_ip),"Value Missing",input_wld_az1_rack6_mgmt_gateway_ip)</f>
        <v>Value Missing</v>
      </c>
      <c r="Z86" s="4" t="s">
        <v>1657</v>
      </c>
      <c r="AA86" s="337" t="str">
        <f>IF(ISBLANK(input_wld_az1_rack7_mgmt_gateway_ip),"Value Missing",input_wld_az1_rack7_mgmt_gateway_ip)</f>
        <v>Value Missing</v>
      </c>
      <c r="AC86" s="4" t="s">
        <v>1657</v>
      </c>
      <c r="AD86" s="337" t="str">
        <f>IF(ISBLANK(input_wld_az1_rack8_mgmt_gateway_ip),"Value Missing",input_wld_az1_rack8_mgmt_gateway_ip)</f>
        <v>Value Missing</v>
      </c>
      <c r="AG86" s="8"/>
      <c r="AH86" s="8"/>
      <c r="AI86" s="8"/>
      <c r="AJ86" s="8"/>
    </row>
    <row r="87" spans="2:36" s="2" customFormat="1" ht="20.100000000000001" customHeight="1" x14ac:dyDescent="0.2">
      <c r="B87" s="168"/>
      <c r="E87" s="4" t="s">
        <v>404</v>
      </c>
      <c r="F87" s="337" t="str">
        <f>IF(ISBLANK(input_mgmt_az1_vmotion_gateway_ip),"Value Missing",input_mgmt_az1_vmotion_gateway_ip)</f>
        <v>192.168.21.1</v>
      </c>
      <c r="H87" s="4" t="s">
        <v>404</v>
      </c>
      <c r="I87" s="337" t="str">
        <f>IF(ISBLANK(input_wld_az1_vmotion_gateway_ip),"Value Missing",input_wld_az1_vmotion_gateway_ip)</f>
        <v>Value Missing</v>
      </c>
      <c r="K87" s="4" t="s">
        <v>404</v>
      </c>
      <c r="L87" s="337" t="str">
        <f>IF(ISBLANK(input_wld_az1_rack2_vmotion_gateway_ip),"Value Missing",input_wld_az1_rack2_vmotion_gateway_ip)</f>
        <v>Value Missing</v>
      </c>
      <c r="N87" s="4" t="s">
        <v>404</v>
      </c>
      <c r="O87" s="337" t="str">
        <f>IF(ISBLANK(input_wld_az1_rack3_vmotion_gateway_ip),"Value Missing",input_wld_az1_rack3_vmotion_gateway_ip)</f>
        <v>Value Missing</v>
      </c>
      <c r="Q87" s="4" t="s">
        <v>404</v>
      </c>
      <c r="R87" s="337" t="str">
        <f>IF(ISBLANK(input_wld_az1_rack4_vmotion_gateway_ip),"Value Missing",input_wld_az1_rack4_vmotion_gateway_ip)</f>
        <v>Value Missing</v>
      </c>
      <c r="T87" s="4" t="s">
        <v>404</v>
      </c>
      <c r="U87" s="337" t="str">
        <f>IF(ISBLANK(input_wld_az1_rack5_vmotion_gateway_ip),"Value Missing",input_wld_az1_rack5_vmotion_gateway_ip)</f>
        <v>Value Missing</v>
      </c>
      <c r="W87" s="4" t="s">
        <v>404</v>
      </c>
      <c r="X87" s="337" t="str">
        <f>IF(ISBLANK(input_wld_az1_rack6_vmotion_gateway_ip),"Value Missing",input_wld_az1_rack6_vmotion_gateway_ip)</f>
        <v>Value Missing</v>
      </c>
      <c r="Z87" s="4" t="s">
        <v>404</v>
      </c>
      <c r="AA87" s="337" t="str">
        <f>IF(ISBLANK(input_wld_az1_rack7_vmotion_gateway_ip),"Value Missing",input_wld_az1_rack7_vmotion_gateway_ip)</f>
        <v>Value Missing</v>
      </c>
      <c r="AC87" s="4" t="s">
        <v>404</v>
      </c>
      <c r="AD87" s="337" t="str">
        <f>IF(ISBLANK(input_wld_az1_rack8_vmotion_gateway_ip),"Value Missing",input_wld_az1_rack8_vmotion_gateway_ip)</f>
        <v>Value Missing</v>
      </c>
      <c r="AG87" s="8"/>
      <c r="AH87" s="8"/>
      <c r="AI87" s="8"/>
      <c r="AJ87" s="8"/>
    </row>
    <row r="88" spans="2:36" s="2" customFormat="1" ht="20.100000000000001" customHeight="1" x14ac:dyDescent="0.2">
      <c r="B88" s="168"/>
      <c r="E88" s="17" t="str">
        <f>CONCATENATE("Principal Storage Network ",wld_principal_storage_chosen)</f>
        <v>Principal Storage Network vSAN-ESA</v>
      </c>
      <c r="F88" s="337" t="str">
        <f>IF(ISBLANK(input_mgmt_az1_vsan_gateway_ip),"Value Missing",input_mgmt_az1_vsan_gateway_ip)</f>
        <v>192.168.20.1</v>
      </c>
      <c r="H88" s="17" t="s">
        <v>407</v>
      </c>
      <c r="I88" s="337" t="str">
        <f>IF(ISBLANK(input_wld_az1_principal_storage_gateway_ip),"Value Missing",input_wld_az1_principal_storage_gateway_ip)</f>
        <v>Value Missing</v>
      </c>
      <c r="K88" s="17" t="str">
        <f>CONCATENATE("Principal Storage Network ",wld_principal_storage_chosen)</f>
        <v>Principal Storage Network vSAN-ESA</v>
      </c>
      <c r="L88" s="337" t="str">
        <f>IF(ISBLANK(input_wld_az1_rack2_principal_storage_gateway_ip),"Value Missing",input_wld_az1_rack2_principal_storage_gateway_ip)</f>
        <v>Value Missing</v>
      </c>
      <c r="N88" s="17" t="str">
        <f>CONCATENATE("Principal Storage Network ",wld_principal_storage_chosen)</f>
        <v>Principal Storage Network vSAN-ESA</v>
      </c>
      <c r="O88" s="337" t="str">
        <f>IF(ISBLANK(input_wld_az1_rack3_principal_storage_gateway_ip),"Value Missing",input_wld_az1_rack3_principal_storage_gateway_ip)</f>
        <v>Value Missing</v>
      </c>
      <c r="Q88" s="17" t="str">
        <f>CONCATENATE("Principal Storage Network ",wld_principal_storage_chosen)</f>
        <v>Principal Storage Network vSAN-ESA</v>
      </c>
      <c r="R88" s="337" t="str">
        <f>IF(ISBLANK(input_wld_az1_rack4_principal_storage_gateway_ip),"Value Missing",input_wld_az1_rack4_principal_storage_gateway_ip)</f>
        <v>Value Missing</v>
      </c>
      <c r="T88" s="17" t="str">
        <f>CONCATENATE("Principal Storage Network ",wld_principal_storage_chosen)</f>
        <v>Principal Storage Network vSAN-ESA</v>
      </c>
      <c r="U88" s="337" t="str">
        <f>IF(ISBLANK(input_wld_az1_rack5_principal_storage_gateway_ip),"Value Missing",input_wld_az1_rack5_principal_storage_gateway_ip)</f>
        <v>Value Missing</v>
      </c>
      <c r="W88" s="17" t="str">
        <f>CONCATENATE("Principal Storage Network ",wld_principal_storage_chosen)</f>
        <v>Principal Storage Network vSAN-ESA</v>
      </c>
      <c r="X88" s="337" t="str">
        <f>IF(ISBLANK(input_wld_az1_rack6_principal_storage_gateway_ip),"Value Missing",input_wld_az1_rack6_principal_storage_gateway_ip)</f>
        <v>Value Missing</v>
      </c>
      <c r="Z88" s="17" t="str">
        <f>CONCATENATE("Principal Storage Network ",wld_principal_storage_chosen)</f>
        <v>Principal Storage Network vSAN-ESA</v>
      </c>
      <c r="AA88" s="337" t="str">
        <f>IF(ISBLANK(input_wld_az1_rack7_principal_storage_gateway_ip),"Value Missing",input_wld_az1_rack7_principal_storage_gateway_ip)</f>
        <v>Value Missing</v>
      </c>
      <c r="AC88" s="17" t="str">
        <f>CONCATENATE("Principal Storage Network ",wld_principal_storage_chosen)</f>
        <v>Principal Storage Network vSAN-ESA</v>
      </c>
      <c r="AD88" s="337" t="str">
        <f>IF(ISBLANK(input_wld_az1_rack8_principal_storage_gateway_ip),"Value Missing",input_wld_az1_rack8_principal_storage_gateway_ip)</f>
        <v>Value Missing</v>
      </c>
      <c r="AG88" s="8"/>
      <c r="AH88" s="8"/>
      <c r="AI88" s="8"/>
      <c r="AJ88" s="8"/>
    </row>
    <row r="89" spans="2:36" s="2" customFormat="1" ht="20.100000000000001" customHeight="1" x14ac:dyDescent="0.2">
      <c r="B89" s="6"/>
      <c r="E89" s="4" t="s">
        <v>1661</v>
      </c>
      <c r="F89" s="337" t="str">
        <f>IF(ISBLANK(input_mgmt_az1_host_overlay_gateway_ip),"Value Missing",input_mgmt_az1_host_overlay_gateway_ip)</f>
        <v>10.100.38.1</v>
      </c>
      <c r="H89" s="4" t="s">
        <v>1661</v>
      </c>
      <c r="I89" s="337" t="str">
        <f>IF(ISBLANK(input_wld_az1_host_overlay_gateway_ip),"Value Missing",input_wld_az1_host_overlay_gateway_ip)</f>
        <v>Value Missing</v>
      </c>
      <c r="K89" s="4" t="s">
        <v>1661</v>
      </c>
      <c r="L89" s="337" t="str">
        <f>IF(ISBLANK(input_wld_az1_rack2_host_overlay_gateway_ip),"Value Missing",input_wld_az1_rack2_host_overlay_gateway_ip)</f>
        <v>Value Missing</v>
      </c>
      <c r="N89" s="4" t="s">
        <v>1661</v>
      </c>
      <c r="O89" s="337" t="str">
        <f>IF(ISBLANK(input_wld_az1_rack3_host_overlay_gateway_ip),"Value Missing",input_wld_az1_rack3_host_overlay_gateway_ip)</f>
        <v>Value Missing</v>
      </c>
      <c r="Q89" s="4" t="s">
        <v>1661</v>
      </c>
      <c r="R89" s="337" t="str">
        <f>IF(ISBLANK(input_wld_az1_rack4_host_overlay_gateway_ip),"Value Missing",input_wld_az1_rack4_host_overlay_gateway_ip)</f>
        <v>Value Missing</v>
      </c>
      <c r="T89" s="4" t="s">
        <v>1661</v>
      </c>
      <c r="U89" s="337" t="str">
        <f>IF(ISBLANK(input_wld_az1_rack5_host_overlay_gateway_ip),"Value Missing",input_wld_az1_rack5_host_overlay_gateway_ip)</f>
        <v>Value Missing</v>
      </c>
      <c r="W89" s="4" t="s">
        <v>1661</v>
      </c>
      <c r="X89" s="337" t="str">
        <f>IF(ISBLANK(input_wld_az1_rack6_host_overlay_gateway_ip),"Value Missing",input_wld_az1_rack6_host_overlay_gateway_ip)</f>
        <v>Value Missing</v>
      </c>
      <c r="Z89" s="4" t="s">
        <v>1661</v>
      </c>
      <c r="AA89" s="337" t="str">
        <f>IF(ISBLANK(input_wld_az1_rack7_host_overlay_gateway_ip),"Value Missing",input_wld_az1_rack7_host_overlay_gateway_ip)</f>
        <v>Value Missing</v>
      </c>
      <c r="AC89" s="4" t="s">
        <v>1661</v>
      </c>
      <c r="AD89" s="337" t="str">
        <f>IF(ISBLANK(input_wld_az1_rack8_host_overlay_gateway_ip),"Value Missing",input_wld_az1_rack8_host_overlay_gateway_ip)</f>
        <v>Value Missing</v>
      </c>
      <c r="AG89" s="8"/>
      <c r="AH89" s="8"/>
      <c r="AI89" s="8"/>
      <c r="AJ89" s="8"/>
    </row>
    <row r="90" spans="2:36" s="2" customFormat="1" ht="20.100000000000001" customHeight="1" x14ac:dyDescent="0.2">
      <c r="E90" s="4" t="s">
        <v>1662</v>
      </c>
      <c r="F90" s="337" t="str">
        <f>IF(ISBLANK(input_mgmt_az1_secondary_storage_gateway_ip),"Value Missing",input_mgmt_az1_secondary_storage_gateway_ip)</f>
        <v>Value Missing</v>
      </c>
      <c r="H90" s="4" t="s">
        <v>1662</v>
      </c>
      <c r="I90" s="337" t="str">
        <f>IF(ISBLANK(input_wld_az1_secondary_storage_gateway_ip),"Value Missing",input_wld_az1_secondary_storage_gateway_ip)</f>
        <v>Value Missing</v>
      </c>
      <c r="K90" s="4" t="s">
        <v>1662</v>
      </c>
      <c r="L90" s="337" t="str">
        <f>IF(ISBLANK(input_wld_az1_rack2_secondary_storage_gateway_ip),"Value Missing",input_wld_az1_rack2_secondary_storage_gateway_ip)</f>
        <v>Value Missing</v>
      </c>
      <c r="N90" s="4" t="s">
        <v>1662</v>
      </c>
      <c r="O90" s="337" t="str">
        <f>IF(ISBLANK(input_wld_az1_rack3_secondary_storage_gateway_ip),"Value Missing",input_wld_az1_rack3_secondary_storage_gateway_ip)</f>
        <v>Value Missing</v>
      </c>
      <c r="Q90" s="4" t="s">
        <v>1662</v>
      </c>
      <c r="R90" s="337" t="str">
        <f>IF(ISBLANK(input_wld_az1_rack4_secondary_storage_gateway_ip),"Value Missing",input_wld_az1_rack4_secondary_storage_gateway_ip)</f>
        <v>Value Missing</v>
      </c>
      <c r="T90" s="4" t="s">
        <v>1662</v>
      </c>
      <c r="U90" s="337" t="str">
        <f>IF(ISBLANK(input_wld_az1_rack5_secondary_storage_gateway_ip),"Value Missing",input_wld_az1_rack5_secondary_storage_gateway_ip)</f>
        <v>Value Missing</v>
      </c>
      <c r="W90" s="4" t="s">
        <v>1662</v>
      </c>
      <c r="X90" s="337" t="str">
        <f>IF(ISBLANK(input_wld_az1_rack6_secondary_storage_gateway_ip),"Value Missing",input_wld_az1_rack6_secondary_storage_gateway_ip)</f>
        <v>Value Missing</v>
      </c>
      <c r="Z90" s="4" t="s">
        <v>1662</v>
      </c>
      <c r="AA90" s="337" t="str">
        <f>IF(ISBLANK(input_wld_az1_rack7_secondary_storage_gateway_ip),"Value Missing",input_wld_az1_rack7_secondary_storage_gateway_ip)</f>
        <v>Value Missing</v>
      </c>
      <c r="AC90" s="4" t="s">
        <v>1662</v>
      </c>
      <c r="AD90" s="337" t="str">
        <f>IF(ISBLANK(input_wld_az1_rack8_secondary_storage_gateway_ip),"Value Missing",input_wld_az1_rack8_secondary_storage_gateway_ip)</f>
        <v>Value Missing</v>
      </c>
      <c r="AG90" s="8"/>
      <c r="AH90" s="8"/>
      <c r="AI90" s="8"/>
      <c r="AJ90" s="8"/>
    </row>
    <row r="91" spans="2:36" s="2" customFormat="1" ht="20.100000000000001" customHeight="1" x14ac:dyDescent="0.2">
      <c r="E91" s="4"/>
      <c r="F91" s="337"/>
      <c r="H91" s="4" t="s">
        <v>1231</v>
      </c>
      <c r="I91" s="337" t="str">
        <f>IF(ISBLANK(input_wld_az1_storage_cluster_gateway_ip),"Value Missing",input_wld_az1_storage_cluster_gateway_ip)</f>
        <v>Value Missing</v>
      </c>
      <c r="K91" s="4"/>
      <c r="L91" s="337"/>
      <c r="N91" s="4"/>
      <c r="O91" s="337"/>
      <c r="Q91" s="4"/>
      <c r="R91" s="337"/>
      <c r="T91" s="4"/>
      <c r="U91" s="337"/>
      <c r="W91" s="4"/>
      <c r="X91" s="337"/>
      <c r="Z91" s="4"/>
      <c r="AA91" s="337"/>
      <c r="AC91" s="4"/>
      <c r="AD91" s="337"/>
      <c r="AG91" s="8"/>
      <c r="AH91" s="8"/>
      <c r="AI91" s="8"/>
      <c r="AJ91" s="8"/>
    </row>
    <row r="92" spans="2:36" s="2" customFormat="1" ht="20.100000000000001" customHeight="1" x14ac:dyDescent="0.2">
      <c r="E92" s="4" t="s">
        <v>1664</v>
      </c>
      <c r="F92" s="337" t="str">
        <f>IF(ISBLANK(input_mgmt_az1_uplink01_gateway_ip),"Value Missing",input_mgmt_az1_uplink01_gateway_ip)</f>
        <v>Value Missing</v>
      </c>
      <c r="H92" s="4" t="s">
        <v>1664</v>
      </c>
      <c r="I92" s="337" t="str">
        <f>IF(ISBLANK(input_wld_az1_uplink01_gateway_ip),"Value Missing",input_wld_az1_uplink01_gateway_ip)</f>
        <v>Value Missing</v>
      </c>
      <c r="K92" s="4" t="s">
        <v>1664</v>
      </c>
      <c r="L92" s="337" t="str">
        <f>IF(ISBLANK(input_wld_az1_rack2_uplink01_gateway_ip),"Value Missing",input_wld_az1_rack2_uplink01_gateway_ip)</f>
        <v>Value Missing</v>
      </c>
      <c r="N92" s="4" t="s">
        <v>1664</v>
      </c>
      <c r="O92" s="337" t="str">
        <f>IF(ISBLANK(input_wld_az1_rack3_uplink01_gateway_ip),"Value Missing",input_wld_az1_rack3_uplink01_gateway_ip)</f>
        <v>Value Missing</v>
      </c>
      <c r="Q92" s="4" t="s">
        <v>1664</v>
      </c>
      <c r="R92" s="337" t="str">
        <f>IF(ISBLANK(input_wld_az1_rack4_uplink01_gateway_ip),"Value Missing",input_wld_az1_rack4_uplink01_gateway_ip)</f>
        <v>Value Missing</v>
      </c>
      <c r="T92" s="4" t="s">
        <v>1664</v>
      </c>
      <c r="U92" s="337" t="str">
        <f>IF(ISBLANK(input_wld_az1_rack5_uplink01_gateway_ip),"Value Missing",input_wld_az1_rack5_uplink01_gateway_ip)</f>
        <v>Value Missing</v>
      </c>
      <c r="W92" s="4" t="s">
        <v>1664</v>
      </c>
      <c r="X92" s="337" t="str">
        <f>IF(ISBLANK(input_wld_az1_rack6_uplink01_gateway_ip),"Value Missing",input_wld_az1_rack6_uplink01_gateway_ip)</f>
        <v>Value Missing</v>
      </c>
      <c r="Z92" s="4" t="s">
        <v>1664</v>
      </c>
      <c r="AA92" s="337" t="str">
        <f>IF(ISBLANK(input_wld_az1_rack7_uplink01_gateway_ip),"Value Missing",input_wld_az1_rack7_uplink01_gateway_ip)</f>
        <v>Value Missing</v>
      </c>
      <c r="AC92" s="4" t="s">
        <v>1664</v>
      </c>
      <c r="AD92" s="337" t="str">
        <f>IF(ISBLANK(input_wld_az1_rack8_uplink01_gateway_ip),"Value Missing",input_wld_az1_rack8_uplink01_gateway_ip)</f>
        <v>Value Missing</v>
      </c>
      <c r="AG92" s="8"/>
      <c r="AH92" s="8"/>
      <c r="AI92" s="8"/>
      <c r="AJ92" s="8"/>
    </row>
    <row r="93" spans="2:36" s="2" customFormat="1" ht="20.100000000000001" customHeight="1" x14ac:dyDescent="0.2">
      <c r="E93" s="4" t="s">
        <v>1665</v>
      </c>
      <c r="F93" s="337" t="str">
        <f>IF(ISBLANK(input_mgmt_az1_uplink02_gateway_ip),"Value Missing",input_mgmt_az1_uplink02_gateway_ip)</f>
        <v>Value Missing</v>
      </c>
      <c r="G93" s="15"/>
      <c r="H93" s="4" t="s">
        <v>1665</v>
      </c>
      <c r="I93" s="337" t="str">
        <f>IF(ISBLANK(input_wld_az1_uplink02_gateway_ip),"Value Missing",input_wld_az1_uplink02_gateway_ip)</f>
        <v>Value Missing</v>
      </c>
      <c r="J93" s="15"/>
      <c r="K93" s="4" t="s">
        <v>1665</v>
      </c>
      <c r="L93" s="337" t="str">
        <f>IF(ISBLANK(input_wld_az1_rack2_uplink02_gateway_ip),"Value Missing",input_wld_az1_rack2_uplink02_gateway_ip)</f>
        <v>Value Missing</v>
      </c>
      <c r="N93" s="4" t="s">
        <v>1665</v>
      </c>
      <c r="O93" s="337" t="str">
        <f>IF(ISBLANK(input_wld_az1_rack3_uplink02_gateway_ip),"Value Missing",input_wld_az1_rack3_uplink02_gateway_ip)</f>
        <v>Value Missing</v>
      </c>
      <c r="Q93" s="4" t="s">
        <v>1665</v>
      </c>
      <c r="R93" s="337" t="str">
        <f>IF(ISBLANK(input_wld_az1_rack4_uplink02_gateway_ip),"Value Missing",input_wld_az1_rack4_uplink02_gateway_ip)</f>
        <v>Value Missing</v>
      </c>
      <c r="T93" s="4" t="s">
        <v>1665</v>
      </c>
      <c r="U93" s="337" t="str">
        <f>IF(ISBLANK(input_wld_az1_rack5_uplink02_gateway_ip),"Value Missing",input_wld_az1_rack5_uplink02_gateway_ip)</f>
        <v>Value Missing</v>
      </c>
      <c r="W93" s="4" t="s">
        <v>1665</v>
      </c>
      <c r="X93" s="337" t="str">
        <f>IF(ISBLANK(input_wld_az1_rack6_uplink02_gateway_ip),"Value Missing",input_wld_az1_rack6_uplink02_gateway_ip)</f>
        <v>Value Missing</v>
      </c>
      <c r="Z93" s="4" t="s">
        <v>1665</v>
      </c>
      <c r="AA93" s="337" t="str">
        <f>IF(ISBLANK(input_wld_az1_rack7_uplink02_gateway_ip),"Value Missing",input_wld_az1_rack7_uplink02_gateway_ip)</f>
        <v>Value Missing</v>
      </c>
      <c r="AC93" s="4" t="s">
        <v>1665</v>
      </c>
      <c r="AD93" s="337" t="str">
        <f>IF(ISBLANK(input_wld_az1_rack8_uplink02_gateway_ip),"Value Missing",input_wld_az1_rack8_uplink02_gateway_ip)</f>
        <v>Value Missing</v>
      </c>
      <c r="AG93" s="8"/>
      <c r="AH93" s="8"/>
      <c r="AI93" s="8"/>
      <c r="AJ93" s="8"/>
    </row>
    <row r="94" spans="2:36" s="2" customFormat="1" ht="20.100000000000001" customHeight="1" x14ac:dyDescent="0.2">
      <c r="E94" s="4" t="s">
        <v>1667</v>
      </c>
      <c r="F94" s="337" t="str">
        <f>IF(ISBLANK(input_mgmt_az1_edge_overlay_gateway_ip),"Value Missing",input_mgmt_az1_edge_overlay_gateway_ip)</f>
        <v>Value Missing</v>
      </c>
      <c r="H94" s="4" t="s">
        <v>1667</v>
      </c>
      <c r="I94" s="337" t="str">
        <f>IF(ISBLANK(input_wld_az1_edge_overlay_gateway_ip),"Value Missing",input_wld_az1_edge_overlay_gateway_ip)</f>
        <v>Value Missing</v>
      </c>
      <c r="K94" s="4" t="s">
        <v>1667</v>
      </c>
      <c r="L94" s="337" t="str">
        <f>IF(ISBLANK(input_wld_az1_rack2_edge_overlay_gateway_ip),"Value Missing",input_wld_az1_rack2_edge_overlay_gateway_ip)</f>
        <v>Value Missing</v>
      </c>
      <c r="M94" s="15"/>
      <c r="N94" s="4" t="s">
        <v>1667</v>
      </c>
      <c r="O94" s="337" t="str">
        <f>IF(ISBLANK(input_wld_az1_rack3_edge_overlay_gateway_ip),"Value Missing",input_wld_az1_rack3_edge_overlay_gateway_ip)</f>
        <v>Value Missing</v>
      </c>
      <c r="Q94" s="4" t="s">
        <v>1667</v>
      </c>
      <c r="R94" s="337" t="str">
        <f>IF(ISBLANK(input_wld_az1_rack4_edge_overlay_gateway_ip),"Value Missing",input_wld_az1_rack4_edge_overlay_gateway_ip)</f>
        <v>Value Missing</v>
      </c>
      <c r="T94" s="4" t="s">
        <v>1667</v>
      </c>
      <c r="U94" s="337" t="str">
        <f>IF(ISBLANK(input_wld_az1_rack5_edge_overlay_gateway_ip),"Value Missing",input_wld_az1_rack5_edge_overlay_gateway_ip)</f>
        <v>Value Missing</v>
      </c>
      <c r="W94" s="4" t="s">
        <v>1667</v>
      </c>
      <c r="X94" s="337" t="str">
        <f>IF(ISBLANK(input_wld_az1_rack6_edge_overlay_gateway_ip),"Value Missing",input_wld_az1_rack6_edge_overlay_gateway_ip)</f>
        <v>Value Missing</v>
      </c>
      <c r="Z94" s="4" t="s">
        <v>1667</v>
      </c>
      <c r="AA94" s="337" t="str">
        <f>IF(ISBLANK(input_wld_az1_rack7_edge_overlay_gateway_ip),"Value Missing",input_wld_az1_rack7_edge_overlay_gateway_ip)</f>
        <v>Value Missing</v>
      </c>
      <c r="AC94" s="4" t="s">
        <v>1667</v>
      </c>
      <c r="AD94" s="337" t="str">
        <f>IF(ISBLANK(input_wld_az1_rack8_edge_overlay_gateway_ip),"Value Missing",input_wld_az1_rack8_edge_overlay_gateway_ip)</f>
        <v>Value Missing</v>
      </c>
      <c r="AG94" s="8"/>
      <c r="AH94" s="8"/>
      <c r="AI94" s="8"/>
      <c r="AJ94" s="8"/>
    </row>
    <row r="95" spans="2:36" s="2" customFormat="1" ht="20.100000000000001" customHeight="1" x14ac:dyDescent="0.2">
      <c r="E95" s="4" t="s">
        <v>1669</v>
      </c>
      <c r="F95" s="337" t="str">
        <f>IF(ISBLANK(input_mgmt_az1_rtep_overlay_gateway_ip),"Value Missing",input_mgmt_az1_rtep_overlay_gateway_ip)</f>
        <v>Value Missing</v>
      </c>
      <c r="H95" s="4" t="s">
        <v>1669</v>
      </c>
      <c r="I95" s="337" t="str">
        <f>IF(ISBLANK(input_wld_az1_rtep_overlay_gateway_ip),"Value Missing",input_wld_az1_rtep_overlay_gateway_ip)</f>
        <v>Value Missing</v>
      </c>
      <c r="K95" s="4" t="s">
        <v>1669</v>
      </c>
      <c r="L95" s="337"/>
      <c r="N95" s="4" t="s">
        <v>1669</v>
      </c>
      <c r="O95" s="337"/>
      <c r="Q95" s="4" t="s">
        <v>1669</v>
      </c>
      <c r="R95" s="337"/>
      <c r="T95" s="4" t="s">
        <v>1669</v>
      </c>
      <c r="U95" s="337"/>
      <c r="W95" s="4" t="s">
        <v>1669</v>
      </c>
      <c r="X95" s="337"/>
      <c r="Z95" s="4" t="s">
        <v>1669</v>
      </c>
      <c r="AA95" s="337"/>
      <c r="AC95" s="4" t="s">
        <v>1669</v>
      </c>
      <c r="AD95" s="337"/>
      <c r="AG95" s="8"/>
      <c r="AH95" s="8"/>
      <c r="AI95" s="8"/>
      <c r="AJ95" s="8"/>
    </row>
    <row r="96" spans="2:36" s="2" customFormat="1" ht="20.100000000000001" customHeight="1" x14ac:dyDescent="0.2">
      <c r="E96" s="4" t="s">
        <v>1671</v>
      </c>
      <c r="F96" s="337"/>
      <c r="H96" s="4" t="s">
        <v>1671</v>
      </c>
      <c r="I96" s="337" t="str">
        <f>IF(ISBLANK(input_wld_az1_vrms_gateway_ip),"Value Missing",input_wld_az1_vrms_gateway_ip)</f>
        <v>Value Missing</v>
      </c>
      <c r="K96" s="4" t="s">
        <v>1671</v>
      </c>
      <c r="L96" s="337"/>
      <c r="N96" s="4" t="s">
        <v>1671</v>
      </c>
      <c r="O96" s="337"/>
      <c r="Q96" s="4" t="s">
        <v>1671</v>
      </c>
      <c r="R96" s="337"/>
      <c r="T96" s="4" t="s">
        <v>1671</v>
      </c>
      <c r="U96" s="337"/>
      <c r="W96" s="4" t="s">
        <v>1671</v>
      </c>
      <c r="X96" s="337"/>
      <c r="Z96" s="4" t="s">
        <v>1671</v>
      </c>
      <c r="AA96" s="337"/>
      <c r="AC96" s="4" t="s">
        <v>1671</v>
      </c>
      <c r="AD96" s="337"/>
      <c r="AG96" s="8"/>
      <c r="AH96" s="8"/>
      <c r="AI96" s="8"/>
      <c r="AJ96" s="8"/>
    </row>
    <row r="97" spans="2:36" ht="20.100000000000001"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100000000000001" customHeight="1" x14ac:dyDescent="0.2">
      <c r="B98" s="2"/>
      <c r="C98" s="2"/>
      <c r="E98" s="379" t="s">
        <v>1734</v>
      </c>
      <c r="F98" s="381"/>
      <c r="G98" s="2"/>
      <c r="H98" s="379" t="s">
        <v>1735</v>
      </c>
      <c r="I98" s="381"/>
      <c r="J98" s="2"/>
      <c r="K98" s="379" t="s">
        <v>1736</v>
      </c>
      <c r="L98" s="381"/>
      <c r="M98" s="2"/>
      <c r="N98" s="379" t="s">
        <v>1737</v>
      </c>
      <c r="O98" s="381"/>
      <c r="P98" s="7"/>
      <c r="Q98" s="379" t="s">
        <v>1738</v>
      </c>
      <c r="R98" s="381"/>
      <c r="S98" s="2"/>
      <c r="T98" s="379" t="s">
        <v>1739</v>
      </c>
      <c r="U98" s="381"/>
      <c r="V98" s="2"/>
      <c r="W98" s="379" t="s">
        <v>1740</v>
      </c>
      <c r="X98" s="381"/>
      <c r="Y98" s="2"/>
      <c r="Z98" s="379" t="s">
        <v>1741</v>
      </c>
      <c r="AA98" s="381"/>
      <c r="AB98" s="2"/>
      <c r="AC98" s="379" t="s">
        <v>1742</v>
      </c>
      <c r="AD98" s="381"/>
    </row>
    <row r="99" spans="2:36" s="2" customFormat="1" ht="20.100000000000001" customHeight="1" x14ac:dyDescent="0.2">
      <c r="E99" s="11" t="s">
        <v>259</v>
      </c>
      <c r="F99" s="14" t="s">
        <v>1652</v>
      </c>
      <c r="H99" s="11" t="s">
        <v>259</v>
      </c>
      <c r="I99" s="14" t="s">
        <v>1652</v>
      </c>
      <c r="K99" s="11" t="s">
        <v>259</v>
      </c>
      <c r="L99" s="14" t="s">
        <v>1652</v>
      </c>
      <c r="N99" s="11" t="s">
        <v>259</v>
      </c>
      <c r="O99" s="14" t="s">
        <v>1652</v>
      </c>
      <c r="P99" s="15"/>
      <c r="Q99" s="11" t="s">
        <v>259</v>
      </c>
      <c r="R99" s="14" t="s">
        <v>1652</v>
      </c>
      <c r="S99" s="15"/>
      <c r="T99" s="11" t="s">
        <v>259</v>
      </c>
      <c r="U99" s="14" t="s">
        <v>1652</v>
      </c>
      <c r="V99" s="15"/>
      <c r="W99" s="11" t="s">
        <v>259</v>
      </c>
      <c r="X99" s="14" t="s">
        <v>1652</v>
      </c>
      <c r="Y99" s="15"/>
      <c r="Z99" s="11" t="s">
        <v>259</v>
      </c>
      <c r="AA99" s="14" t="s">
        <v>1652</v>
      </c>
      <c r="AB99" s="15"/>
      <c r="AC99" s="11" t="s">
        <v>259</v>
      </c>
      <c r="AD99" s="14" t="s">
        <v>1652</v>
      </c>
      <c r="AG99" s="8"/>
      <c r="AH99" s="8"/>
      <c r="AI99" s="8"/>
      <c r="AJ99" s="8"/>
    </row>
    <row r="100" spans="2:36" s="26" customFormat="1" ht="20.100000000000001" customHeight="1" x14ac:dyDescent="0.2">
      <c r="B100" s="2"/>
      <c r="C100" s="2"/>
      <c r="E100" s="4" t="s">
        <v>1411</v>
      </c>
      <c r="F100" s="337" t="str">
        <f>IF(ISBLANK(input_mgmt_en_asn),"Value Missing",input_mgmt_en_asn)</f>
        <v>Value Missing</v>
      </c>
      <c r="G100" s="2"/>
      <c r="H100" s="4" t="s">
        <v>1411</v>
      </c>
      <c r="I100" s="337" t="str">
        <f>IF(ISBLANK(input_wld_en_asn),"Value Missing",input_wld_en_asn)</f>
        <v>Value Missing</v>
      </c>
      <c r="J100" s="2"/>
      <c r="K100" s="4" t="s">
        <v>1411</v>
      </c>
      <c r="L100" s="337" t="str">
        <f>IF(ISBLANK(input_wld_rack2_en_asn),"Value Missing",input_wld_rack2_en_asn)</f>
        <v>Value Missing</v>
      </c>
      <c r="M100" s="2"/>
      <c r="N100" s="4" t="s">
        <v>1411</v>
      </c>
      <c r="O100" s="337" t="str">
        <f>IF(ISBLANK(input_wld_rack3_en_asn),"Value Missing",input_wld_rack3_en_asn)</f>
        <v>Value Missing</v>
      </c>
      <c r="P100" s="2"/>
      <c r="Q100" s="4" t="s">
        <v>1411</v>
      </c>
      <c r="R100" s="337" t="str">
        <f>IF(ISBLANK(input_wld_rack4_en_asn),"Value Missing",input_wld_rack4_en_asn)</f>
        <v>Value Missing</v>
      </c>
      <c r="S100" s="2"/>
      <c r="T100" s="4" t="s">
        <v>1411</v>
      </c>
      <c r="U100" s="337" t="str">
        <f>IF(ISBLANK(input_wld_rack5_en_asn),"Value Missing",input_wld_rack5_en_asn)</f>
        <v>Value Missing</v>
      </c>
      <c r="V100" s="2"/>
      <c r="W100" s="4" t="s">
        <v>1411</v>
      </c>
      <c r="X100" s="337" t="str">
        <f>IF(ISBLANK(input_wld_rack6_en_asn),"Value Missing",input_wld_rack6_en_asn)</f>
        <v>Value Missing</v>
      </c>
      <c r="Y100" s="2"/>
      <c r="Z100" s="4" t="s">
        <v>1411</v>
      </c>
      <c r="AA100" s="337" t="str">
        <f>IF(ISBLANK(input_wld_rack7_en_asn),"Value Missing",input_wld_rack7_en_asn)</f>
        <v>Value Missing</v>
      </c>
      <c r="AB100" s="2"/>
      <c r="AC100" s="4" t="s">
        <v>1411</v>
      </c>
      <c r="AD100" s="337" t="str">
        <f>IF(ISBLANK(input_wld_rack8_en_asn),"Value Missing",input_wld_rack8_en_asn)</f>
        <v>Value Missing</v>
      </c>
      <c r="AG100" s="27"/>
      <c r="AH100" s="27"/>
      <c r="AI100" s="27"/>
      <c r="AJ100" s="27"/>
    </row>
    <row r="101" spans="2:36" s="2" customFormat="1" ht="20.100000000000001" customHeight="1" x14ac:dyDescent="0.2">
      <c r="E101" s="4" t="s">
        <v>648</v>
      </c>
      <c r="F101" s="337" t="str">
        <f>IF(ISBLANK(input_mgmt_az1_tor1_peer_ip),"Value Missing",input_mgmt_az1_tor1_peer_ip)</f>
        <v>Value Missing</v>
      </c>
      <c r="H101" s="4" t="s">
        <v>648</v>
      </c>
      <c r="I101" s="337" t="str">
        <f>IF(ISBLANK(input_wld_az1_tor1_peer_ip),"Value Missing",input_wld_az1_tor1_peer_ip)</f>
        <v>Value Missing</v>
      </c>
      <c r="K101" s="4" t="s">
        <v>648</v>
      </c>
      <c r="L101" s="337" t="str">
        <f>IF(ISBLANK(input_wld_az1_rack2_tor1_peer_ip),"Value Missing",input_wld_az1_rack2_tor1_peer_ip)</f>
        <v>Value Missing</v>
      </c>
      <c r="N101" s="4" t="s">
        <v>648</v>
      </c>
      <c r="O101" s="337" t="str">
        <f>IF(ISBLANK(input_wld_az1_rack3_tor1_peer_ip),"Value Missing",input_wld_az1_rack3_tor1_peer_ip)</f>
        <v>Value Missing</v>
      </c>
      <c r="Q101" s="4" t="s">
        <v>648</v>
      </c>
      <c r="R101" s="337" t="str">
        <f>IF(ISBLANK(input_wld_az1_rack4_tor1_peer_ip),"Value Missing",input_wld_az1_rack4_tor1_peer_ip)</f>
        <v>Value Missing</v>
      </c>
      <c r="T101" s="4" t="s">
        <v>648</v>
      </c>
      <c r="U101" s="337" t="str">
        <f>IF(ISBLANK(input_wld_az1_rack5_tor1_peer_ip),"Value Missing",input_wld_az1_rack5_tor1_peer_ip)</f>
        <v>Value Missing</v>
      </c>
      <c r="W101" s="4" t="s">
        <v>648</v>
      </c>
      <c r="X101" s="337" t="str">
        <f>IF(ISBLANK(input_wld_az1_rack6_tor1_peer_ip),"Value Missing",input_wld_az1_rack6_tor1_peer_ip)</f>
        <v>Value Missing</v>
      </c>
      <c r="Z101" s="4" t="s">
        <v>648</v>
      </c>
      <c r="AA101" s="337" t="str">
        <f>IF(ISBLANK(input_wld_az1_rack7_tor1_peer_ip),"Value Missing",input_wld_az1_rack7_tor1_peer_ip)</f>
        <v>Value Missing</v>
      </c>
      <c r="AC101" s="4" t="s">
        <v>648</v>
      </c>
      <c r="AD101" s="337" t="str">
        <f>IF(ISBLANK(input_wld_az1_rack8_tor1_peer_ip),"Value Missing",input_wld_az1_rack8_tor1_peer_ip)</f>
        <v>Value Missing</v>
      </c>
      <c r="AG101" s="8"/>
      <c r="AH101" s="8"/>
      <c r="AI101" s="8"/>
      <c r="AJ101" s="8"/>
    </row>
    <row r="102" spans="2:36" s="2" customFormat="1" ht="20.100000000000001" customHeight="1" x14ac:dyDescent="0.2">
      <c r="E102" s="4" t="s">
        <v>649</v>
      </c>
      <c r="F102" s="337" t="str">
        <f>IF(ISBLANK(input_mgmt_az1_tor1_peer_asn),"Value Missing",input_mgmt_az1_tor1_peer_asn)</f>
        <v>Value Missing</v>
      </c>
      <c r="H102" s="4" t="s">
        <v>649</v>
      </c>
      <c r="I102" s="337" t="str">
        <f>IF(ISBLANK(input_wld_az1_tor1_peer_asn),"Value Missing",input_wld_az1_tor1_peer_asn)</f>
        <v>Value Missing</v>
      </c>
      <c r="K102" s="4" t="s">
        <v>649</v>
      </c>
      <c r="L102" s="337" t="str">
        <f>IF(ISBLANK(input_wld_az1_rack2_tor1_peer_asn),"Value Missing",input_wld_az1_rack2_tor1_peer_asn)</f>
        <v>Value Missing</v>
      </c>
      <c r="N102" s="4" t="s">
        <v>649</v>
      </c>
      <c r="O102" s="337" t="str">
        <f>IF(ISBLANK(input_wld_az1_rack3_tor1_peer_asn),"Value Missing",input_wld_az1_rack3_tor1_peer_asn)</f>
        <v>Value Missing</v>
      </c>
      <c r="Q102" s="4" t="s">
        <v>649</v>
      </c>
      <c r="R102" s="337" t="str">
        <f>IF(ISBLANK(input_wld_az1_rack4_tor1_peer_asn),"Value Missing",input_wld_az1_rack4_tor1_peer_asn)</f>
        <v>Value Missing</v>
      </c>
      <c r="T102" s="4" t="s">
        <v>649</v>
      </c>
      <c r="U102" s="337" t="str">
        <f>IF(ISBLANK(input_wld_az1_rack5_tor1_peer_asn),"Value Missing",input_wld_az1_rack5_tor1_peer_asn)</f>
        <v>Value Missing</v>
      </c>
      <c r="W102" s="4" t="s">
        <v>649</v>
      </c>
      <c r="X102" s="337" t="str">
        <f>IF(ISBLANK(input_wld_az1_rack6_tor1_peer_asn),"Value Missing",input_wld_az1_rack6_tor1_peer_asn)</f>
        <v>Value Missing</v>
      </c>
      <c r="Z102" s="4" t="s">
        <v>649</v>
      </c>
      <c r="AA102" s="337" t="str">
        <f>IF(ISBLANK(input_wld_az1_rack7_tor1_peer_asn),"Value Missing",input_wld_az1_rack7_tor1_peer_asn)</f>
        <v>Value Missing</v>
      </c>
      <c r="AC102" s="4" t="s">
        <v>649</v>
      </c>
      <c r="AD102" s="337" t="str">
        <f>IF(ISBLANK(input_wld_az1_rack8_tor1_peer_asn),"Value Missing",input_wld_az1_rack8_tor1_peer_asn)</f>
        <v>Value Missing</v>
      </c>
      <c r="AG102" s="8"/>
      <c r="AH102" s="8"/>
      <c r="AI102" s="8"/>
      <c r="AJ102" s="8"/>
    </row>
    <row r="103" spans="2:36" s="2" customFormat="1" ht="20.100000000000001" customHeight="1" x14ac:dyDescent="0.2">
      <c r="E103" s="4" t="s">
        <v>650</v>
      </c>
      <c r="F103" s="337" t="str">
        <f>IF(ISBLANK(input_mgmt_az1_tor1_peer_bgp_password),"Value Missing",input_mgmt_az1_tor1_peer_bgp_password)</f>
        <v>Value Missing</v>
      </c>
      <c r="G103" s="15"/>
      <c r="H103" s="4" t="s">
        <v>650</v>
      </c>
      <c r="I103" s="337" t="str">
        <f>IF(ISBLANK(input_wld_az1_tor1_peer_bgp_password),"Value Missing",input_wld_az1_tor1_peer_bgp_password)</f>
        <v>Value Missing</v>
      </c>
      <c r="J103" s="15"/>
      <c r="K103" s="4" t="s">
        <v>650</v>
      </c>
      <c r="L103" s="337" t="str">
        <f>IF(ISBLANK(input_wld_az1_rack2_tor1_peer_bgp_password),"Value Missing",input_wld_az1_rack2_tor1_peer_bgp_password)</f>
        <v>Value Missing</v>
      </c>
      <c r="N103" s="4" t="s">
        <v>650</v>
      </c>
      <c r="O103" s="337" t="str">
        <f>IF(ISBLANK(input_wld_az1_rack3_tor1_peer_bgp_password),"Value Missing",input_wld_az1_rack3_tor1_peer_bgp_password)</f>
        <v>Value Missing</v>
      </c>
      <c r="Q103" s="4" t="s">
        <v>650</v>
      </c>
      <c r="R103" s="337" t="str">
        <f>IF(ISBLANK(input_wld_az1_rack4_tor1_peer_bgp_password),"Value Missing",input_wld_az1_rack4_tor1_peer_bgp_password)</f>
        <v>Value Missing</v>
      </c>
      <c r="T103" s="4" t="s">
        <v>650</v>
      </c>
      <c r="U103" s="337" t="str">
        <f>IF(ISBLANK(input_wld_az1_rack5_tor1_peer_bgp_password),"Value Missing",input_wld_az1_rack5_tor1_peer_bgp_password)</f>
        <v>Value Missing</v>
      </c>
      <c r="W103" s="4" t="s">
        <v>650</v>
      </c>
      <c r="X103" s="337" t="str">
        <f>IF(ISBLANK(input_wld_az1_rack6_tor1_peer_bgp_password),"Value Missing",input_wld_az1_rack6_tor1_peer_bgp_password)</f>
        <v>Value Missing</v>
      </c>
      <c r="Z103" s="4" t="s">
        <v>650</v>
      </c>
      <c r="AA103" s="337" t="str">
        <f>IF(ISBLANK(input_wld_az1_rack7_tor1_peer_bgp_password),"Value Missing",input_wld_az1_rack7_tor1_peer_bgp_password)</f>
        <v>Value Missing</v>
      </c>
      <c r="AC103" s="4" t="s">
        <v>650</v>
      </c>
      <c r="AD103" s="337" t="str">
        <f>IF(ISBLANK(input_wld_az1_rack8_tor1_peer_bgp_password),"Value Missing",input_wld_az1_rack8_tor1_peer_bgp_password)</f>
        <v>Value Missing</v>
      </c>
      <c r="AG103" s="8"/>
      <c r="AH103" s="8"/>
      <c r="AI103" s="8"/>
      <c r="AJ103" s="8"/>
    </row>
    <row r="104" spans="2:36" s="2" customFormat="1" ht="20.100000000000001" customHeight="1" x14ac:dyDescent="0.2">
      <c r="E104" s="4" t="s">
        <v>651</v>
      </c>
      <c r="F104" s="337" t="str">
        <f>IF(ISBLANK(input_mgmt_az1_tor2_peer_ip),"Value Missing",input_mgmt_az1_tor2_peer_ip)</f>
        <v>Value Missing</v>
      </c>
      <c r="H104" s="4" t="s">
        <v>651</v>
      </c>
      <c r="I104" s="337" t="str">
        <f>IF(ISBLANK(input_wld_az1_tor2_peer_ip),"Value Missing",input_wld_az1_tor2_peer_ip)</f>
        <v>Value Missing</v>
      </c>
      <c r="K104" s="4" t="s">
        <v>651</v>
      </c>
      <c r="L104" s="337" t="str">
        <f>IF(ISBLANK(input_wld_az1_rack2_tor2_peer_ip),"Value Missing",input_wld_az1_rack2_tor2_peer_ip)</f>
        <v>Value Missing</v>
      </c>
      <c r="M104" s="15"/>
      <c r="N104" s="4" t="s">
        <v>651</v>
      </c>
      <c r="O104" s="337" t="str">
        <f>IF(ISBLANK(input_wld_az1_rack3_tor2_peer_ip),"Value Missing",input_wld_az1_rack3_tor2_peer_ip)</f>
        <v>Value Missing</v>
      </c>
      <c r="Q104" s="4" t="s">
        <v>651</v>
      </c>
      <c r="R104" s="337" t="str">
        <f>IF(ISBLANK(input_wld_az1_rack4_tor2_peer_ip),"Value Missing",input_wld_az1_rack4_tor2_peer_ip)</f>
        <v>Value Missing</v>
      </c>
      <c r="T104" s="4" t="s">
        <v>651</v>
      </c>
      <c r="U104" s="337" t="str">
        <f>IF(ISBLANK(input_wld_az1_rack5_tor2_peer_ip),"Value Missing",input_wld_az1_rack5_tor2_peer_ip)</f>
        <v>Value Missing</v>
      </c>
      <c r="W104" s="4" t="s">
        <v>651</v>
      </c>
      <c r="X104" s="337" t="str">
        <f>IF(ISBLANK(input_wld_az1_rack6_tor2_peer_ip),"Value Missing",input_wld_az1_rack6_tor2_peer_ip)</f>
        <v>Value Missing</v>
      </c>
      <c r="Z104" s="4" t="s">
        <v>651</v>
      </c>
      <c r="AA104" s="337" t="str">
        <f>IF(ISBLANK(input_wld_az1_rack7_tor2_peer_ip),"Value Missing",input_wld_az1_rack7_tor2_peer_ip)</f>
        <v>Value Missing</v>
      </c>
      <c r="AC104" s="4" t="s">
        <v>651</v>
      </c>
      <c r="AD104" s="337" t="str">
        <f>IF(ISBLANK(input_wld_az1_rack8_tor2_peer_ip),"Value Missing",input_wld_az1_rack8_tor2_peer_ip)</f>
        <v>Value Missing</v>
      </c>
      <c r="AG104" s="8"/>
      <c r="AH104" s="8"/>
      <c r="AI104" s="8"/>
      <c r="AJ104" s="8"/>
    </row>
    <row r="105" spans="2:36" s="2" customFormat="1" ht="20.100000000000001" customHeight="1" x14ac:dyDescent="0.2">
      <c r="E105" s="4" t="s">
        <v>652</v>
      </c>
      <c r="F105" s="337" t="str">
        <f>IF(ISBLANK(input_mgmt_az1_tor2_peer_asn),"Value Missing",input_mgmt_az1_tor2_peer_asn)</f>
        <v>Value Missing</v>
      </c>
      <c r="H105" s="4" t="s">
        <v>652</v>
      </c>
      <c r="I105" s="337" t="str">
        <f>IF(ISBLANK(input_wld_az1_tor2_peer_asn),"Value Missing",input_wld_az1_tor2_peer_asn)</f>
        <v>Value Missing</v>
      </c>
      <c r="K105" s="4" t="s">
        <v>652</v>
      </c>
      <c r="L105" s="337" t="str">
        <f>IF(ISBLANK(input_wld_az1_rack2_tor2_peer_asn),"Value Missing",input_wld_az1_rack2_tor2_peer_asn)</f>
        <v>Value Missing</v>
      </c>
      <c r="N105" s="4" t="s">
        <v>652</v>
      </c>
      <c r="O105" s="337" t="str">
        <f>IF(ISBLANK(input_wld_az1_rack3_tor2_peer_asn),"Value Missing",input_wld_az1_rack3_tor2_peer_asn)</f>
        <v>Value Missing</v>
      </c>
      <c r="Q105" s="4" t="s">
        <v>652</v>
      </c>
      <c r="R105" s="337" t="str">
        <f>IF(ISBLANK(input_wld_az1_rack4_tor2_peer_asn),"Value Missing",input_wld_az1_rack4_tor2_peer_asn)</f>
        <v>Value Missing</v>
      </c>
      <c r="T105" s="4" t="s">
        <v>652</v>
      </c>
      <c r="U105" s="337" t="str">
        <f>IF(ISBLANK(input_wld_az1_rack5_tor2_peer_asn),"Value Missing",input_wld_az1_rack5_tor2_peer_asn)</f>
        <v>Value Missing</v>
      </c>
      <c r="W105" s="4" t="s">
        <v>652</v>
      </c>
      <c r="X105" s="337" t="str">
        <f>IF(ISBLANK(input_wld_az1_rack6_tor2_peer_asn),"Value Missing",input_wld_az1_rack6_tor2_peer_asn)</f>
        <v>Value Missing</v>
      </c>
      <c r="Z105" s="4" t="s">
        <v>652</v>
      </c>
      <c r="AA105" s="337" t="str">
        <f>IF(ISBLANK(input_wld_az1_rack7_tor2_peer_asn),"Value Missing",input_wld_az1_rack7_tor2_peer_asn)</f>
        <v>Value Missing</v>
      </c>
      <c r="AC105" s="4" t="s">
        <v>652</v>
      </c>
      <c r="AD105" s="337" t="str">
        <f>IF(ISBLANK(input_wld_az1_rack8_tor2_peer_asn),"Value Missing",input_wld_az1_rack8_tor2_peer_asn)</f>
        <v>Value Missing</v>
      </c>
      <c r="AG105" s="8"/>
      <c r="AH105" s="8"/>
      <c r="AI105" s="8"/>
      <c r="AJ105" s="8"/>
    </row>
    <row r="106" spans="2:36" s="7" customFormat="1" ht="20.100000000000001" customHeight="1" x14ac:dyDescent="0.2">
      <c r="B106" s="2"/>
      <c r="C106" s="2"/>
      <c r="E106" s="4" t="s">
        <v>653</v>
      </c>
      <c r="F106" s="337" t="str">
        <f>IF(ISBLANK(input_mgmt_az1_tor2_peer_bgp_password),"Value Missing",input_mgmt_az1_tor2_peer_bgp_password)</f>
        <v>Value Missing</v>
      </c>
      <c r="G106" s="2"/>
      <c r="H106" s="4" t="s">
        <v>653</v>
      </c>
      <c r="I106" s="337" t="str">
        <f>IF(ISBLANK(input_wld_az1_tor2_peer_bgp_password),"Value Missing",input_wld_az1_tor2_peer_bgp_password)</f>
        <v>Value Missing</v>
      </c>
      <c r="J106" s="2"/>
      <c r="K106" s="4" t="s">
        <v>653</v>
      </c>
      <c r="L106" s="337" t="str">
        <f>IF(ISBLANK(input_wld_az1_rack2_tor2_peer_bgp_password),"Value Missing",input_wld_az1_rack2_tor2_peer_bgp_password)</f>
        <v>Value Missing</v>
      </c>
      <c r="M106" s="2"/>
      <c r="N106" s="4" t="s">
        <v>653</v>
      </c>
      <c r="O106" s="337" t="str">
        <f>IF(ISBLANK(input_wld_az1_rack3_tor2_peer_bgp_password),"Value Missing",input_wld_az1_rack3_tor2_peer_bgp_password)</f>
        <v>Value Missing</v>
      </c>
      <c r="P106" s="2"/>
      <c r="Q106" s="4" t="s">
        <v>653</v>
      </c>
      <c r="R106" s="337" t="str">
        <f>IF(ISBLANK(input_wld_az1_rack4_tor2_peer_bgp_password),"Value Missing",input_wld_az1_rack4_tor2_peer_bgp_password)</f>
        <v>Value Missing</v>
      </c>
      <c r="S106" s="2"/>
      <c r="T106" s="4" t="s">
        <v>653</v>
      </c>
      <c r="U106" s="337" t="str">
        <f>IF(ISBLANK(input_wld_az1_rack5_tor2_peer_bgp_password),"Value Missing",input_wld_az1_rack5_tor2_peer_bgp_password)</f>
        <v>Value Missing</v>
      </c>
      <c r="V106" s="2"/>
      <c r="W106" s="4" t="s">
        <v>653</v>
      </c>
      <c r="X106" s="337" t="str">
        <f>IF(ISBLANK(input_wld_az1_rack6_tor2_peer_bgp_password),"Value Missing",input_wld_az1_rack6_tor2_peer_bgp_password)</f>
        <v>Value Missing</v>
      </c>
      <c r="Y106" s="2"/>
      <c r="Z106" s="4" t="s">
        <v>653</v>
      </c>
      <c r="AA106" s="337" t="str">
        <f>IF(ISBLANK(input_wld_az1_rack7_tor2_peer_bgp_password),"Value Missing",input_wld_az1_rack7_tor2_peer_bgp_password)</f>
        <v>Value Missing</v>
      </c>
      <c r="AB106" s="2"/>
      <c r="AC106" s="4" t="s">
        <v>653</v>
      </c>
      <c r="AD106" s="337" t="str">
        <f>IF(ISBLANK(input_wld_az1_rack8_tor2_peer_bgp_password),"Value Missing",input_wld_az1_rack8_tor2_peer_bgp_password)</f>
        <v>Value Missing</v>
      </c>
      <c r="AG106" s="8"/>
      <c r="AH106" s="8"/>
      <c r="AI106" s="19"/>
      <c r="AJ106" s="19"/>
    </row>
    <row r="107" spans="2:36" s="2" customFormat="1" ht="20.100000000000001" customHeight="1" x14ac:dyDescent="0.2">
      <c r="I107" s="3"/>
      <c r="L107" s="3"/>
      <c r="O107" s="3"/>
      <c r="R107" s="3"/>
      <c r="U107" s="3"/>
      <c r="X107" s="3"/>
      <c r="AA107" s="3"/>
      <c r="AD107" s="3"/>
      <c r="AG107" s="8"/>
      <c r="AH107" s="8"/>
    </row>
    <row r="108" spans="2:36" s="2" customFormat="1" ht="20.100000000000001" customHeight="1" x14ac:dyDescent="0.2">
      <c r="E108" s="379" t="s">
        <v>1743</v>
      </c>
      <c r="F108" s="381"/>
      <c r="H108" s="379" t="s">
        <v>1744</v>
      </c>
      <c r="I108" s="381"/>
      <c r="K108" s="379" t="s">
        <v>1745</v>
      </c>
      <c r="L108" s="381"/>
      <c r="N108" s="379" t="s">
        <v>1746</v>
      </c>
      <c r="O108" s="381"/>
      <c r="Q108" s="379" t="s">
        <v>1747</v>
      </c>
      <c r="R108" s="381"/>
      <c r="T108" s="379" t="s">
        <v>1748</v>
      </c>
      <c r="U108" s="381"/>
      <c r="W108" s="379" t="s">
        <v>1749</v>
      </c>
      <c r="X108" s="381"/>
      <c r="Z108" s="379" t="s">
        <v>1750</v>
      </c>
      <c r="AA108" s="381"/>
      <c r="AC108" s="379" t="s">
        <v>1751</v>
      </c>
      <c r="AD108" s="381"/>
      <c r="AG108" s="8"/>
      <c r="AH108" s="8"/>
    </row>
    <row r="109" spans="2:36" s="2" customFormat="1" ht="20.100000000000001" customHeight="1" x14ac:dyDescent="0.2">
      <c r="E109" s="11" t="s">
        <v>259</v>
      </c>
      <c r="F109" s="14" t="s">
        <v>1652</v>
      </c>
      <c r="H109" s="11" t="s">
        <v>259</v>
      </c>
      <c r="I109" s="14" t="s">
        <v>1652</v>
      </c>
      <c r="K109" s="11" t="s">
        <v>259</v>
      </c>
      <c r="L109" s="14" t="s">
        <v>1652</v>
      </c>
      <c r="N109" s="11" t="s">
        <v>259</v>
      </c>
      <c r="O109" s="14" t="s">
        <v>1652</v>
      </c>
      <c r="P109" s="15"/>
      <c r="Q109" s="11" t="s">
        <v>259</v>
      </c>
      <c r="R109" s="14" t="s">
        <v>1652</v>
      </c>
      <c r="S109" s="15"/>
      <c r="T109" s="11" t="s">
        <v>259</v>
      </c>
      <c r="U109" s="14" t="s">
        <v>1652</v>
      </c>
      <c r="V109" s="15"/>
      <c r="W109" s="11" t="s">
        <v>259</v>
      </c>
      <c r="X109" s="14" t="s">
        <v>1652</v>
      </c>
      <c r="Y109" s="15"/>
      <c r="Z109" s="11" t="s">
        <v>259</v>
      </c>
      <c r="AA109" s="14" t="s">
        <v>1652</v>
      </c>
      <c r="AB109" s="15"/>
      <c r="AC109" s="11" t="s">
        <v>259</v>
      </c>
      <c r="AD109" s="14" t="s">
        <v>1652</v>
      </c>
      <c r="AG109" s="8"/>
      <c r="AH109" s="8"/>
    </row>
    <row r="110" spans="2:36" s="2" customFormat="1" ht="20.100000000000001" customHeight="1" x14ac:dyDescent="0.2">
      <c r="E110" s="4" t="s">
        <v>1655</v>
      </c>
      <c r="F110" s="337" t="str">
        <f>IF(ISBLANK(input_mgmt_cl01_az1_mgmt_vm_pg),"Value Missing",input_mgmt_cl01_az1_mgmt_vm_pg)</f>
        <v>VLAN_250_VMs</v>
      </c>
      <c r="H110" s="4" t="s">
        <v>1655</v>
      </c>
      <c r="I110" s="337" t="str">
        <f>IF(ISBLANK(input_wld_cl01_az1_mgmt_vm_pg),"Value Missing",input_wld_cl01_az1_mgmt_vm_pg)</f>
        <v>Value Missing</v>
      </c>
      <c r="K110" s="4" t="s">
        <v>1655</v>
      </c>
      <c r="L110" s="337" t="str">
        <f>CONCATENATE(input_wld_cl01_az1_mgmt_vm_pg,"_VLAN_",wld_az1_rack2_mgmt_vm_vlan)</f>
        <v>_VLAN_Value Missing</v>
      </c>
      <c r="N110" s="4" t="s">
        <v>1655</v>
      </c>
      <c r="O110" s="337" t="str">
        <f>CONCATENATE(input_wld_cl01_az1_mgmt_vm_pg,"_VLAN_",wld_az1_rack3_mgmt_vm_vlan)</f>
        <v>_VLAN_Value Missing</v>
      </c>
      <c r="Q110" s="4" t="s">
        <v>1655</v>
      </c>
      <c r="R110" s="337" t="str">
        <f>CONCATENATE(input_wld_cl01_az1_mgmt_vm_pg,"_VLAN_",wld_az1_rack4_mgmt_vm_vlan)</f>
        <v>_VLAN_Value Missing</v>
      </c>
      <c r="T110" s="4" t="s">
        <v>1655</v>
      </c>
      <c r="U110" s="337" t="str">
        <f>CONCATENATE(input_wld_cl01_az1_mgmt_vm_pg,"_VLAN_",wld_az1_rack5_mgmt_vm_vlan)</f>
        <v>_VLAN_Value Missing</v>
      </c>
      <c r="W110" s="4" t="s">
        <v>1655</v>
      </c>
      <c r="X110" s="337" t="str">
        <f>CONCATENATE(input_wld_cl01_az1_mgmt_vm_pg,"_VLAN_",wld_az1_rack6_mgmt_vm_vlan)</f>
        <v>_VLAN_Value Missing</v>
      </c>
      <c r="Z110" s="4" t="s">
        <v>1655</v>
      </c>
      <c r="AA110" s="337" t="str">
        <f>CONCATENATE(input_wld_cl01_az1_mgmt_vm_pg,"_VLAN_",wld_az1_rack7_mgmt_vm_vlan)</f>
        <v>_VLAN_Value Missing</v>
      </c>
      <c r="AC110" s="4" t="s">
        <v>1655</v>
      </c>
      <c r="AD110" s="337" t="str">
        <f>CONCATENATE(input_wld_cl01_az1_mgmt_vm_pg,"_VLAN_",wld_az1_rack8_mgmt_vm_vlan)</f>
        <v>_VLAN_Value Missing</v>
      </c>
      <c r="AG110" s="8"/>
      <c r="AH110" s="8"/>
    </row>
    <row r="111" spans="2:36" s="2" customFormat="1" ht="20.100000000000001" customHeight="1" x14ac:dyDescent="0.2">
      <c r="E111" s="4" t="s">
        <v>1657</v>
      </c>
      <c r="F111" s="337" t="str">
        <f>IF(ISBLANK(input_mgmt_cl01_az1_mgmt_pg),"Value Missing",input_mgmt_cl01_az1_mgmt_pg)</f>
        <v>VLAN_251_ESX_Mgmt</v>
      </c>
      <c r="H111" s="4" t="s">
        <v>1657</v>
      </c>
      <c r="I111" s="337" t="str">
        <f>IF(ISBLANK(input_wld_cl01_az1_mgmt_pg),"Value Missing",input_wld_cl01_az1_mgmt_pg)</f>
        <v>Value Missing</v>
      </c>
      <c r="K111" s="4" t="s">
        <v>1657</v>
      </c>
      <c r="L111" s="331" t="str">
        <f>CONCATENATE(input_wld_cl01_az1_mgmt_pg,"_VLAN_",wld_az1_rack2_mgmt_vlan)</f>
        <v>_VLAN_Value Missing</v>
      </c>
      <c r="N111" s="4" t="s">
        <v>1657</v>
      </c>
      <c r="O111" s="337" t="str">
        <f>CONCATENATE(input_wld_cl01_az1_mgmt_pg,"_VLAN_",wld_az1_rack3_mgmt_vlan)</f>
        <v>_VLAN_Value Missing</v>
      </c>
      <c r="Q111" s="4" t="s">
        <v>1657</v>
      </c>
      <c r="R111" s="337" t="str">
        <f>CONCATENATE(input_wld_cl01_az1_mgmt_pg,"_VLAN_",wld_az1_rack4_mgmt_vlan)</f>
        <v>_VLAN_Value Missing</v>
      </c>
      <c r="T111" s="4" t="s">
        <v>1657</v>
      </c>
      <c r="U111" s="337" t="str">
        <f>CONCATENATE(input_wld_cl01_az1_mgmt_pg,"_VLAN_",wld_az1_rack5_mgmt_vlan)</f>
        <v>_VLAN_Value Missing</v>
      </c>
      <c r="W111" s="4" t="s">
        <v>1657</v>
      </c>
      <c r="X111" s="337" t="str">
        <f>CONCATENATE(input_wld_cl01_az1_mgmt_pg,"_VLAN_",wld_az1_rack6_mgmt_vlan)</f>
        <v>_VLAN_Value Missing</v>
      </c>
      <c r="Z111" s="4" t="s">
        <v>1657</v>
      </c>
      <c r="AA111" s="337" t="str">
        <f>CONCATENATE(input_wld_cl01_az1_mgmt_pg,"_VLAN_",wld_az1_rack7_mgmt_vlan)</f>
        <v>_VLAN_Value Missing</v>
      </c>
      <c r="AC111" s="4" t="s">
        <v>1657</v>
      </c>
      <c r="AD111" s="337" t="str">
        <f>CONCATENATE(input_wld_cl01_az1_mgmt_pg,"_VLAN_",wld_az1_rack8_mgmt_vlan)</f>
        <v>_VLAN_Value Missing</v>
      </c>
      <c r="AG111" s="8"/>
      <c r="AH111" s="8"/>
    </row>
    <row r="112" spans="2:36" s="2" customFormat="1" ht="20.100000000000001" customHeight="1" x14ac:dyDescent="0.2">
      <c r="E112" s="4" t="s">
        <v>404</v>
      </c>
      <c r="F112" s="337" t="str">
        <f>IF(ISBLANK(input_mgmt_cl01_az1_vmotion_pg),"Value Missing",input_mgmt_cl01_az1_vmotion_pg)</f>
        <v>VLAN_021_Vmotion</v>
      </c>
      <c r="H112" s="4" t="s">
        <v>404</v>
      </c>
      <c r="I112" s="337" t="str">
        <f>IF(ISBLANK(input_wld_cl01_az1_vmotion_pg),"Value Missing",input_wld_cl01_az1_vmotion_pg)</f>
        <v>Value Missing</v>
      </c>
      <c r="K112" s="4" t="s">
        <v>404</v>
      </c>
      <c r="L112" s="337" t="str">
        <f>CONCATENATE(input_wld_cl01_az1_vmotion_pg,"_VLAN_",wld_az1_rack2_vmotion_vlan)</f>
        <v>_VLAN_Value Missing</v>
      </c>
      <c r="N112" s="4" t="s">
        <v>404</v>
      </c>
      <c r="O112" s="337" t="str">
        <f>CONCATENATE(input_wld_cl01_az1_vmotion_pg,"_VLAN_",wld_az1_rack3_vmotion_vlan)</f>
        <v>_VLAN_Value Missing</v>
      </c>
      <c r="Q112" s="4" t="s">
        <v>404</v>
      </c>
      <c r="R112" s="337" t="str">
        <f>CONCATENATE(input_wld_cl01_az1_vmotion_pg,"_VLAN_",wld_az1_rack4_vmotion_vlan)</f>
        <v>_VLAN_Value Missing</v>
      </c>
      <c r="T112" s="4" t="s">
        <v>404</v>
      </c>
      <c r="U112" s="337" t="str">
        <f>CONCATENATE(input_wld_cl01_az1_vmotion_pg,"_VLAN_",wld_az1_rack5_vmotion_vlan)</f>
        <v>_VLAN_Value Missing</v>
      </c>
      <c r="W112" s="4" t="s">
        <v>404</v>
      </c>
      <c r="X112" s="337" t="str">
        <f>CONCATENATE(input_wld_cl01_az1_vmotion_pg,"_VLAN_",wld_az1_rack6_vmotion_vlan)</f>
        <v>_VLAN_Value Missing</v>
      </c>
      <c r="Z112" s="4" t="s">
        <v>404</v>
      </c>
      <c r="AA112" s="337" t="str">
        <f>CONCATENATE(input_wld_cl01_az1_vmotion_pg,"_VLAN_",wld_az1_rack7_vmotion_vlan)</f>
        <v>_VLAN_Value Missing</v>
      </c>
      <c r="AC112" s="4" t="s">
        <v>404</v>
      </c>
      <c r="AD112" s="337" t="str">
        <f>CONCATENATE(input_wld_cl01_az1_vmotion_pg,"_VLAN_",wld_az1_rack8_vmotion_vlan)</f>
        <v>_VLAN_Value Missing</v>
      </c>
      <c r="AG112" s="8"/>
      <c r="AH112" s="8"/>
    </row>
    <row r="113" spans="2:34" s="2" customFormat="1" ht="20.100000000000001" customHeight="1" x14ac:dyDescent="0.2">
      <c r="E113" s="4" t="s">
        <v>407</v>
      </c>
      <c r="F113" s="337" t="str">
        <f>IF(ISBLANK(input_mgmt_cl01_az1_vsan_pg),"Value Missing",input_mgmt_cl01_az1_vsan_pg)</f>
        <v>VLAN_020_vSAN</v>
      </c>
      <c r="H113" s="4" t="s">
        <v>407</v>
      </c>
      <c r="I113" s="337" t="str">
        <f>IF(ISBLANK(input_wld_cl01_az1_principal_storage_pg),"Value Missing",input_wld_cl01_az1_principal_storage_pg)</f>
        <v>Value Missing</v>
      </c>
      <c r="K113" s="4" t="s">
        <v>407</v>
      </c>
      <c r="L113" s="337" t="str">
        <f>CONCATENATE(input_wld_cl01_az1_principal_storage_pg,"_VLAN_",wld_az1_rack2_principal_storage_vlan)</f>
        <v>_VLAN_Value Missing</v>
      </c>
      <c r="N113" s="4" t="s">
        <v>407</v>
      </c>
      <c r="O113" s="337" t="str">
        <f>CONCATENATE(input_wld_cl01_az1_principal_storage_pg,"_VLAN_",wld_az1_rack3_principal_storage_vlan)</f>
        <v>_VLAN_Value Missing</v>
      </c>
      <c r="Q113" s="4" t="s">
        <v>407</v>
      </c>
      <c r="R113" s="337" t="str">
        <f>CONCATENATE(input_wld_cl01_az1_principal_storage_pg,"_VLAN_",wld_az1_rack4_principal_storage_vlan)</f>
        <v>_VLAN_Value Missing</v>
      </c>
      <c r="T113" s="4" t="s">
        <v>407</v>
      </c>
      <c r="U113" s="337" t="str">
        <f>CONCATENATE(input_wld_cl01_az1_principal_storage_pg,"_VLAN_",wld_az1_rack5_principal_storage_vlan)</f>
        <v>_VLAN_Value Missing</v>
      </c>
      <c r="W113" s="4" t="s">
        <v>407</v>
      </c>
      <c r="X113" s="337" t="str">
        <f>CONCATENATE(input_wld_cl01_az1_principal_storage_pg,"_VLAN_",wld_az1_rack6_principal_storage_vlan)</f>
        <v>_VLAN_Value Missing</v>
      </c>
      <c r="Z113" s="4" t="s">
        <v>407</v>
      </c>
      <c r="AA113" s="337" t="str">
        <f>CONCATENATE(input_wld_cl01_az1_principal_storage_pg,"_VLAN_",wld_az1_rack7_principal_storage_vlan)</f>
        <v>_VLAN_Value Missing</v>
      </c>
      <c r="AC113" s="4" t="s">
        <v>407</v>
      </c>
      <c r="AD113" s="337" t="str">
        <f>CONCATENATE(input_wld_cl01_az1_principal_storage_pg,"_VLAN_",wld_az1_rack8_principal_storage_vlan)</f>
        <v>_VLAN_Value Missing</v>
      </c>
      <c r="AG113" s="8"/>
      <c r="AH113" s="8"/>
    </row>
    <row r="114" spans="2:34" s="2" customFormat="1" ht="20.100000000000001" customHeight="1" x14ac:dyDescent="0.2">
      <c r="E114" s="4" t="s">
        <v>1661</v>
      </c>
      <c r="F114" s="337" t="s">
        <v>496</v>
      </c>
      <c r="H114" s="4" t="s">
        <v>1661</v>
      </c>
      <c r="I114" s="337" t="s">
        <v>496</v>
      </c>
      <c r="K114" s="4" t="s">
        <v>1664</v>
      </c>
      <c r="L114" s="337" t="str">
        <f>CONCATENATE(input_wld_cl01_az1_uplink01_pg,"_VLAN_",wld_az1_rack2_uplink01_vlan)</f>
        <v>_VLAN_Value Missing</v>
      </c>
      <c r="N114" s="4" t="s">
        <v>1664</v>
      </c>
      <c r="O114" s="337" t="str">
        <f>CONCATENATE(input_wld_cl01_az1_uplink01_pg,"_VLAN_",wld_az1_rack3_uplink01_vlan)</f>
        <v>_VLAN_Value Missing</v>
      </c>
      <c r="Q114" s="4" t="s">
        <v>1664</v>
      </c>
      <c r="R114" s="337" t="str">
        <f>CONCATENATE(input_wld_cl01_az1_uplink01_pg,"_VLAN_",wld_az1_rack4_uplink01_vlan)</f>
        <v>_VLAN_Value Missing</v>
      </c>
      <c r="T114" s="4" t="s">
        <v>1664</v>
      </c>
      <c r="U114" s="337" t="str">
        <f>CONCATENATE(input_wld_cl01_az1_uplink01_pg,"_VLAN_",wld_az1_rack5_uplink01_vlan)</f>
        <v>_VLAN_Value Missing</v>
      </c>
      <c r="W114" s="4" t="s">
        <v>1664</v>
      </c>
      <c r="X114" s="337" t="str">
        <f>CONCATENATE(input_wld_cl01_az1_uplink01_pg,"_VLAN_",wld_az1_rack6_uplink01_vlan)</f>
        <v>_VLAN_Value Missing</v>
      </c>
      <c r="Z114" s="4" t="s">
        <v>1664</v>
      </c>
      <c r="AA114" s="337" t="str">
        <f>CONCATENATE(input_wld_cl01_az1_uplink01_pg,"_VLAN_",wld_az1_rack7_uplink01_vlan)</f>
        <v>_VLAN_Value Missing</v>
      </c>
      <c r="AC114" s="4" t="s">
        <v>1664</v>
      </c>
      <c r="AD114" s="337" t="str">
        <f>CONCATENATE(input_wld_cl01_az1_uplink01_pg,"_VLAN_",wld_az1_rack8_uplink01_vlan)</f>
        <v>_VLAN_Value Missing</v>
      </c>
      <c r="AG114" s="8"/>
      <c r="AH114" s="8"/>
    </row>
    <row r="115" spans="2:34" s="2" customFormat="1" ht="20.100000000000001" customHeight="1" x14ac:dyDescent="0.2">
      <c r="E115" s="4" t="s">
        <v>1671</v>
      </c>
      <c r="F115" s="337" t="str">
        <f>mgmt_vrms_pg</f>
        <v>Value Missing</v>
      </c>
      <c r="G115" s="6"/>
      <c r="H115" s="4" t="s">
        <v>1671</v>
      </c>
      <c r="I115" s="337" t="str">
        <f>wld_vrms_pg</f>
        <v>Value Missing</v>
      </c>
      <c r="K115" s="4" t="s">
        <v>1665</v>
      </c>
      <c r="L115" s="337" t="str">
        <f>CONCATENATE(input_wld_cl01_az1_uplink02_pg,"_VLAN_",wld_az1_rack2_uplink02_vlan)</f>
        <v>_VLAN_Value Missing</v>
      </c>
      <c r="N115" s="4" t="s">
        <v>1665</v>
      </c>
      <c r="O115" s="337" t="str">
        <f>CONCATENATE(input_wld_cl01_az1_uplink02_pg,"_VLAN_",wld_az1_rack3_uplink02_vlan)</f>
        <v>_VLAN_Value Missing</v>
      </c>
      <c r="Q115" s="4" t="s">
        <v>1665</v>
      </c>
      <c r="R115" s="337" t="str">
        <f>CONCATENATE(input_wld_cl01_az1_uplink02_pg,"_VLAN_",wld_az1_rack4_uplink02_vlan)</f>
        <v>_VLAN_Value Missing</v>
      </c>
      <c r="T115" s="4" t="s">
        <v>1665</v>
      </c>
      <c r="U115" s="337" t="str">
        <f>CONCATENATE(input_wld_cl01_az1_uplink02_pg,"_VLAN_",wld_az1_rack5_uplink02_vlan)</f>
        <v>_VLAN_Value Missing</v>
      </c>
      <c r="W115" s="4" t="s">
        <v>1665</v>
      </c>
      <c r="X115" s="337" t="str">
        <f>CONCATENATE(input_wld_cl01_az1_uplink02_pg,"_VLAN_",wld_az1_rack6_uplink02_vlan)</f>
        <v>_VLAN_Value Missing</v>
      </c>
      <c r="Z115" s="4" t="s">
        <v>1665</v>
      </c>
      <c r="AA115" s="337" t="str">
        <f>CONCATENATE(input_wld_cl01_az1_uplink02_pg,"_VLAN_",wld_az1_rack7_uplink02_vlan)</f>
        <v>_VLAN_Value Missing</v>
      </c>
      <c r="AC115" s="4" t="s">
        <v>1665</v>
      </c>
      <c r="AD115" s="337" t="str">
        <f>CONCATENATE(input_wld_cl01_az1_uplink02_pg,"_VLAN_",wld_az1_rack8_uplink02_vlan)</f>
        <v>_VLAN_Value Missing</v>
      </c>
      <c r="AG115" s="8"/>
      <c r="AH115" s="8"/>
    </row>
    <row r="116" spans="2:34" s="2" customFormat="1" ht="20.100000000000001" customHeight="1" x14ac:dyDescent="0.2">
      <c r="E116" s="4" t="s">
        <v>1664</v>
      </c>
      <c r="F116" s="337" t="str">
        <f>IF(ISBLANK(input_mgmt_cl01_az1_uplink01_pg),"Value Missing",input_mgmt_cl01_az1_uplink01_pg)</f>
        <v>Value Missing</v>
      </c>
      <c r="H116" s="4" t="s">
        <v>1664</v>
      </c>
      <c r="I116" s="337" t="str">
        <f>IF(ISBLANK(input_wld_cl01_az1_uplink01_pg),"Value Missing",input_wld_cl01_az1_uplink01_pg)</f>
        <v>Value Missing</v>
      </c>
      <c r="K116" s="6"/>
      <c r="L116" s="6"/>
      <c r="N116" s="6"/>
      <c r="O116" s="6"/>
      <c r="Q116" s="6"/>
      <c r="R116" s="6"/>
      <c r="T116" s="6"/>
      <c r="U116" s="6"/>
      <c r="W116" s="6"/>
      <c r="X116" s="6"/>
      <c r="Z116" s="6"/>
      <c r="AA116" s="6"/>
      <c r="AC116" s="6"/>
      <c r="AD116" s="6"/>
      <c r="AG116" s="8"/>
      <c r="AH116" s="8"/>
    </row>
    <row r="117" spans="2:34" s="2" customFormat="1" ht="20.100000000000001" customHeight="1" x14ac:dyDescent="0.2">
      <c r="E117" s="4" t="s">
        <v>1665</v>
      </c>
      <c r="F117" s="337" t="str">
        <f>IF(ISBLANK(input_mgmt_cl01_az1_uplink02_pg),"Value Missing",input_mgmt_cl01_az1_uplink02_pg)</f>
        <v>Value Missing</v>
      </c>
      <c r="H117" s="4" t="s">
        <v>1665</v>
      </c>
      <c r="I117" s="337" t="str">
        <f>IF(ISBLANK(input_wld_cl01_az1_uplink02_pg),"Value Missing",input_wld_cl01_az1_uplink02_pg)</f>
        <v>Value Missing</v>
      </c>
      <c r="K117" s="6"/>
      <c r="L117" s="6"/>
      <c r="N117" s="6"/>
      <c r="O117" s="6"/>
      <c r="Q117" s="6"/>
      <c r="R117" s="6"/>
      <c r="T117" s="6"/>
      <c r="U117" s="6"/>
      <c r="W117" s="6"/>
      <c r="X117" s="6"/>
      <c r="Z117" s="6"/>
      <c r="AA117" s="6"/>
      <c r="AC117" s="6"/>
      <c r="AD117" s="6"/>
      <c r="AG117" s="8"/>
      <c r="AH117" s="8"/>
    </row>
    <row r="118" spans="2:34" s="2" customFormat="1" ht="20.100000000000001" customHeight="1" x14ac:dyDescent="0.2">
      <c r="E118" s="17" t="s">
        <v>1667</v>
      </c>
      <c r="F118" s="337" t="s">
        <v>496</v>
      </c>
      <c r="H118" s="17" t="s">
        <v>1667</v>
      </c>
      <c r="I118" s="337" t="s">
        <v>496</v>
      </c>
      <c r="K118" s="6"/>
      <c r="L118" s="6"/>
      <c r="N118" s="6"/>
      <c r="O118" s="6"/>
      <c r="Q118" s="6"/>
      <c r="R118" s="6"/>
      <c r="T118" s="6"/>
      <c r="U118" s="6"/>
      <c r="W118" s="6"/>
      <c r="X118" s="6"/>
      <c r="Z118" s="6"/>
      <c r="AA118" s="6"/>
      <c r="AC118" s="6"/>
      <c r="AD118" s="6"/>
      <c r="AG118" s="8"/>
      <c r="AH118" s="8"/>
    </row>
    <row r="119" spans="2:34" s="2" customFormat="1" ht="20.100000000000001" customHeight="1" x14ac:dyDescent="0.2">
      <c r="B119" s="7"/>
      <c r="C119" s="7"/>
      <c r="E119" s="4" t="s">
        <v>1669</v>
      </c>
      <c r="F119" s="337" t="s">
        <v>496</v>
      </c>
      <c r="H119" s="4" t="s">
        <v>1752</v>
      </c>
      <c r="I119" s="337" t="s">
        <v>496</v>
      </c>
      <c r="K119" s="6"/>
      <c r="L119" s="6"/>
      <c r="N119" s="6"/>
      <c r="O119" s="6"/>
      <c r="Q119" s="6"/>
      <c r="R119" s="6"/>
      <c r="T119" s="6"/>
      <c r="U119" s="6"/>
      <c r="W119" s="6"/>
      <c r="X119" s="6"/>
      <c r="Z119" s="6"/>
      <c r="AA119" s="6"/>
      <c r="AC119" s="6"/>
      <c r="AD119" s="6"/>
      <c r="AG119" s="8"/>
      <c r="AH119" s="8"/>
    </row>
    <row r="120" spans="2:34" s="2" customFormat="1" ht="20.100000000000001" customHeight="1" x14ac:dyDescent="0.2">
      <c r="E120" s="4" t="s">
        <v>1753</v>
      </c>
      <c r="F120" s="337" t="str">
        <f>IF(ISBLANK(input_mgmt_cl01_az1_nfs_pg),"Value Missing",input_mgmt_cl01_az1_nfs_pg)</f>
        <v>Value Missing</v>
      </c>
      <c r="H120" s="4" t="s">
        <v>1754</v>
      </c>
      <c r="I120" s="337"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8"/>
      <c r="AH120" s="8"/>
    </row>
    <row r="121" spans="2:34" s="2" customFormat="1" ht="20.100000000000001" customHeight="1" x14ac:dyDescent="0.2">
      <c r="E121" s="6"/>
      <c r="F121" s="6"/>
      <c r="H121" s="6"/>
      <c r="I121" s="6"/>
      <c r="K121" s="6"/>
      <c r="L121" s="6"/>
      <c r="N121" s="6"/>
      <c r="O121" s="6"/>
      <c r="Q121" s="6"/>
      <c r="R121" s="6"/>
      <c r="T121" s="6"/>
      <c r="U121" s="6"/>
      <c r="W121" s="6"/>
      <c r="X121" s="6"/>
      <c r="Z121" s="6"/>
      <c r="AA121" s="6"/>
      <c r="AC121" s="6"/>
      <c r="AD121" s="6"/>
      <c r="AG121" s="8"/>
      <c r="AH121" s="8"/>
    </row>
    <row r="122" spans="2:34" s="2" customFormat="1" ht="20.100000000000001" customHeight="1" x14ac:dyDescent="0.2">
      <c r="E122" s="379" t="s">
        <v>1743</v>
      </c>
      <c r="F122" s="381"/>
      <c r="H122" s="379" t="s">
        <v>1755</v>
      </c>
      <c r="I122" s="381"/>
      <c r="K122" s="6"/>
      <c r="L122" s="6"/>
      <c r="N122" s="6"/>
      <c r="O122" s="6"/>
      <c r="Q122" s="6"/>
      <c r="R122" s="6"/>
      <c r="T122" s="6"/>
      <c r="U122" s="6"/>
      <c r="W122" s="6"/>
      <c r="X122" s="6"/>
      <c r="Z122" s="6"/>
      <c r="AA122" s="6"/>
      <c r="AC122" s="6"/>
      <c r="AD122" s="6"/>
      <c r="AG122" s="8"/>
      <c r="AH122" s="8"/>
    </row>
    <row r="123" spans="2:34" s="2" customFormat="1" ht="20.100000000000001" customHeight="1" x14ac:dyDescent="0.2">
      <c r="E123" s="11" t="s">
        <v>259</v>
      </c>
      <c r="F123" s="14" t="s">
        <v>1652</v>
      </c>
      <c r="H123" s="11" t="s">
        <v>259</v>
      </c>
      <c r="I123" s="14" t="s">
        <v>1652</v>
      </c>
      <c r="K123" s="6"/>
      <c r="L123" s="6"/>
      <c r="N123" s="6"/>
      <c r="O123" s="6"/>
      <c r="Q123" s="6"/>
      <c r="R123" s="6"/>
      <c r="T123" s="6"/>
      <c r="U123" s="6"/>
      <c r="W123" s="6"/>
      <c r="X123" s="6"/>
      <c r="Z123" s="6"/>
      <c r="AA123" s="6"/>
      <c r="AC123" s="6"/>
      <c r="AD123" s="6"/>
      <c r="AG123" s="8"/>
      <c r="AH123" s="8"/>
    </row>
    <row r="124" spans="2:34" s="2" customFormat="1" ht="20.100000000000001" customHeight="1" x14ac:dyDescent="0.2">
      <c r="E124" s="4" t="s">
        <v>1756</v>
      </c>
      <c r="F124" s="337" t="str">
        <f>IF(ISBLANK(mgmt_cl01_az1_mgmt_vm_uplink1_chosen),"Value Missing",mgmt_cl01_az1_mgmt_vm_uplink1_chosen)</f>
        <v>Active</v>
      </c>
      <c r="H124" s="4" t="s">
        <v>1756</v>
      </c>
      <c r="I124" s="337" t="str">
        <f>IF(ISBLANK(wld_cl01_az1_mgmt_vm_uplink1_chosen),"Value Missing",wld_cl01_az1_mgmt_vm_uplink1_chosen)</f>
        <v>Active</v>
      </c>
      <c r="K124" s="6"/>
      <c r="L124" s="6"/>
      <c r="N124" s="6"/>
      <c r="O124" s="6"/>
      <c r="Q124" s="6"/>
      <c r="R124" s="6"/>
      <c r="T124" s="6"/>
      <c r="U124" s="6"/>
      <c r="W124" s="6"/>
      <c r="X124" s="6"/>
      <c r="Z124" s="6"/>
      <c r="AA124" s="6"/>
      <c r="AC124" s="6"/>
      <c r="AD124" s="6"/>
      <c r="AG124" s="8"/>
      <c r="AH124" s="8"/>
    </row>
    <row r="125" spans="2:34" s="2" customFormat="1" ht="20.100000000000001" customHeight="1" x14ac:dyDescent="0.2">
      <c r="E125" s="4" t="s">
        <v>1757</v>
      </c>
      <c r="F125" s="337" t="str">
        <f>IF(ISBLANK(mgmt_cl01_az1_mgmt_vm_uplink2_chosen),"Value Missing",mgmt_cl01_az1_mgmt_vm_uplink2_chosen)</f>
        <v>Active</v>
      </c>
      <c r="H125" s="4" t="s">
        <v>1757</v>
      </c>
      <c r="I125" s="337" t="str">
        <f>IF(ISBLANK(wld_cl01_az1_mgmt_vm_uplink2_chosen),"Value Missing",wld_cl01_az1_mgmt_vm_uplink2_chosen)</f>
        <v>Active</v>
      </c>
      <c r="K125" s="6"/>
      <c r="L125" s="6"/>
      <c r="N125" s="6"/>
      <c r="O125" s="6"/>
      <c r="Q125" s="6"/>
      <c r="R125" s="6"/>
      <c r="T125" s="6"/>
      <c r="U125" s="6"/>
      <c r="W125" s="6"/>
      <c r="X125" s="6"/>
      <c r="Z125" s="6"/>
      <c r="AA125" s="6"/>
      <c r="AC125" s="6"/>
      <c r="AD125" s="6"/>
      <c r="AG125" s="8"/>
      <c r="AH125" s="8"/>
    </row>
    <row r="126" spans="2:34" s="2" customFormat="1" ht="20.100000000000001" customHeight="1" x14ac:dyDescent="0.2">
      <c r="E126" s="4" t="s">
        <v>1758</v>
      </c>
      <c r="F126" s="337" t="str">
        <f>IF(ISBLANK(mgmt_cl01_az1_mgmt_uplink1_chosen),"Value Missing",mgmt_cl01_az1_mgmt_uplink1_chosen)</f>
        <v>Active</v>
      </c>
      <c r="H126" s="4" t="s">
        <v>1758</v>
      </c>
      <c r="I126" s="337" t="str">
        <f>IF(ISBLANK(wld_cl01_az1_mgmt_uplink1_chosen),"Value Missing",wld_cl01_az1_mgmt_uplink1_chosen)</f>
        <v>Active</v>
      </c>
      <c r="K126" s="6"/>
      <c r="L126" s="6"/>
      <c r="N126" s="6"/>
      <c r="O126" s="6"/>
      <c r="Q126" s="6"/>
      <c r="R126" s="6"/>
      <c r="T126" s="6"/>
      <c r="U126" s="6"/>
      <c r="W126" s="6"/>
      <c r="X126" s="6"/>
      <c r="Z126" s="6"/>
      <c r="AA126" s="6"/>
      <c r="AC126" s="6"/>
      <c r="AD126" s="6"/>
      <c r="AG126" s="8"/>
      <c r="AH126" s="8"/>
    </row>
    <row r="127" spans="2:34" s="2" customFormat="1" ht="20.100000000000001" customHeight="1" x14ac:dyDescent="0.2">
      <c r="E127" s="4" t="s">
        <v>1759</v>
      </c>
      <c r="F127" s="337" t="str">
        <f>IF(ISBLANK(mgmt_cl01_az1_mgmt_uplink2_chosen),"Value Missing",mgmt_cl01_az1_mgmt_uplink2_chosen)</f>
        <v>Active</v>
      </c>
      <c r="H127" s="4" t="s">
        <v>1759</v>
      </c>
      <c r="I127" s="337" t="str">
        <f>IF(ISBLANK(wld_cl01_az1_mgmt_uplink2_chosen),"Value Missing",wld_cl01_az1_mgmt_uplink2_chosen)</f>
        <v>Active</v>
      </c>
      <c r="K127" s="6"/>
      <c r="L127" s="6"/>
      <c r="N127" s="6"/>
      <c r="O127" s="6"/>
      <c r="Q127" s="6"/>
      <c r="R127" s="6"/>
      <c r="T127" s="6"/>
      <c r="U127" s="6"/>
      <c r="W127" s="6"/>
      <c r="X127" s="6"/>
      <c r="Z127" s="6"/>
      <c r="AA127" s="6"/>
      <c r="AC127" s="6"/>
      <c r="AD127" s="6"/>
      <c r="AG127" s="8"/>
      <c r="AH127" s="8"/>
    </row>
    <row r="128" spans="2:34" s="2" customFormat="1" ht="20.100000000000001" customHeight="1" x14ac:dyDescent="0.2">
      <c r="E128" s="4" t="s">
        <v>1760</v>
      </c>
      <c r="F128" s="337" t="str">
        <f>IF(ISBLANK(mgmt_cl01_az1_vmotion_uplink1_chosen),"Value Missing",mgmt_cl01_az1_vmotion_uplink1_chosen)</f>
        <v>Active</v>
      </c>
      <c r="H128" s="4" t="s">
        <v>1760</v>
      </c>
      <c r="I128" s="337" t="str">
        <f>IF(ISBLANK(wld_cl01_az1_vmotion_uplink1_chosen),"Value Missing",wld_cl01_az1_vmotion_uplink1_chosen)</f>
        <v>Active</v>
      </c>
      <c r="K128" s="6"/>
      <c r="L128" s="6"/>
      <c r="N128" s="6"/>
      <c r="O128" s="6"/>
      <c r="Q128" s="6"/>
      <c r="R128" s="6"/>
      <c r="T128" s="6"/>
      <c r="U128" s="6"/>
      <c r="W128" s="6"/>
      <c r="X128" s="6"/>
      <c r="Z128" s="6"/>
      <c r="AA128" s="6"/>
      <c r="AC128" s="6"/>
      <c r="AD128" s="6"/>
      <c r="AG128" s="8"/>
      <c r="AH128" s="8"/>
    </row>
    <row r="129" spans="5:34" s="2" customFormat="1" ht="20.100000000000001" customHeight="1" x14ac:dyDescent="0.2">
      <c r="E129" s="4" t="s">
        <v>1761</v>
      </c>
      <c r="F129" s="337" t="str">
        <f>IF(ISBLANK(mgmt_cl01_az1_vmotion_uplink2_chosen),"Value Missing",mgmt_cl01_az1_vmotion_uplink2_chosen)</f>
        <v>Active</v>
      </c>
      <c r="H129" s="4" t="s">
        <v>1761</v>
      </c>
      <c r="I129" s="337" t="str">
        <f>IF(ISBLANK(wld_cl01_az1_vmotion_uplink2_chosen),"Value Missing",wld_cl01_az1_vmotion_uplink2_chosen)</f>
        <v>Active</v>
      </c>
      <c r="K129" s="6"/>
      <c r="L129" s="6"/>
      <c r="N129" s="6"/>
      <c r="O129" s="6"/>
      <c r="Q129" s="6"/>
      <c r="R129" s="6"/>
      <c r="T129" s="6"/>
      <c r="U129" s="6"/>
      <c r="W129" s="6"/>
      <c r="X129" s="6"/>
      <c r="Z129" s="6"/>
      <c r="AA129" s="6"/>
      <c r="AC129" s="6"/>
      <c r="AD129" s="6"/>
      <c r="AG129" s="8"/>
      <c r="AH129" s="8"/>
    </row>
    <row r="130" spans="5:34" s="2" customFormat="1" ht="20.100000000000001" customHeight="1" x14ac:dyDescent="0.2">
      <c r="E130" s="4" t="s">
        <v>1762</v>
      </c>
      <c r="F130" s="337" t="str">
        <f>IF(ISBLANK(mgmt_cl01_az1_vsan_uplink1_chosen),"Value Missing",mgmt_cl01_az1_vsan_uplink1_chosen)</f>
        <v>Active</v>
      </c>
      <c r="H130" s="4" t="s">
        <v>1762</v>
      </c>
      <c r="I130" s="337" t="str">
        <f>IF(ISBLANK(wld_cl01_az1_vsan_uplink1_chosen),"Value Missing",wld_cl01_az1_vsan_uplink1_chosen)</f>
        <v>Active</v>
      </c>
      <c r="K130" s="6"/>
      <c r="L130" s="6"/>
      <c r="N130" s="6"/>
      <c r="O130" s="6"/>
      <c r="Q130" s="6"/>
      <c r="R130" s="6"/>
      <c r="T130" s="6"/>
      <c r="U130" s="6"/>
      <c r="W130" s="6"/>
      <c r="X130" s="6"/>
      <c r="Z130" s="6"/>
      <c r="AA130" s="6"/>
      <c r="AC130" s="6"/>
      <c r="AD130" s="6"/>
      <c r="AG130" s="8"/>
      <c r="AH130" s="8"/>
    </row>
    <row r="131" spans="5:34" s="2" customFormat="1" ht="20.100000000000001" customHeight="1" x14ac:dyDescent="0.2">
      <c r="E131" s="4" t="s">
        <v>1763</v>
      </c>
      <c r="F131" s="337" t="str">
        <f>IF(ISBLANK(mgmt_cl01_az1_vsan_uplink2_chosen),"Value Missing",mgmt_cl01_az1_vsan_uplink2_chosen)</f>
        <v>Active</v>
      </c>
      <c r="H131" s="4" t="s">
        <v>1763</v>
      </c>
      <c r="I131" s="337" t="str">
        <f>IF(ISBLANK(wld_cl01_az1_vsan_uplink2_chosen),"Value Missing",wld_cl01_az1_vsan_uplink2_chosen)</f>
        <v>Active</v>
      </c>
      <c r="K131" s="6"/>
      <c r="L131" s="6"/>
      <c r="N131" s="6"/>
      <c r="O131" s="6"/>
      <c r="Q131" s="6"/>
      <c r="R131" s="6"/>
      <c r="T131" s="6"/>
      <c r="U131" s="6"/>
      <c r="W131" s="6"/>
      <c r="X131" s="6"/>
      <c r="Z131" s="6"/>
      <c r="AA131" s="6"/>
      <c r="AC131" s="6"/>
      <c r="AD131" s="6"/>
      <c r="AG131" s="8"/>
      <c r="AH131" s="8"/>
    </row>
    <row r="132" spans="5:34" s="2" customFormat="1" ht="20.100000000000001" customHeight="1" x14ac:dyDescent="0.2">
      <c r="E132" s="17" t="s">
        <v>1764</v>
      </c>
      <c r="F132" s="337" t="str">
        <f>IF(ISBLANK(mgmt_cl01_az1_nsx_uplink1_chosen),"Value Missing",mgmt_cl01_az1_nsx_uplink1_chosen)</f>
        <v>Active</v>
      </c>
      <c r="H132" s="17" t="s">
        <v>1764</v>
      </c>
      <c r="I132" s="337" t="str">
        <f>IF(ISBLANK(wld_cl01_az1_nsx_uplink1_chosen),"Value Missing",wld_cl01_az1_nsx_uplink1_chosen)</f>
        <v>uplink1</v>
      </c>
      <c r="K132" s="6"/>
      <c r="L132" s="6"/>
      <c r="N132" s="6"/>
      <c r="O132" s="6"/>
      <c r="Q132" s="6"/>
      <c r="R132" s="6"/>
      <c r="T132" s="6"/>
      <c r="U132" s="6"/>
      <c r="W132" s="6"/>
      <c r="X132" s="6"/>
      <c r="Z132" s="6"/>
      <c r="AA132" s="6"/>
      <c r="AC132" s="6"/>
      <c r="AD132" s="6"/>
      <c r="AG132" s="8"/>
      <c r="AH132" s="8"/>
    </row>
    <row r="133" spans="5:34" s="2" customFormat="1" ht="20.100000000000001" customHeight="1" x14ac:dyDescent="0.2">
      <c r="E133" s="4" t="s">
        <v>1765</v>
      </c>
      <c r="F133" s="337" t="str">
        <f>IF(ISBLANK(mgmt_cl01_az1_nsx_uplink2_chosen),"Value Missing",mgmt_cl01_az1_nsx_uplink2_chosen)</f>
        <v>Active</v>
      </c>
      <c r="H133" s="4" t="s">
        <v>1765</v>
      </c>
      <c r="I133" s="337" t="str">
        <f>IF(ISBLANK(wld_cl01_az1_nsx_uplink2_chosen),"Value Missing",wld_cl01_az1_nsx_uplink2_chosen)</f>
        <v>uplink2</v>
      </c>
      <c r="K133" s="6"/>
      <c r="L133" s="6"/>
      <c r="N133" s="6"/>
      <c r="O133" s="6"/>
      <c r="Q133" s="6"/>
      <c r="R133" s="6"/>
      <c r="T133" s="6"/>
      <c r="U133" s="6"/>
      <c r="W133" s="6"/>
      <c r="X133" s="6"/>
      <c r="Z133" s="6"/>
      <c r="AA133" s="6"/>
      <c r="AC133" s="6"/>
      <c r="AD133" s="6"/>
      <c r="AG133" s="8"/>
      <c r="AH133" s="8"/>
    </row>
    <row r="134" spans="5:34" s="2" customFormat="1" ht="20.100000000000001" customHeight="1" x14ac:dyDescent="0.2">
      <c r="E134" s="4" t="s">
        <v>1766</v>
      </c>
      <c r="F134" s="337" t="str">
        <f>IF(ISBLANK(mgmt_cl01_az1_nfs_uplink1_chosen),"Value Missing",mgmt_cl01_az1_nfs_uplink1_chosen)</f>
        <v>Active</v>
      </c>
      <c r="H134" s="4" t="s">
        <v>1767</v>
      </c>
      <c r="I134" s="337" t="str">
        <f>wld_cl01_az1_vsan_storage_client_uplink1_chosen</f>
        <v>Active</v>
      </c>
      <c r="K134" s="6"/>
      <c r="L134" s="6"/>
      <c r="N134" s="6"/>
      <c r="O134" s="6"/>
      <c r="Q134" s="6"/>
      <c r="R134" s="6"/>
      <c r="T134" s="6"/>
      <c r="U134" s="6"/>
      <c r="W134" s="6"/>
      <c r="X134" s="6"/>
      <c r="Z134" s="6"/>
      <c r="AA134" s="6"/>
      <c r="AC134" s="6"/>
      <c r="AD134" s="6"/>
      <c r="AG134" s="8"/>
      <c r="AH134" s="8"/>
    </row>
    <row r="135" spans="5:34" s="2" customFormat="1" ht="20.100000000000001" customHeight="1" x14ac:dyDescent="0.2">
      <c r="E135" s="4" t="s">
        <v>1768</v>
      </c>
      <c r="F135" s="337" t="str">
        <f>IF(ISBLANK(mgmt_cl01_az1_nfs_uplink2_chosen),"Value Missing",mgmt_cl01_az1_nfs_uplink2_chosen)</f>
        <v>Active</v>
      </c>
      <c r="H135" s="4" t="s">
        <v>1767</v>
      </c>
      <c r="I135" s="337" t="str">
        <f>wld_cl01_az1_vsan_storage_client_uplink2_chosen</f>
        <v>Active</v>
      </c>
      <c r="K135" s="6"/>
      <c r="L135" s="6"/>
      <c r="N135" s="6"/>
      <c r="O135" s="6"/>
      <c r="Q135" s="6"/>
      <c r="R135" s="6"/>
      <c r="T135" s="6"/>
      <c r="U135" s="6"/>
      <c r="W135" s="6"/>
      <c r="X135" s="6"/>
      <c r="Z135" s="6"/>
      <c r="AA135" s="6"/>
      <c r="AC135" s="6"/>
      <c r="AD135" s="6"/>
      <c r="AG135" s="8"/>
      <c r="AH135" s="8"/>
    </row>
    <row r="136" spans="5:34" s="2" customFormat="1" ht="20.100000000000001" customHeight="1" x14ac:dyDescent="0.2">
      <c r="E136" s="6"/>
      <c r="F136" s="6"/>
      <c r="H136" s="6"/>
      <c r="I136" s="6"/>
      <c r="K136" s="6"/>
      <c r="L136" s="6"/>
      <c r="N136" s="6"/>
      <c r="O136" s="6"/>
      <c r="Q136" s="6"/>
      <c r="R136" s="6"/>
      <c r="T136" s="6"/>
      <c r="U136" s="6"/>
      <c r="W136" s="6"/>
      <c r="X136" s="6"/>
      <c r="Z136" s="6"/>
      <c r="AA136" s="6"/>
      <c r="AC136" s="6"/>
      <c r="AD136" s="6"/>
      <c r="AG136" s="8"/>
      <c r="AH136" s="8"/>
    </row>
    <row r="137" spans="5:34" s="2" customFormat="1" ht="20.100000000000001" customHeight="1" x14ac:dyDescent="0.2">
      <c r="E137" s="379" t="s">
        <v>1769</v>
      </c>
      <c r="F137" s="381"/>
      <c r="H137" s="379" t="s">
        <v>1770</v>
      </c>
      <c r="I137" s="381"/>
      <c r="K137" s="6"/>
      <c r="L137" s="6"/>
      <c r="N137" s="6"/>
      <c r="O137" s="6"/>
      <c r="Q137" s="6"/>
      <c r="R137" s="6"/>
      <c r="T137" s="6"/>
      <c r="U137" s="6"/>
      <c r="W137" s="6"/>
      <c r="X137" s="6"/>
      <c r="Z137" s="6"/>
      <c r="AA137" s="6"/>
      <c r="AC137" s="6"/>
      <c r="AD137" s="6"/>
      <c r="AG137" s="8"/>
      <c r="AH137" s="8"/>
    </row>
    <row r="138" spans="5:34" s="2" customFormat="1" ht="20.100000000000001" customHeight="1" x14ac:dyDescent="0.2">
      <c r="E138" s="11" t="s">
        <v>259</v>
      </c>
      <c r="F138" s="14" t="s">
        <v>1652</v>
      </c>
      <c r="H138" s="11" t="s">
        <v>259</v>
      </c>
      <c r="I138" s="14" t="s">
        <v>1652</v>
      </c>
      <c r="K138" s="6"/>
      <c r="L138" s="6"/>
      <c r="N138" s="6"/>
      <c r="O138" s="6"/>
      <c r="Q138" s="6"/>
      <c r="R138" s="6"/>
      <c r="T138" s="6"/>
      <c r="U138" s="6"/>
      <c r="W138" s="6"/>
      <c r="X138" s="6"/>
      <c r="Z138" s="6"/>
      <c r="AA138" s="6"/>
      <c r="AC138" s="6"/>
      <c r="AD138" s="6"/>
      <c r="AG138" s="8"/>
      <c r="AH138" s="8"/>
    </row>
    <row r="139" spans="5:34" s="2" customFormat="1" ht="20.100000000000001" customHeight="1" x14ac:dyDescent="0.2">
      <c r="E139" s="4" t="s">
        <v>1771</v>
      </c>
      <c r="F139" s="337" t="str">
        <f>IF(ISBLANK(mgmt_cl01_az1_mgmt_vm_lbt_chosen),"Value Missing",mgmt_cl01_az1_mgmt_vm_lbt_chosen)</f>
        <v>Route Based on Physical NIC Load</v>
      </c>
      <c r="H139" s="4" t="s">
        <v>1771</v>
      </c>
      <c r="I139" s="337" t="str">
        <f>IF(ISBLANK(wld_cl01_az1_mgmt_vm_lbt_chosen),"Value Missing",wld_cl01_az1_mgmt_vm_lbt_chosen)</f>
        <v>Route Based on Physical NIC Load</v>
      </c>
      <c r="K139" s="6"/>
      <c r="N139" s="6"/>
      <c r="O139" s="6"/>
      <c r="Q139" s="6"/>
      <c r="R139" s="6"/>
      <c r="T139" s="6"/>
      <c r="U139" s="6"/>
      <c r="W139" s="6"/>
      <c r="X139" s="6"/>
      <c r="Z139" s="6"/>
      <c r="AA139" s="6"/>
      <c r="AC139" s="6"/>
      <c r="AD139" s="6"/>
      <c r="AG139" s="8"/>
      <c r="AH139" s="8"/>
    </row>
    <row r="140" spans="5:34" s="2" customFormat="1" ht="20.100000000000001" customHeight="1" x14ac:dyDescent="0.2">
      <c r="E140" s="4" t="s">
        <v>1772</v>
      </c>
      <c r="F140" s="337" t="str">
        <f>IF(ISBLANK(mgmt_cl01_az1_mgmt_lbt_chosen),"Value Missing",mgmt_cl01_az1_mgmt_lbt_chosen)</f>
        <v>Route Based on Physical NIC Load</v>
      </c>
      <c r="H140" s="4" t="s">
        <v>1772</v>
      </c>
      <c r="I140" s="337"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8"/>
      <c r="AH140" s="8"/>
    </row>
    <row r="141" spans="5:34" s="2" customFormat="1" ht="20.100000000000001" customHeight="1" x14ac:dyDescent="0.2">
      <c r="E141" s="4" t="s">
        <v>1773</v>
      </c>
      <c r="F141" s="337" t="str">
        <f>IF(ISBLANK(mgmt_cl01_az1_vmotion_lbt_chosen),"Value Missing",mgmt_cl01_az1_vmotion_lbt_chosen)</f>
        <v>Route Based on Physical NIC Load</v>
      </c>
      <c r="H141" s="4" t="s">
        <v>1773</v>
      </c>
      <c r="I141" s="337" t="str">
        <f>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8"/>
      <c r="AH141" s="8"/>
    </row>
    <row r="142" spans="5:34" s="2" customFormat="1" ht="20.100000000000001" customHeight="1" x14ac:dyDescent="0.2">
      <c r="E142" s="4" t="s">
        <v>1774</v>
      </c>
      <c r="F142" s="337" t="str">
        <f>IF(ISBLANK(mgmt_cl01_az1_vsan_lbt_chosen),"Value Missing",mgmt_cl01_az1_vsan_lbt_chosen)</f>
        <v>Route Based on Physical NIC Load</v>
      </c>
      <c r="G142" s="15"/>
      <c r="H142" s="4" t="s">
        <v>1774</v>
      </c>
      <c r="I142" s="337" t="str">
        <f>IF(ISBLANK(wld_cl01_az1_vsan_lbt_chosen),"Value Missing",wld_cl01_az1_vsan_lbt_chosen)</f>
        <v>Route Based on Physical NIC Load</v>
      </c>
      <c r="J142" s="15"/>
      <c r="K142" s="6"/>
      <c r="L142" s="6"/>
      <c r="N142" s="6"/>
      <c r="O142" s="6"/>
      <c r="Q142" s="6"/>
      <c r="R142" s="6"/>
      <c r="T142" s="6"/>
      <c r="U142" s="6"/>
      <c r="W142" s="6"/>
      <c r="X142" s="6"/>
      <c r="Z142" s="6"/>
      <c r="AA142" s="6"/>
      <c r="AC142" s="6"/>
      <c r="AD142" s="6"/>
      <c r="AG142" s="8"/>
      <c r="AH142" s="8"/>
    </row>
    <row r="143" spans="5:34" s="2" customFormat="1" ht="20.100000000000001" customHeight="1" x14ac:dyDescent="0.2">
      <c r="E143" s="4" t="s">
        <v>1775</v>
      </c>
      <c r="F143" s="337" t="str">
        <f>IF(ISBLANK(mgmt_cl01_az1_nsx_lbt_chosen),"Value Missing",mgmt_cl01_az1_nsx_lbt_chosen)</f>
        <v>Route Based on the Source of the Port ID</v>
      </c>
      <c r="H143" s="4" t="s">
        <v>1657</v>
      </c>
      <c r="I143" s="337" t="str">
        <f>IF(ISBLANK(wld_cl01_az1_nsx_lbt_chosen),"Value Missing",wld_cl01_az1_nsx_lbt_chosen)</f>
        <v>Load Balance Source</v>
      </c>
      <c r="K143" s="6"/>
      <c r="L143" s="6"/>
      <c r="M143" s="15"/>
      <c r="N143" s="6"/>
      <c r="O143" s="6"/>
      <c r="Q143" s="6"/>
      <c r="R143" s="6"/>
      <c r="T143" s="6"/>
      <c r="U143" s="6"/>
      <c r="W143" s="6"/>
      <c r="X143" s="6"/>
      <c r="Z143" s="6"/>
      <c r="AA143" s="6"/>
      <c r="AC143" s="6"/>
      <c r="AD143" s="6"/>
      <c r="AG143" s="8"/>
      <c r="AH143" s="8"/>
    </row>
    <row r="144" spans="5:34" s="2" customFormat="1" ht="20.100000000000001" customHeight="1" x14ac:dyDescent="0.2">
      <c r="E144" s="4" t="s">
        <v>1776</v>
      </c>
      <c r="F144" s="337"/>
      <c r="H144" s="4" t="s">
        <v>1776</v>
      </c>
      <c r="I144" s="337"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8"/>
      <c r="AH144" s="8"/>
    </row>
    <row r="145" spans="5:35" s="2" customFormat="1" ht="20.100000000000001" customHeight="1" x14ac:dyDescent="0.2">
      <c r="E145" s="4" t="s">
        <v>1777</v>
      </c>
      <c r="F145" s="337" t="str">
        <f>IF(ISBLANK(mgmt_cl01_az1_nfs_lbt_chosen),"Value Missing",mgmt_cl01_az1_nfs_lbt_chosen)</f>
        <v>Route Based on Physical NIC Load</v>
      </c>
      <c r="H145" s="6"/>
      <c r="I145" s="3"/>
      <c r="K145" s="6"/>
      <c r="L145" s="6"/>
      <c r="N145" s="6"/>
      <c r="O145" s="6"/>
      <c r="Q145" s="6"/>
      <c r="R145" s="6"/>
      <c r="T145" s="6"/>
      <c r="U145" s="6"/>
      <c r="W145" s="6"/>
      <c r="X145" s="6"/>
      <c r="Z145" s="6"/>
      <c r="AA145" s="6"/>
      <c r="AC145" s="6"/>
      <c r="AD145" s="6"/>
      <c r="AG145" s="8"/>
      <c r="AH145" s="8"/>
      <c r="AI145" s="8"/>
    </row>
    <row r="146" spans="5:35" s="2" customFormat="1" ht="20.100000000000001" customHeight="1" x14ac:dyDescent="0.2">
      <c r="I146" s="3"/>
      <c r="L146" s="3"/>
      <c r="AG146" s="8"/>
      <c r="AH146" s="8"/>
      <c r="AI146" s="8"/>
    </row>
    <row r="147" spans="5:35" s="2" customFormat="1" ht="20.100000000000001" customHeight="1" x14ac:dyDescent="0.2">
      <c r="E147" s="20" t="s">
        <v>1778</v>
      </c>
      <c r="F147" s="381"/>
      <c r="H147" s="20" t="s">
        <v>1779</v>
      </c>
      <c r="I147" s="381"/>
      <c r="K147" s="20" t="s">
        <v>1780</v>
      </c>
      <c r="L147" s="381"/>
      <c r="N147" s="20" t="s">
        <v>1781</v>
      </c>
      <c r="O147" s="381"/>
      <c r="Q147" s="20" t="s">
        <v>1782</v>
      </c>
      <c r="R147" s="381"/>
      <c r="T147" s="20" t="s">
        <v>1783</v>
      </c>
      <c r="U147" s="381"/>
      <c r="W147" s="20" t="s">
        <v>1784</v>
      </c>
      <c r="X147" s="381"/>
      <c r="Z147" s="20" t="s">
        <v>1785</v>
      </c>
      <c r="AA147" s="381"/>
      <c r="AC147" s="20" t="s">
        <v>1786</v>
      </c>
      <c r="AD147" s="381"/>
      <c r="AG147" s="8"/>
      <c r="AH147" s="8"/>
      <c r="AI147" s="8"/>
    </row>
    <row r="148" spans="5:35" s="2" customFormat="1" ht="20.100000000000001" customHeight="1" x14ac:dyDescent="0.2">
      <c r="E148" s="13" t="s">
        <v>259</v>
      </c>
      <c r="F148" s="14" t="s">
        <v>1652</v>
      </c>
      <c r="H148" s="11" t="s">
        <v>259</v>
      </c>
      <c r="I148" s="14" t="s">
        <v>277</v>
      </c>
      <c r="K148" s="13" t="s">
        <v>259</v>
      </c>
      <c r="L148" s="14" t="s">
        <v>277</v>
      </c>
      <c r="N148" s="13" t="s">
        <v>259</v>
      </c>
      <c r="O148" s="14" t="s">
        <v>277</v>
      </c>
      <c r="P148" s="15"/>
      <c r="Q148" s="13" t="s">
        <v>259</v>
      </c>
      <c r="R148" s="14" t="s">
        <v>277</v>
      </c>
      <c r="S148" s="15"/>
      <c r="T148" s="13" t="s">
        <v>259</v>
      </c>
      <c r="U148" s="14" t="s">
        <v>277</v>
      </c>
      <c r="V148" s="15"/>
      <c r="W148" s="13" t="s">
        <v>259</v>
      </c>
      <c r="X148" s="14" t="s">
        <v>277</v>
      </c>
      <c r="Y148" s="15"/>
      <c r="Z148" s="13" t="s">
        <v>259</v>
      </c>
      <c r="AA148" s="14" t="s">
        <v>277</v>
      </c>
      <c r="AB148" s="15"/>
      <c r="AC148" s="13" t="s">
        <v>259</v>
      </c>
      <c r="AD148" s="14" t="s">
        <v>277</v>
      </c>
      <c r="AG148" s="8"/>
      <c r="AH148" s="8"/>
      <c r="AI148" s="8"/>
    </row>
    <row r="149" spans="5:35" s="2" customFormat="1" ht="20.100000000000001" customHeight="1" x14ac:dyDescent="0.2">
      <c r="E149" s="361" t="s">
        <v>1787</v>
      </c>
      <c r="F149" s="337" t="str">
        <f>IF(ISBLANK(input_mgmt_az1_vmotion_pool_start_ip),"Value Missing",input_mgmt_az1_vmotion_pool_start_ip)</f>
        <v>192.168.21.51</v>
      </c>
      <c r="H149" s="361" t="s">
        <v>1787</v>
      </c>
      <c r="I149" s="337" t="str">
        <f>IF(ISBLANK(input_wld_az1_vmotion_pool_start_ip),"Value Missing",input_wld_az1_vmotion_pool_start_ip)</f>
        <v>Value Missing</v>
      </c>
      <c r="K149" s="361" t="s">
        <v>1787</v>
      </c>
      <c r="L149" s="337" t="str">
        <f>IF(ISBLANK(input_wld_az1_rack2_vmotion_pool_start_ip),"Value Missing",input_wld_az1_rack2_vmotion_pool_start_ip)</f>
        <v>Value Missing</v>
      </c>
      <c r="N149" s="361" t="s">
        <v>1787</v>
      </c>
      <c r="O149" s="337" t="str">
        <f>IF(ISBLANK(input_wld_az1_rack3_vmotion_pool_start_ip),"Value Missing",input_wld_az1_rack3_vmotion_pool_start_ip)</f>
        <v>Value Missing</v>
      </c>
      <c r="Q149" s="361" t="s">
        <v>1787</v>
      </c>
      <c r="R149" s="337" t="str">
        <f>IF(ISBLANK(input_wld_az1_rack4_vmotion_pool_start_ip),"Value Missing",input_wld_az1_rack4_vmotion_pool_start_ip)</f>
        <v>Value Missing</v>
      </c>
      <c r="T149" s="361" t="s">
        <v>1787</v>
      </c>
      <c r="U149" s="337" t="str">
        <f>IF(ISBLANK(input_wld_az1_rack5_vmotion_pool_start_ip),"Value Missing",input_wld_az1_rack5_vmotion_pool_start_ip)</f>
        <v>Value Missing</v>
      </c>
      <c r="W149" s="361" t="s">
        <v>1787</v>
      </c>
      <c r="X149" s="337" t="str">
        <f>IF(ISBLANK(input_wld_az1_rack6_vmotion_pool_start_ip),"Value Missing",input_wld_az1_rack6_vmotion_pool_start_ip)</f>
        <v>Value Missing</v>
      </c>
      <c r="Z149" s="361" t="s">
        <v>1787</v>
      </c>
      <c r="AA149" s="337" t="str">
        <f>IF(ISBLANK(input_wld_az1_rack7_vmotion_pool_start_ip),"Value Missing",input_wld_az1_rack7_vmotion_pool_start_ip)</f>
        <v>Value Missing</v>
      </c>
      <c r="AC149" s="361" t="s">
        <v>1787</v>
      </c>
      <c r="AD149" s="337" t="str">
        <f>IF(ISBLANK(input_wld_az1_rack8_vmotion_pool_start_ip),"Value Missing",input_wld_az1_rack8_vmotion_pool_start_ip)</f>
        <v>Value Missing</v>
      </c>
      <c r="AG149" s="8"/>
      <c r="AH149" s="8"/>
      <c r="AI149" s="8"/>
    </row>
    <row r="150" spans="5:35" s="2" customFormat="1" ht="20.100000000000001" customHeight="1" x14ac:dyDescent="0.2">
      <c r="E150" s="361" t="s">
        <v>1788</v>
      </c>
      <c r="F150" s="337" t="str">
        <f>IF(ISBLANK(input_mgmt_az1_vmotion_pool_end_ip),"Value Missing",input_mgmt_az1_vmotion_pool_end_ip)</f>
        <v>192.168.21.70</v>
      </c>
      <c r="H150" s="361" t="s">
        <v>1788</v>
      </c>
      <c r="I150" s="337" t="str">
        <f>IF(ISBLANK(input_wld_az1_vmotion_pool_end_ip),"Value Missing",input_wld_az1_vmotion_pool_end_ip)</f>
        <v>Value Missing</v>
      </c>
      <c r="K150" s="361" t="s">
        <v>1788</v>
      </c>
      <c r="L150" s="337" t="str">
        <f>IF(ISBLANK(input_wld_az1_rack2_vmotion_pool_end_ip),"Value Missing",input_wld_az1_rack2_vmotion_pool_end_ip)</f>
        <v>Value Missing</v>
      </c>
      <c r="N150" s="361" t="s">
        <v>1788</v>
      </c>
      <c r="O150" s="337" t="str">
        <f>IF(ISBLANK(input_wld_az1_rack3_vmotion_pool_end_ip),"Value Missing",input_wld_az1_rack3_vmotion_pool_end_ip)</f>
        <v>Value Missing</v>
      </c>
      <c r="Q150" s="361" t="s">
        <v>1788</v>
      </c>
      <c r="R150" s="337" t="str">
        <f>IF(ISBLANK(input_wld_az1_rack4_vmotion_pool_end_ip),"Value Missing",input_wld_az1_rack4_vmotion_pool_end_ip)</f>
        <v>Value Missing</v>
      </c>
      <c r="T150" s="361" t="s">
        <v>1788</v>
      </c>
      <c r="U150" s="337" t="str">
        <f>IF(ISBLANK(input_wld_az1_rack5_vmotion_pool_end_ip),"Value Missing",input_wld_az1_rack5_vmotion_pool_end_ip)</f>
        <v>Value Missing</v>
      </c>
      <c r="W150" s="361" t="s">
        <v>1788</v>
      </c>
      <c r="X150" s="337" t="str">
        <f>IF(ISBLANK(input_wld_az1_rack6_vmotion_pool_end_ip),"Value Missing",input_wld_az1_rack6_vmotion_pool_end_ip)</f>
        <v>Value Missing</v>
      </c>
      <c r="Z150" s="361" t="s">
        <v>1788</v>
      </c>
      <c r="AA150" s="337" t="str">
        <f>IF(ISBLANK(input_wld_az1_rack7_vmotion_pool_end_ip),"Value Missing",input_wld_az1_rack7_vmotion_pool_end_ip)</f>
        <v>Value Missing</v>
      </c>
      <c r="AC150" s="361" t="s">
        <v>1788</v>
      </c>
      <c r="AD150" s="337" t="str">
        <f>IF(ISBLANK(input_wld_az1_rack8_vmotion_pool_end_ip),"Value Missing",input_wld_az1_rack8_vmotion_pool_end_ip)</f>
        <v>Value Missing</v>
      </c>
      <c r="AG150" s="8"/>
      <c r="AH150" s="8"/>
      <c r="AI150" s="8"/>
    </row>
    <row r="151" spans="5:35" s="2" customFormat="1" ht="20.100000000000001" customHeight="1" x14ac:dyDescent="0.2">
      <c r="E151" s="361" t="s">
        <v>1789</v>
      </c>
      <c r="F151" s="337" t="str">
        <f>IF(ISBLANK(input_mgmt_az1_vsan_pool_start_ip),"Value Missing",input_mgmt_az1_vsan_pool_start_ip)</f>
        <v>192.168.20.51</v>
      </c>
      <c r="H151" s="361" t="s">
        <v>1789</v>
      </c>
      <c r="I151" s="337" t="str">
        <f>IF(ISBLANK(input_wld_az1_principal_storage_pool_start_ip),"Value Missing",input_wld_az1_principal_storage_pool_start_ip)</f>
        <v>Value Missing</v>
      </c>
      <c r="K151" s="361" t="s">
        <v>1789</v>
      </c>
      <c r="L151" s="337" t="str">
        <f>IF(ISBLANK(input_wld_az1_rack2_principal_storage_pool_start_ip),"Value Missing",input_wld_az1_rack2_principal_storage_pool_start_ip)</f>
        <v>Value Missing</v>
      </c>
      <c r="N151" s="361" t="s">
        <v>1789</v>
      </c>
      <c r="O151" s="337" t="str">
        <f>IF(ISBLANK(input_wld_az1_rack3_principal_storage_pool_start_ip),"Value Missing",input_wld_az1_rack3_principal_storage_pool_start_ip)</f>
        <v>Value Missing</v>
      </c>
      <c r="Q151" s="361" t="s">
        <v>1789</v>
      </c>
      <c r="R151" s="337" t="str">
        <f>IF(ISBLANK(input_wld_az1_rack4_principal_storage_pool_start_ip),"Value Missing",input_wld_az1_rack4_principal_storage_pool_start_ip)</f>
        <v>Value Missing</v>
      </c>
      <c r="T151" s="361" t="s">
        <v>1789</v>
      </c>
      <c r="U151" s="337" t="str">
        <f>IF(ISBLANK(input_wld_az1_rack5_principal_storage_pool_start_ip),"Value Missing",input_wld_az1_rack5_principal_storage_pool_start_ip)</f>
        <v>Value Missing</v>
      </c>
      <c r="W151" s="361" t="s">
        <v>1789</v>
      </c>
      <c r="X151" s="337" t="str">
        <f>IF(ISBLANK(input_wld_az1_rack6_principal_storage_pool_start_ip),"Value Missing",input_wld_az1_rack6_principal_storage_pool_start_ip)</f>
        <v>Value Missing</v>
      </c>
      <c r="Z151" s="361" t="s">
        <v>1789</v>
      </c>
      <c r="AA151" s="337" t="str">
        <f>IF(ISBLANK(input_wld_az1_rack7_principal_storage_pool_start_ip),"Value Missing",input_wld_az1_rack7_principal_storage_pool_start_ip)</f>
        <v>Value Missing</v>
      </c>
      <c r="AC151" s="361" t="s">
        <v>1789</v>
      </c>
      <c r="AD151" s="337" t="str">
        <f>IF(ISBLANK(input_wld_az1_rack8_principal_storage_pool_start_ip),"Value Missing",input_wld_az1_rack8_principal_storage_pool_start_ip)</f>
        <v>Value Missing</v>
      </c>
      <c r="AG151" s="8"/>
      <c r="AH151" s="8"/>
      <c r="AI151" s="8"/>
    </row>
    <row r="152" spans="5:35" s="2" customFormat="1" ht="20.100000000000001" customHeight="1" x14ac:dyDescent="0.2">
      <c r="E152" s="361" t="s">
        <v>1790</v>
      </c>
      <c r="F152" s="337" t="str">
        <f>IF(ISBLANK(input_mgmt_az1_vsan_pool_end_ip),"Value Missing",input_mgmt_az1_vsan_pool_end_ip)</f>
        <v>192.168.20.70</v>
      </c>
      <c r="H152" s="361" t="s">
        <v>1790</v>
      </c>
      <c r="I152" s="337" t="str">
        <f>IF(ISBLANK(input_wld_az1_principal_storage_pool_end_ip),"Value Missing",input_wld_az1_principal_storage_pool_end_ip)</f>
        <v>Value Missing</v>
      </c>
      <c r="K152" s="361" t="s">
        <v>1790</v>
      </c>
      <c r="L152" s="337" t="str">
        <f>IF(ISBLANK(input_wld_az1_rack2_principal_storage_pool_end_ip),"Value Missing",input_wld_az1_rack2_principal_storage_pool_end_ip)</f>
        <v>Value Missing</v>
      </c>
      <c r="N152" s="361" t="s">
        <v>1790</v>
      </c>
      <c r="O152" s="337" t="str">
        <f>IF(ISBLANK(input_wld_az1_rack3_principal_storage_pool_end_ip),"Value Missing",input_wld_az1_rack3_principal_storage_pool_end_ip)</f>
        <v>Value Missing</v>
      </c>
      <c r="Q152" s="361" t="s">
        <v>1790</v>
      </c>
      <c r="R152" s="337" t="str">
        <f>IF(ISBLANK(input_wld_az1_rack4_principal_storage_pool_end_ip),"Value Missing",input_wld_az1_rack4_principal_storage_pool_end_ip)</f>
        <v>Value Missing</v>
      </c>
      <c r="T152" s="361" t="s">
        <v>1790</v>
      </c>
      <c r="U152" s="337" t="str">
        <f>IF(ISBLANK(input_wld_az1_rack5_principal_storage_pool_end_ip),"Value Missing",input_wld_az1_rack5_principal_storage_pool_end_ip)</f>
        <v>Value Missing</v>
      </c>
      <c r="W152" s="361" t="s">
        <v>1790</v>
      </c>
      <c r="X152" s="337" t="str">
        <f>IF(ISBLANK(input_wld_az1_rack6_principal_storage_pool_end_ip),"Value Missing",input_wld_az1_rack6_principal_storage_pool_end_ip)</f>
        <v>Value Missing</v>
      </c>
      <c r="Z152" s="361" t="s">
        <v>1790</v>
      </c>
      <c r="AA152" s="337" t="str">
        <f>IF(ISBLANK(input_wld_az1_rack7_principal_storage_pool_end_ip),"Value Missing",input_wld_az1_rack7_principal_storage_pool_end_ip)</f>
        <v>Value Missing</v>
      </c>
      <c r="AC152" s="361" t="s">
        <v>1790</v>
      </c>
      <c r="AD152" s="337" t="str">
        <f>IF(ISBLANK(input_wld_az1_rack8_principal_storage_pool_end_ip),"Value Missing",input_wld_az1_rack8_principal_storage_pool_end_ip)</f>
        <v>Value Missing</v>
      </c>
      <c r="AG152" s="8"/>
      <c r="AH152" s="8"/>
      <c r="AI152" s="8"/>
    </row>
    <row r="153" spans="5:35" s="2" customFormat="1" ht="20.100000000000001" customHeight="1" x14ac:dyDescent="0.2">
      <c r="E153" s="361" t="s">
        <v>1791</v>
      </c>
      <c r="F153" s="337" t="str">
        <f>IF(ISBLANK(input_mgmt_az1_host_overlay_pool_start_ip),"Value Missing",input_mgmt_az1_host_overlay_pool_start_ip)</f>
        <v>10.100.38.51</v>
      </c>
      <c r="H153" s="361" t="s">
        <v>1791</v>
      </c>
      <c r="I153" s="337" t="str">
        <f>IF(ISBLANK(input_wld_az1_host_overlay_pool_start_ip),"Value Missing",input_wld_az1_host_overlay_pool_start_ip)</f>
        <v>Value Missing</v>
      </c>
      <c r="K153" s="361" t="s">
        <v>1791</v>
      </c>
      <c r="L153" s="337" t="str">
        <f>IF(ISBLANK(input_wld_az1_rack2_host_overlay_pool_start_ip),"Value Missing",input_wld_az1_rack2_host_overlay_pool_start_ip)</f>
        <v>Value Missing</v>
      </c>
      <c r="N153" s="361" t="s">
        <v>1791</v>
      </c>
      <c r="O153" s="337" t="str">
        <f>IF(ISBLANK(input_wld_az1_rack3_host_overlay_pool_start_ip),"Value Missing",input_wld_az1_rack3_host_overlay_pool_start_ip)</f>
        <v>Value Missing</v>
      </c>
      <c r="Q153" s="361" t="s">
        <v>1791</v>
      </c>
      <c r="R153" s="337" t="str">
        <f>IF(ISBLANK(input_wld_az1_rack4_host_overlay_pool_start_ip),"Value Missing",input_wld_az1_rack4_host_overlay_pool_start_ip)</f>
        <v>Value Missing</v>
      </c>
      <c r="T153" s="361" t="s">
        <v>1791</v>
      </c>
      <c r="U153" s="337" t="str">
        <f>IF(ISBLANK(input_wld_az1_rack5_host_overlay_pool_start_ip),"Value Missing",input_wld_az1_rack5_host_overlay_pool_start_ip)</f>
        <v>Value Missing</v>
      </c>
      <c r="W153" s="361" t="s">
        <v>1791</v>
      </c>
      <c r="X153" s="337" t="str">
        <f>IF(ISBLANK(input_wld_az1_rack6_host_overlay_pool_start_ip),"Value Missing",input_wld_az1_rack6_host_overlay_pool_start_ip)</f>
        <v>Value Missing</v>
      </c>
      <c r="Z153" s="361" t="s">
        <v>1791</v>
      </c>
      <c r="AA153" s="337" t="str">
        <f>IF(ISBLANK(input_wld_az1_rack7_host_overlay_pool_start_ip),"Value Missing",input_wld_az1_rack7_host_overlay_pool_start_ip)</f>
        <v>Value Missing</v>
      </c>
      <c r="AC153" s="361" t="s">
        <v>1791</v>
      </c>
      <c r="AD153" s="337" t="str">
        <f>IF(ISBLANK(input_wld_az1_rack8_host_overlay_pool_start_ip),"Value Missing",input_wld_az1_rack8_host_overlay_pool_start_ip)</f>
        <v>Value Missing</v>
      </c>
      <c r="AG153" s="8"/>
      <c r="AH153" s="8"/>
      <c r="AI153" s="8"/>
    </row>
    <row r="154" spans="5:35" s="2" customFormat="1" ht="20.100000000000001" customHeight="1" x14ac:dyDescent="0.2">
      <c r="E154" s="361" t="s">
        <v>1792</v>
      </c>
      <c r="F154" s="337" t="str">
        <f>IF(ISBLANK(input_mgmt_az1_host_overlay_pool_end_ip),"Value Missing",input_mgmt_az1_host_overlay_pool_end_ip)</f>
        <v>10.100.38.70</v>
      </c>
      <c r="H154" s="361" t="s">
        <v>1792</v>
      </c>
      <c r="I154" s="337" t="str">
        <f>IF(ISBLANK(input_wld_az1_host_overlay_pool_end_ip),"Value Missing",input_wld_az1_host_overlay_pool_end_ip)</f>
        <v>Value Missing</v>
      </c>
      <c r="K154" s="361" t="s">
        <v>1792</v>
      </c>
      <c r="L154" s="337" t="str">
        <f>IF(ISBLANK(input_wld_az1_rack2_host_overlay_pool_end_ip),"Value Missing",input_wld_az1_rack2_host_overlay_pool_end_ip)</f>
        <v>Value Missing</v>
      </c>
      <c r="N154" s="361" t="s">
        <v>1792</v>
      </c>
      <c r="O154" s="337" t="str">
        <f>IF(ISBLANK(input_wld_az1_rack3_host_overlay_pool_end_ip),"Value Missing",input_wld_az1_rack3_host_overlay_pool_end_ip)</f>
        <v>Value Missing</v>
      </c>
      <c r="Q154" s="361" t="s">
        <v>1792</v>
      </c>
      <c r="R154" s="337" t="str">
        <f>IF(ISBLANK(input_wld_az1_rack4_host_overlay_pool_end_ip),"Value Missing",input_wld_az1_rack4_host_overlay_pool_end_ip)</f>
        <v>Value Missing</v>
      </c>
      <c r="T154" s="361" t="s">
        <v>1792</v>
      </c>
      <c r="U154" s="337" t="str">
        <f>IF(ISBLANK(input_wld_az1_rack5_host_overlay_pool_end_ip),"Value Missing",input_wld_az1_rack5_host_overlay_pool_end_ip)</f>
        <v>Value Missing</v>
      </c>
      <c r="W154" s="361" t="s">
        <v>1792</v>
      </c>
      <c r="X154" s="337" t="str">
        <f>IF(ISBLANK(input_wld_az1_rack6_host_overlay_pool_end_ip),"Value Missing",input_wld_az1_rack6_host_overlay_pool_end_ip)</f>
        <v>Value Missing</v>
      </c>
      <c r="Z154" s="361" t="s">
        <v>1792</v>
      </c>
      <c r="AA154" s="337" t="str">
        <f>IF(ISBLANK(input_wld_az1_rack7_host_overlay_pool_end_ip),"Value Missing",input_wld_az1_rack7_host_overlay_pool_end_ip)</f>
        <v>Value Missing</v>
      </c>
      <c r="AC154" s="361" t="s">
        <v>1792</v>
      </c>
      <c r="AD154" s="337" t="str">
        <f>IF(ISBLANK(input_wld_az1_rack8_host_overlay_pool_end_ip),"Value Missing",input_wld_az1_rack8_host_overlay_pool_end_ip)</f>
        <v>Value Missing</v>
      </c>
      <c r="AG154" s="8"/>
      <c r="AH154" s="8"/>
      <c r="AI154" s="8"/>
    </row>
    <row r="155" spans="5:35" s="2" customFormat="1" ht="20.100000000000001" customHeight="1" x14ac:dyDescent="0.2">
      <c r="E155" s="5" t="s">
        <v>1793</v>
      </c>
      <c r="F155" s="337" t="str">
        <f>IF(ISBLANK(input_mgmt_az1_secondary_storage_pool_start_ip),"Value Missing",input_mgmt_az1_secondary_storage_pool_start_ip)</f>
        <v>Value Missing</v>
      </c>
      <c r="H155" s="17" t="s">
        <v>1793</v>
      </c>
      <c r="I155" s="337" t="str">
        <f>IF(ISBLANK(input_wld_az1_secondary_storage_pool_start_ip),"Value Missing",input_wld_az1_secondary_storage_pool_start_ip)</f>
        <v>Value Missing</v>
      </c>
      <c r="K155" s="17" t="s">
        <v>1793</v>
      </c>
      <c r="L155" s="337" t="str">
        <f>IF(ISBLANK(input_wld_az1_rack2_secondary_storage_pool_start_ip),"Value Missing",input_wld_az1_rack2_secondary_storage_pool_start_ip)</f>
        <v>Value Missing</v>
      </c>
      <c r="N155" s="17" t="s">
        <v>1793</v>
      </c>
      <c r="O155" s="337" t="str">
        <f>IF(ISBLANK(input_wld_az1_rack3_secondary_storage_pool_start_ip),"Value Missing",input_wld_az1_rack3_secondary_storage_pool_start_ip)</f>
        <v>Value Missing</v>
      </c>
      <c r="Q155" s="17" t="s">
        <v>1793</v>
      </c>
      <c r="R155" s="337" t="str">
        <f>IF(ISBLANK(input_wld_az1_rack4_secondary_storage_pool_start_ip),"Value Missing",input_wld_az1_rack4_secondary_storage_pool_start_ip)</f>
        <v>Value Missing</v>
      </c>
      <c r="T155" s="17" t="s">
        <v>1793</v>
      </c>
      <c r="U155" s="337" t="str">
        <f>IF(ISBLANK(input_wld_az1_rack5_secondary_storage_pool_start_ip),"Value Missing",input_wld_az1_rack5_secondary_storage_pool_start_ip)</f>
        <v>Value Missing</v>
      </c>
      <c r="W155" s="17" t="s">
        <v>1793</v>
      </c>
      <c r="X155" s="337" t="str">
        <f>IF(ISBLANK(input_wld_az1_rack6_secondary_storage_pool_start_ip),"Value Missing",input_wld_az1_rack6_secondary_storage_pool_start_ip)</f>
        <v>Value Missing</v>
      </c>
      <c r="Z155" s="17" t="s">
        <v>1793</v>
      </c>
      <c r="AA155" s="337" t="str">
        <f>IF(ISBLANK(input_wld_az1_rack7_secondary_storage_pool_start_ip),"Value Missing",input_wld_az1_rack7_secondary_storage_pool_start_ip)</f>
        <v>Value Missing</v>
      </c>
      <c r="AC155" s="17" t="s">
        <v>1793</v>
      </c>
      <c r="AD155" s="337" t="str">
        <f>IF(ISBLANK(input_wld_az1_rack8_secondary_storage_pool_start_ip),"Value Missing",input_wld_az1_rack8_secondary_storage_pool_start_ip)</f>
        <v>Value Missing</v>
      </c>
      <c r="AG155" s="8"/>
      <c r="AH155" s="8"/>
      <c r="AI155" s="8"/>
    </row>
    <row r="156" spans="5:35" s="2" customFormat="1" ht="20.100000000000001" customHeight="1" x14ac:dyDescent="0.2">
      <c r="E156" s="21" t="s">
        <v>1794</v>
      </c>
      <c r="F156" s="337" t="str">
        <f>IF(ISBLANK(input_mgmt_az1_secondary_storage_pool_end_ip),"Value Missing",input_mgmt_az1_secondary_storage_pool_end_ip)</f>
        <v>Value Missing</v>
      </c>
      <c r="H156" s="22" t="s">
        <v>1794</v>
      </c>
      <c r="I156" s="337" t="str">
        <f>IF(ISBLANK(input_wld_az1_secondary_storage_pool_end_ip),"Value Missing",input_wld_az1_secondary_storage_pool_end_ip)</f>
        <v>Value Missing</v>
      </c>
      <c r="K156" s="22" t="s">
        <v>1794</v>
      </c>
      <c r="L156" s="337" t="str">
        <f>IF(ISBLANK(input_wld_az1_rack2_secondary_storage_pool_end_ip),"Value Missing",input_wld_az1_rack2_secondary_storage_pool_end_ip)</f>
        <v>Value Missing</v>
      </c>
      <c r="N156" s="22" t="s">
        <v>1794</v>
      </c>
      <c r="O156" s="337" t="str">
        <f>IF(ISBLANK(input_wld_az1_rack3_secondary_storage_pool_end_ip),"Value Missing",input_wld_az1_rack3_secondary_storage_pool_end_ip)</f>
        <v>Value Missing</v>
      </c>
      <c r="Q156" s="22" t="s">
        <v>1794</v>
      </c>
      <c r="R156" s="337" t="str">
        <f>IF(ISBLANK(input_wld_az1_rack4_secondary_storage_pool_end_ip),"Value Missing",input_wld_az1_rack4_secondary_storage_pool_end_ip)</f>
        <v>Value Missing</v>
      </c>
      <c r="T156" s="22" t="s">
        <v>1794</v>
      </c>
      <c r="U156" s="337" t="str">
        <f>IF(ISBLANK(input_wld_az1_rack5_secondary_storage_pool_end_ip),"Value Missing",input_wld_az1_rack5_secondary_storage_pool_end_ip)</f>
        <v>Value Missing</v>
      </c>
      <c r="W156" s="22" t="s">
        <v>1794</v>
      </c>
      <c r="X156" s="337" t="str">
        <f>IF(ISBLANK(input_wld_az1_rack6_secondary_storage_pool_end_ip),"Value Missing",input_wld_az1_rack6_secondary_storage_pool_end_ip)</f>
        <v>Value Missing</v>
      </c>
      <c r="Z156" s="22" t="s">
        <v>1794</v>
      </c>
      <c r="AA156" s="337" t="str">
        <f>IF(ISBLANK(input_wld_az1_rack7_secondary_storage_pool_end_ip),"Value Missing",input_wld_az1_rack7_secondary_storage_pool_end_ip)</f>
        <v>Value Missing</v>
      </c>
      <c r="AC156" s="22" t="s">
        <v>1794</v>
      </c>
      <c r="AD156" s="337" t="str">
        <f>IF(ISBLANK(input_wld_az1_rack8_secondary_storage_pool_end_ip),"Value Missing",input_wld_az1_rack8_secondary_storage_pool_end_ip)</f>
        <v>Value Missing</v>
      </c>
      <c r="AG156" s="8"/>
      <c r="AH156" s="8"/>
      <c r="AI156" s="8"/>
    </row>
    <row r="157" spans="5:35" s="2" customFormat="1" ht="20.100000000000001" customHeight="1" x14ac:dyDescent="0.2">
      <c r="E157" s="21"/>
      <c r="F157" s="337"/>
      <c r="G157" s="24"/>
      <c r="H157" s="28" t="s">
        <v>1795</v>
      </c>
      <c r="I157" s="337" t="str">
        <f>IF(ISBLANK(input_wld_az1_storage_cluster_pool_start_ip),"Value Missing",input_wld_az1_storage_cluster_pool_start_ip)</f>
        <v>Value Missing</v>
      </c>
      <c r="J157" s="24"/>
      <c r="K157" s="22"/>
      <c r="L157" s="337"/>
      <c r="N157" s="22"/>
      <c r="O157" s="337"/>
      <c r="Q157" s="22"/>
      <c r="R157" s="337"/>
      <c r="T157" s="22"/>
      <c r="U157" s="337"/>
      <c r="W157" s="22"/>
      <c r="X157" s="337"/>
      <c r="Z157" s="22"/>
      <c r="AA157" s="337"/>
      <c r="AC157" s="22"/>
      <c r="AD157" s="337"/>
      <c r="AG157" s="8"/>
      <c r="AH157" s="8"/>
      <c r="AI157" s="8"/>
    </row>
    <row r="158" spans="5:35" s="2" customFormat="1" ht="20.100000000000001" customHeight="1" x14ac:dyDescent="0.2">
      <c r="E158" s="21"/>
      <c r="F158" s="337"/>
      <c r="G158" s="8"/>
      <c r="H158" s="261" t="s">
        <v>1796</v>
      </c>
      <c r="I158" s="337" t="str">
        <f>IF(ISBLANK(input_wld_az1_storage_cluster_pool_end_ip),"Value Missing",input_wld_az1_storage_cluster_pool_end_ip)</f>
        <v>Value Missing</v>
      </c>
      <c r="J158" s="8"/>
      <c r="K158" s="22"/>
      <c r="L158" s="337"/>
      <c r="N158" s="22"/>
      <c r="O158" s="337"/>
      <c r="Q158" s="22"/>
      <c r="R158" s="337"/>
      <c r="T158" s="22"/>
      <c r="U158" s="337"/>
      <c r="W158" s="22"/>
      <c r="X158" s="337"/>
      <c r="Z158" s="22"/>
      <c r="AA158" s="337"/>
      <c r="AC158" s="22"/>
      <c r="AD158" s="337"/>
      <c r="AG158" s="8"/>
      <c r="AH158" s="8"/>
      <c r="AI158" s="8"/>
    </row>
    <row r="159" spans="5:35" s="2" customFormat="1" ht="20.100000000000001" customHeight="1" x14ac:dyDescent="0.2">
      <c r="E159" s="361" t="s">
        <v>606</v>
      </c>
      <c r="F159" s="337" t="str">
        <f>IF(ISBLANK(input_mgmt_az1_edge_overlay_pool_start_ip),"Value Missing",input_mgmt_az1_edge_overlay_pool_start_ip)</f>
        <v>Value Missing</v>
      </c>
      <c r="H159" s="361" t="s">
        <v>606</v>
      </c>
      <c r="I159" s="337" t="str">
        <f>IF(ISBLANK(input_wld_az1_edge_overlay_pool_start_ip),"Value Missing",input_wld_az1_edge_overlay_pool_start_ip)</f>
        <v>Value Missing</v>
      </c>
      <c r="K159" s="361" t="s">
        <v>606</v>
      </c>
      <c r="L159" s="337" t="str">
        <f t="array" ref="L159">IF(ISBLANK(input_wld_az1_rack2_edge_overlay_pool_start_ip),"Value Missing",input_wld_az1_rack2_edge_overlay_pool_start_ip)</f>
        <v>Value Missing</v>
      </c>
      <c r="N159" s="361" t="s">
        <v>606</v>
      </c>
      <c r="O159" s="337" t="str">
        <f t="array" ref="O159">IF(ISBLANK(input_wld_az1_rack3_edge_overlay_pool_start_ip),"Value Missing",input_wld_az1_rack3_edge_overlay_pool_start_ip)</f>
        <v>Value Missing</v>
      </c>
      <c r="Q159" s="361" t="s">
        <v>606</v>
      </c>
      <c r="R159" s="337" t="str">
        <f t="array" ref="R159">IF(ISBLANK(input_wld_az1_rack4_edge_overlay_pool_start_ip),"Value Missing",input_wld_az1_rack4_edge_overlay_pool_start_ip)</f>
        <v>Value Missing</v>
      </c>
      <c r="T159" s="361" t="s">
        <v>606</v>
      </c>
      <c r="U159" s="337" t="str">
        <f t="array" ref="U159">IF(ISBLANK(input_wld_az1_rack5_edge_overlay_pool_start_ip),"Value Missing",input_wld_az1_rack5_edge_overlay_pool_start_ip)</f>
        <v>Value Missing</v>
      </c>
      <c r="W159" s="361" t="s">
        <v>606</v>
      </c>
      <c r="X159" s="337" t="str">
        <f t="array" ref="X159">IF(ISBLANK(input_wld_az1_rack6_edge_overlay_pool_start_ip),"Value Missing",input_wld_az1_rack6_edge_overlay_pool_start_ip)</f>
        <v>Value Missing</v>
      </c>
      <c r="Z159" s="361" t="s">
        <v>606</v>
      </c>
      <c r="AA159" s="337" t="str">
        <f t="array" ref="AA159">IF(ISBLANK(input_wld_az1_rack7_edge_overlay_pool_start_ip),"Value Missing",input_wld_az1_rack7_edge_overlay_pool_start_ip)</f>
        <v>Value Missing</v>
      </c>
      <c r="AC159" s="361" t="s">
        <v>606</v>
      </c>
      <c r="AD159" s="337" t="str">
        <f t="array" ref="AD159">IF(ISBLANK(input_wld_az1_rack8_edge_overlay_pool_start_ip),"Value Missing",input_wld_az1_rack8_edge_overlay_pool_start_ip)</f>
        <v>Value Missing</v>
      </c>
      <c r="AG159" s="8"/>
      <c r="AH159" s="8"/>
      <c r="AI159" s="8"/>
    </row>
    <row r="160" spans="5:35" s="2" customFormat="1" ht="20.100000000000001" customHeight="1" x14ac:dyDescent="0.2">
      <c r="E160" s="361" t="s">
        <v>607</v>
      </c>
      <c r="F160" s="337" t="str">
        <f>IF(ISBLANK(input_mgmt_az1_edge_overlay_pool_end_ip),"Value Missing",input_mgmt_az1_edge_overlay_pool_end_ip)</f>
        <v>Value Missing</v>
      </c>
      <c r="G160" s="26"/>
      <c r="H160" s="361" t="s">
        <v>607</v>
      </c>
      <c r="I160" s="337" t="str">
        <f>IF(ISBLANK(input_wld_az1_edge_overlay_pool_end_ip),"Value Missing",input_wld_az1_edge_overlay_pool_end_ip)</f>
        <v>Value Missing</v>
      </c>
      <c r="J160" s="26"/>
      <c r="K160" s="361" t="s">
        <v>607</v>
      </c>
      <c r="L160" s="337" t="str">
        <f t="array" ref="L160">IF(ISBLANK(input_wld_az1_rack2_edge_overlay_pool_end_ip),"Value Missing",input_wld_az1_rack2_edge_overlay_pool_end_ip)</f>
        <v>Value Missing</v>
      </c>
      <c r="M160" s="24"/>
      <c r="N160" s="361" t="s">
        <v>607</v>
      </c>
      <c r="O160" s="337" t="str">
        <f t="array" ref="O160">IF(ISBLANK(input_wld_az1_rack3_edge_overlay_pool_end_ip),"Value Missing",input_wld_az1_rack3_edge_overlay_pool_end_ip)</f>
        <v>Value Missing</v>
      </c>
      <c r="Q160" s="361" t="s">
        <v>607</v>
      </c>
      <c r="R160" s="337" t="str">
        <f t="array" ref="R160">IF(ISBLANK(input_wld_az1_rack4_edge_overlay_pool_end_ip),"Value Missing",input_wld_az1_rack4_edge_overlay_pool_end_ip)</f>
        <v>Value Missing</v>
      </c>
      <c r="T160" s="361" t="s">
        <v>607</v>
      </c>
      <c r="U160" s="337" t="str">
        <f t="array" ref="U160">IF(ISBLANK(input_wld_az1_rack5_edge_overlay_pool_end_ip),"Value Missing",input_wld_az1_rack5_edge_overlay_pool_end_ip)</f>
        <v>Value Missing</v>
      </c>
      <c r="W160" s="361" t="s">
        <v>607</v>
      </c>
      <c r="X160" s="337" t="str">
        <f t="array" ref="X160">IF(ISBLANK(input_wld_az1_rack6_edge_overlay_pool_end_ip),"Value Missing",input_wld_az1_rack6_edge_overlay_pool_end_ip)</f>
        <v>Value Missing</v>
      </c>
      <c r="Z160" s="361" t="s">
        <v>607</v>
      </c>
      <c r="AA160" s="337" t="str">
        <f t="array" ref="AA160">IF(ISBLANK(input_wld_az1_rack7_edge_overlay_pool_end_ip),"Value Missing",input_wld_az1_rack7_edge_overlay_pool_end_ip)</f>
        <v>Value Missing</v>
      </c>
      <c r="AC160" s="361" t="s">
        <v>607</v>
      </c>
      <c r="AD160" s="337" t="str">
        <f t="array" ref="AD160">IF(ISBLANK(input_wld_az1_rack8_edge_overlay_pool_end_ip),"Value Missing",input_wld_az1_rack8_edge_overlay_pool_end_ip)</f>
        <v>Value Missing</v>
      </c>
      <c r="AG160" s="8"/>
      <c r="AH160" s="8"/>
      <c r="AI160" s="8"/>
    </row>
    <row r="161" spans="5:36" s="2" customFormat="1" ht="20.100000000000001" customHeight="1" x14ac:dyDescent="0.2">
      <c r="E161" s="361" t="s">
        <v>1797</v>
      </c>
      <c r="F161" s="337" t="str">
        <f>IF(ISBLANK(input_mgmt_rtep_overlay_pool_start_ip),"Value Missing",input_mgmt_rtep_overlay_pool_start_ip)</f>
        <v>Value Missing</v>
      </c>
      <c r="H161" s="361" t="s">
        <v>1797</v>
      </c>
      <c r="I161" s="337" t="str">
        <f>IF(ISBLANK(input_wld_rtep_overlay_pool_start_ip),"Value Missing",input_wld_rtep_overlay_pool_start_ip)</f>
        <v>Value Missing</v>
      </c>
      <c r="K161" s="361" t="s">
        <v>1797</v>
      </c>
      <c r="L161" s="337"/>
      <c r="M161" s="8"/>
      <c r="N161" s="361" t="s">
        <v>1797</v>
      </c>
      <c r="O161" s="337"/>
      <c r="Q161" s="361" t="s">
        <v>1797</v>
      </c>
      <c r="R161" s="337"/>
      <c r="T161" s="361" t="s">
        <v>1797</v>
      </c>
      <c r="U161" s="337"/>
      <c r="W161" s="361" t="s">
        <v>1797</v>
      </c>
      <c r="X161" s="337"/>
      <c r="Z161" s="361" t="s">
        <v>1797</v>
      </c>
      <c r="AA161" s="337"/>
      <c r="AC161" s="361" t="s">
        <v>1797</v>
      </c>
      <c r="AD161" s="337"/>
      <c r="AG161" s="8"/>
      <c r="AH161" s="8"/>
      <c r="AI161" s="8"/>
      <c r="AJ161" s="8"/>
    </row>
    <row r="162" spans="5:36" s="2" customFormat="1" ht="20.100000000000001" customHeight="1" x14ac:dyDescent="0.2">
      <c r="E162" s="361" t="s">
        <v>1798</v>
      </c>
      <c r="F162" s="337" t="str">
        <f>IF(ISBLANK(input_mgmt_rtep_overlay_pool_end_ip),"Value Missing",input_mgmt_rtep_overlay_pool_end_ip)</f>
        <v>Value Missing</v>
      </c>
      <c r="H162" s="361" t="s">
        <v>1798</v>
      </c>
      <c r="I162" s="337" t="str">
        <f>IF(ISBLANK(input_wld_rtep_overlay_pool_end_ip),"Value Missing",input_wld_rtep_overlay_pool_end_ip)</f>
        <v>Value Missing</v>
      </c>
      <c r="K162" s="361" t="s">
        <v>1798</v>
      </c>
      <c r="L162" s="337"/>
      <c r="N162" s="361" t="s">
        <v>1798</v>
      </c>
      <c r="O162" s="337"/>
      <c r="Q162" s="361" t="s">
        <v>1798</v>
      </c>
      <c r="R162" s="337"/>
      <c r="T162" s="361" t="s">
        <v>1798</v>
      </c>
      <c r="U162" s="337"/>
      <c r="W162" s="361" t="s">
        <v>1798</v>
      </c>
      <c r="X162" s="337"/>
      <c r="Z162" s="361" t="s">
        <v>1798</v>
      </c>
      <c r="AA162" s="337"/>
      <c r="AC162" s="361" t="s">
        <v>1798</v>
      </c>
      <c r="AD162" s="337"/>
      <c r="AG162" s="8"/>
      <c r="AH162" s="8"/>
      <c r="AI162" s="8"/>
      <c r="AJ162" s="8"/>
    </row>
    <row r="163" spans="5:36" s="2" customFormat="1" ht="20.100000000000001" customHeight="1" x14ac:dyDescent="0.2">
      <c r="H163" s="358"/>
      <c r="K163" s="23"/>
      <c r="M163" s="26"/>
      <c r="N163" s="23"/>
      <c r="Q163" s="23"/>
      <c r="T163" s="23"/>
      <c r="W163" s="23"/>
      <c r="Z163" s="23"/>
      <c r="AC163" s="23"/>
      <c r="AG163" s="8"/>
      <c r="AH163" s="8"/>
      <c r="AI163" s="8"/>
      <c r="AJ163" s="8"/>
    </row>
    <row r="164" spans="5:36" s="2" customFormat="1" ht="20.100000000000001" customHeight="1" x14ac:dyDescent="0.2">
      <c r="E164" s="20" t="s">
        <v>1799</v>
      </c>
      <c r="F164" s="381"/>
      <c r="H164" s="20" t="s">
        <v>1800</v>
      </c>
      <c r="I164" s="381"/>
      <c r="K164" s="20" t="s">
        <v>1801</v>
      </c>
      <c r="L164" s="381"/>
      <c r="N164" s="20" t="s">
        <v>1802</v>
      </c>
      <c r="O164" s="381"/>
      <c r="Q164" s="20" t="s">
        <v>1803</v>
      </c>
      <c r="R164" s="381"/>
      <c r="T164" s="20" t="s">
        <v>1804</v>
      </c>
      <c r="U164" s="381"/>
      <c r="W164" s="20" t="s">
        <v>1805</v>
      </c>
      <c r="X164" s="381"/>
      <c r="Z164" s="20" t="s">
        <v>1806</v>
      </c>
      <c r="AA164" s="381"/>
      <c r="AC164" s="20" t="s">
        <v>1807</v>
      </c>
      <c r="AD164" s="381"/>
      <c r="AG164" s="8"/>
      <c r="AH164" s="8"/>
      <c r="AI164" s="8"/>
      <c r="AJ164" s="8"/>
    </row>
    <row r="165" spans="5:36" s="2" customFormat="1" ht="20.100000000000001" customHeight="1" x14ac:dyDescent="0.2">
      <c r="E165" s="11" t="s">
        <v>259</v>
      </c>
      <c r="F165" s="14" t="s">
        <v>1652</v>
      </c>
      <c r="H165" s="11" t="s">
        <v>259</v>
      </c>
      <c r="I165" s="14" t="s">
        <v>277</v>
      </c>
      <c r="K165" s="13" t="s">
        <v>259</v>
      </c>
      <c r="L165" s="14" t="s">
        <v>277</v>
      </c>
      <c r="N165" s="13" t="s">
        <v>259</v>
      </c>
      <c r="O165" s="14" t="s">
        <v>277</v>
      </c>
      <c r="P165" s="24"/>
      <c r="Q165" s="13" t="s">
        <v>259</v>
      </c>
      <c r="R165" s="14" t="s">
        <v>277</v>
      </c>
      <c r="S165" s="24"/>
      <c r="T165" s="13" t="s">
        <v>259</v>
      </c>
      <c r="U165" s="14" t="s">
        <v>277</v>
      </c>
      <c r="V165" s="24"/>
      <c r="W165" s="13" t="s">
        <v>259</v>
      </c>
      <c r="X165" s="14" t="s">
        <v>277</v>
      </c>
      <c r="Y165" s="24"/>
      <c r="Z165" s="13" t="s">
        <v>259</v>
      </c>
      <c r="AA165" s="14" t="s">
        <v>277</v>
      </c>
      <c r="AB165" s="24"/>
      <c r="AC165" s="13" t="s">
        <v>259</v>
      </c>
      <c r="AD165" s="14" t="s">
        <v>277</v>
      </c>
      <c r="AG165" s="8"/>
      <c r="AH165" s="8"/>
      <c r="AI165" s="8"/>
      <c r="AJ165" s="8"/>
    </row>
    <row r="166" spans="5:36" s="2" customFormat="1" ht="20.100000000000001" customHeight="1" x14ac:dyDescent="0.2">
      <c r="E166" s="361" t="s">
        <v>705</v>
      </c>
      <c r="F166" s="337" t="str">
        <f>CONCATENATE(this_instance,"01-m01","-r01-network-pool-01")</f>
        <v>sfo01-m01-r01-network-pool-01</v>
      </c>
      <c r="H166" s="361" t="s">
        <v>1808</v>
      </c>
      <c r="I166" s="337" t="str">
        <f>IF(ISBLANK(input_wld_az1_pool_name),"Value Missing",input_wld_az1_pool_name)</f>
        <v>Value Missing</v>
      </c>
      <c r="K166" s="361" t="s">
        <v>705</v>
      </c>
      <c r="L166" s="337" t="str">
        <f>IF(ISBLANK(input_wld_az1_rack2_pool_name),"Value Missing",input_wld_az1_rack2_pool_name)</f>
        <v>Value Missing</v>
      </c>
      <c r="N166" s="361" t="s">
        <v>1808</v>
      </c>
      <c r="O166" s="337" t="str">
        <f>IF(ISBLANK(input_wld_az1_rack3_pool_name),"Value Missing",input_wld_az1_rack3_pool_name)</f>
        <v>Value Missing</v>
      </c>
      <c r="P166" s="8"/>
      <c r="Q166" s="361" t="s">
        <v>1808</v>
      </c>
      <c r="R166" s="337" t="str">
        <f>IF(ISBLANK(input_wld_az1_rack4_pool_name),"Value Missing",input_wld_az1_rack4_pool_name)</f>
        <v>Value Missing</v>
      </c>
      <c r="S166" s="8"/>
      <c r="T166" s="361" t="s">
        <v>1808</v>
      </c>
      <c r="U166" s="337" t="str">
        <f>IF(ISBLANK(input_wld_az1_rack5_pool_name),"Value Missing",input_wld_az1_rack5_pool_name)</f>
        <v>Value Missing</v>
      </c>
      <c r="V166" s="8"/>
      <c r="W166" s="361" t="s">
        <v>1808</v>
      </c>
      <c r="X166" s="337" t="str">
        <f>IF(ISBLANK(input_wld_az1_rack6_pool_name),"Value Missing",input_wld_az1_rack6_pool_name)</f>
        <v>Value Missing</v>
      </c>
      <c r="Y166" s="8"/>
      <c r="Z166" s="361" t="s">
        <v>1808</v>
      </c>
      <c r="AA166" s="337" t="str">
        <f>IF(ISBLANK(input_wld_az1_rack7_pool_name),"Value Missing",input_wld_az1_rack7_pool_name)</f>
        <v>Value Missing</v>
      </c>
      <c r="AB166" s="8"/>
      <c r="AC166" s="361" t="s">
        <v>1808</v>
      </c>
      <c r="AD166" s="337" t="str">
        <f>IF(ISBLANK(input_wld_az1_rack8_pool_name),"Value Missing",input_wld_az1_rack8_pool_name)</f>
        <v>Value Missing</v>
      </c>
      <c r="AG166" s="8"/>
      <c r="AH166" s="8"/>
      <c r="AI166" s="8"/>
    </row>
    <row r="167" spans="5:36" s="2" customFormat="1" ht="20.100000000000001" customHeight="1" x14ac:dyDescent="0.2">
      <c r="E167" s="361" t="s">
        <v>1809</v>
      </c>
      <c r="F167" s="337" t="str">
        <f>CONCATENATE(this_instance,"01-",sample_mgmt_cl01_cluster,"-r01-network-profile")</f>
        <v>sfo01-sfo-m01-cl01-r01-network-profile</v>
      </c>
      <c r="G167" s="7"/>
      <c r="H167" s="361" t="s">
        <v>1809</v>
      </c>
      <c r="I167" s="337" t="str">
        <f>IF(ISBLANK(input_wld_az1_rack1_host_overlay_network_profile_name),"Value Missing",input_wld_az1_rack1_host_overlay_network_profile_name)</f>
        <v>Value Missing</v>
      </c>
      <c r="J167" s="7"/>
      <c r="K167" s="361" t="s">
        <v>1809</v>
      </c>
      <c r="L167" s="337" t="str">
        <f>IF(ISBLANK(input_wld_az1_rack2_host_overlay_network_profile_name),"Value Missing",input_wld_az1_rack2_host_overlay_network_profile_name)</f>
        <v>Value Missing</v>
      </c>
      <c r="N167" s="361" t="s">
        <v>1809</v>
      </c>
      <c r="O167" s="337" t="str">
        <f>IF(ISBLANK(input_wld_az1_rack3_host_overlay_network_profile_name),"Value Missing",input_wld_az1_rack3_host_overlay_network_profile_name)</f>
        <v>Value Missing</v>
      </c>
      <c r="Q167" s="361" t="s">
        <v>1809</v>
      </c>
      <c r="R167" s="337" t="str">
        <f>IF(ISBLANK(input_wld_az1_rack4_host_overlay_network_profile_name),"Value Missing",input_wld_az1_rack4_host_overlay_network_profile_name)</f>
        <v>Value Missing</v>
      </c>
      <c r="T167" s="361" t="s">
        <v>1809</v>
      </c>
      <c r="U167" s="337" t="str">
        <f>IF(ISBLANK(input_wld_az1_rack5_host_overlay_network_profile_name),"Value Missing",input_wld_az1_rack5_host_overlay_network_profile_name)</f>
        <v>Value Missing</v>
      </c>
      <c r="W167" s="361" t="s">
        <v>1809</v>
      </c>
      <c r="X167" s="337" t="str">
        <f>IF(ISBLANK(input_wld_az1_rack6_host_overlay_network_profile_name),"Value Missing",input_wld_az1_rack6_host_overlay_network_profile_name)</f>
        <v>Value Missing</v>
      </c>
      <c r="Z167" s="361" t="s">
        <v>1809</v>
      </c>
      <c r="AA167" s="337" t="str">
        <f>IF(ISBLANK(input_wld_az1_rack7_host_overlay_network_profile_name),"Value Missing",input_wld_az1_rack7_host_overlay_network_profile_name)</f>
        <v>Value Missing</v>
      </c>
      <c r="AC167" s="361" t="s">
        <v>1809</v>
      </c>
      <c r="AD167" s="337" t="str">
        <f>IF(ISBLANK(input_wld_az1_rack8_host_overlay_network_profile_name),"Value Missing",input_wld_az1_rack8_host_overlay_network_profile_name)</f>
        <v>Value Missing</v>
      </c>
      <c r="AG167" s="8"/>
      <c r="AH167" s="8"/>
      <c r="AI167" s="8"/>
      <c r="AJ167" s="8"/>
    </row>
    <row r="168" spans="5:36" s="2" customFormat="1" ht="20.100000000000001" customHeight="1" x14ac:dyDescent="0.2">
      <c r="E168" s="361" t="s">
        <v>1810</v>
      </c>
      <c r="F168" s="25" t="str">
        <f>IF(ISBLANK(sample_mgmt_az1_host_overlay_network_pool_description),"Value Missing",sample_mgmt_az1_host_overlay_network_pool_description)</f>
        <v>ESX Host Overlay TEP IP Pool</v>
      </c>
      <c r="H168" s="361" t="s">
        <v>1810</v>
      </c>
      <c r="I168" s="25" t="str">
        <f>IF(ISBLANK(sample_wld_az1_host_overlay_network_pool_description),"Value Missing",sample_wld_az1_host_overlay_network_pool_description)</f>
        <v>ESX Host Overlay TEP IP Pool</v>
      </c>
      <c r="K168" s="361" t="s">
        <v>1810</v>
      </c>
      <c r="L168" s="25"/>
      <c r="N168" s="361" t="s">
        <v>1810</v>
      </c>
      <c r="O168" s="25"/>
      <c r="P168" s="26"/>
      <c r="Q168" s="361" t="s">
        <v>1810</v>
      </c>
      <c r="R168" s="25"/>
      <c r="S168" s="26"/>
      <c r="T168" s="361" t="s">
        <v>1810</v>
      </c>
      <c r="U168" s="25"/>
      <c r="V168" s="26"/>
      <c r="W168" s="361" t="s">
        <v>1810</v>
      </c>
      <c r="X168" s="25"/>
      <c r="Y168" s="26"/>
      <c r="Z168" s="361" t="s">
        <v>1810</v>
      </c>
      <c r="AA168" s="25"/>
      <c r="AB168" s="26"/>
      <c r="AC168" s="361" t="s">
        <v>1810</v>
      </c>
      <c r="AD168" s="25"/>
      <c r="AG168" s="8"/>
      <c r="AH168" s="8"/>
      <c r="AI168" s="8"/>
      <c r="AJ168" s="8"/>
    </row>
    <row r="169" spans="5:36" s="2" customFormat="1" ht="20.100000000000001" customHeight="1" x14ac:dyDescent="0.2">
      <c r="E169" s="361" t="s">
        <v>1811</v>
      </c>
      <c r="F169" s="337" t="str">
        <f>IF(ISBLANK(input_mgmt_az1_host_overlay_network_pool_name),"Value Missing",input_mgmt_az1_host_overlay_network_pool_name)</f>
        <v>lab-vcf-ip-pool-hosts-01</v>
      </c>
      <c r="G169" s="15"/>
      <c r="H169" s="361" t="s">
        <v>1812</v>
      </c>
      <c r="I169" s="337" t="str">
        <f>IF(ISBLANK(input_wld_az1_host_overlay_network_pool_name),"Value Missing",input_wld_az1_host_overlay_network_pool_name)</f>
        <v>Value Missing</v>
      </c>
      <c r="J169" s="15"/>
      <c r="K169" s="361" t="s">
        <v>1811</v>
      </c>
      <c r="L169" s="337" t="str">
        <f>IF(ISBLANK(input_wld_az1_rack2_host_overlay_network_pool_name),"Value Missing",input_wld_az1_rack2_host_overlay_network_pool_name)</f>
        <v>Value Missing</v>
      </c>
      <c r="N169" s="361" t="s">
        <v>1812</v>
      </c>
      <c r="O169" s="337" t="str">
        <f>IF(ISBLANK(input_wld_az1_rack3_host_overlay_network_pool_name),"Value Missing",input_wld_az1_rack3_host_overlay_network_pool_name)</f>
        <v>Value Missing</v>
      </c>
      <c r="Q169" s="361" t="s">
        <v>1812</v>
      </c>
      <c r="R169" s="337" t="str">
        <f>IF(ISBLANK(input_wld_az1_rack4_host_overlay_network_pool_name),"Value Missing",input_wld_az1_rack4_host_overlay_network_pool_name)</f>
        <v>Value Missing</v>
      </c>
      <c r="T169" s="361" t="s">
        <v>1812</v>
      </c>
      <c r="U169" s="337" t="str">
        <f>IF(ISBLANK(input_wld_az1_rack5_host_overlay_network_pool_name),"Value Missing",input_wld_az1_rack5_host_overlay_network_pool_name)</f>
        <v>Value Missing</v>
      </c>
      <c r="W169" s="361" t="s">
        <v>1812</v>
      </c>
      <c r="X169" s="337" t="str">
        <f>IF(ISBLANK(input_wld_az1_rack6_host_overlay_network_pool_name),"Value Missing",input_wld_az1_rack6_host_overlay_network_pool_name)</f>
        <v>Value Missing</v>
      </c>
      <c r="Z169" s="361" t="s">
        <v>1812</v>
      </c>
      <c r="AA169" s="337" t="str">
        <f>IF(ISBLANK(input_wld_az1_rack7_host_overlay_network_pool_name),"Value Missing",input_wld_az1_rack7_host_overlay_network_pool_name)</f>
        <v>Value Missing</v>
      </c>
      <c r="AC169" s="361" t="s">
        <v>1812</v>
      </c>
      <c r="AD169" s="337" t="str">
        <f>IF(ISBLANK(input_wld_az1_rack8_host_overlay_network_pool_name),"Value Missing",input_wld_az1_rack8_host_overlay_network_pool_name)</f>
        <v>Value Missing</v>
      </c>
      <c r="AG169" s="8"/>
      <c r="AH169" s="8"/>
      <c r="AI169" s="8"/>
      <c r="AJ169" s="8"/>
    </row>
    <row r="170" spans="5:36" s="2" customFormat="1" ht="20.100000000000001" customHeight="1" x14ac:dyDescent="0.2">
      <c r="E170" s="4" t="s">
        <v>1813</v>
      </c>
      <c r="F170" s="337" t="str">
        <f>IF(ISBLANK(input_mgmt_host_overlay_transportzone),"Value Missing",input_mgmt_host_overlay_transportzone)</f>
        <v>lab-overlay-tz-vcf01</v>
      </c>
      <c r="G170" s="15"/>
      <c r="H170" s="361" t="s">
        <v>1814</v>
      </c>
      <c r="I170" s="337" t="str">
        <f>IF(ISBLANK(input_wld_host_overlay_transportzone),"Value Missing",input_wld_host_overlay_transportzone)</f>
        <v>Value Missing</v>
      </c>
      <c r="J170" s="15"/>
      <c r="K170" s="361"/>
      <c r="L170" s="337"/>
      <c r="M170" s="7"/>
      <c r="N170" s="361"/>
      <c r="O170" s="337"/>
      <c r="Q170" s="361"/>
      <c r="R170" s="337"/>
      <c r="T170" s="361"/>
      <c r="U170" s="337"/>
      <c r="W170" s="361"/>
      <c r="X170" s="337"/>
      <c r="Z170" s="361"/>
      <c r="AA170" s="337"/>
      <c r="AC170" s="361"/>
      <c r="AD170" s="337"/>
      <c r="AG170" s="8"/>
      <c r="AH170" s="8"/>
      <c r="AI170" s="8"/>
      <c r="AJ170" s="8"/>
    </row>
    <row r="171" spans="5:36" s="2" customFormat="1" ht="20.100000000000001" customHeight="1" x14ac:dyDescent="0.2">
      <c r="E171" s="361" t="s">
        <v>1815</v>
      </c>
      <c r="F171" s="337" t="str">
        <f>CONCATENATE(this_instance,"01-m01","-r01-uplink-profile01")</f>
        <v>sfo01-m01-r01-uplink-profile01</v>
      </c>
      <c r="H171" s="361" t="s">
        <v>1815</v>
      </c>
      <c r="I171" s="337" t="str">
        <f>IF(ISBLANK(input_wld_az1_host_overlay_uplink_profile_name),"Value Missing",input_wld_az1_host_overlay_uplink_profile_name)</f>
        <v>Value Missing</v>
      </c>
      <c r="K171" s="361" t="s">
        <v>1815</v>
      </c>
      <c r="L171" s="337" t="str">
        <f>IF(ISBLANK(input_wld_az1_rack2_host_overlay_uplink_profile_name),"Value Missing",input_wld_az1_rack2_host_overlay_uplink_profile_name)</f>
        <v>Value Missing</v>
      </c>
      <c r="M171" s="3"/>
      <c r="N171" s="361" t="s">
        <v>1815</v>
      </c>
      <c r="O171" s="337" t="str">
        <f>IF(ISBLANK(input_wld_az1_rack3_host_overlay_uplink_profile_name),"Value Missing",input_wld_az1_rack3_host_overlay_uplink_profile_name)</f>
        <v>Value Missing</v>
      </c>
      <c r="Q171" s="361" t="s">
        <v>1815</v>
      </c>
      <c r="R171" s="337" t="str">
        <f>IF(ISBLANK(input_wld_az1_rack4_host_overlay_uplink_profile_name),"Value Missing",input_wld_az1_rack4_host_overlay_uplink_profile_name)</f>
        <v>Value Missing</v>
      </c>
      <c r="T171" s="361" t="s">
        <v>1815</v>
      </c>
      <c r="U171" s="337" t="str">
        <f>IF(ISBLANK(input_wld_az1_rack5_host_overlay_uplink_profile_name),"Value Missing",input_wld_az1_rack5_host_overlay_uplink_profile_name)</f>
        <v>Value Missing</v>
      </c>
      <c r="W171" s="361" t="s">
        <v>1815</v>
      </c>
      <c r="X171" s="337" t="str">
        <f>IF(ISBLANK(input_wld_az1_rack6_host_overlay_uplink_profile_name),"Value Missing",input_wld_az1_rack6_host_overlay_uplink_profile_name)</f>
        <v>Value Missing</v>
      </c>
      <c r="Z171" s="361" t="s">
        <v>1815</v>
      </c>
      <c r="AA171" s="337" t="str">
        <f>IF(ISBLANK(input_wld_az1_rack7_host_overlay_uplink_profile_name),"Value Missing",input_wld_az1_rack7_host_overlay_uplink_profile_name)</f>
        <v>Value Missing</v>
      </c>
      <c r="AC171" s="361" t="s">
        <v>1815</v>
      </c>
      <c r="AD171" s="337" t="str">
        <f>IF(ISBLANK(input_wld_az1_rack8_host_overlay_uplink_profile_name),"Value Missing",input_wld_az1_rack8_host_overlay_uplink_profile_name)</f>
        <v>Value Missing</v>
      </c>
      <c r="AG171" s="8"/>
      <c r="AH171" s="8"/>
      <c r="AI171" s="8"/>
      <c r="AJ171" s="8"/>
    </row>
    <row r="172" spans="5:36" s="2" customFormat="1" ht="20.100000000000001" customHeight="1" x14ac:dyDescent="0.2">
      <c r="E172" s="361" t="s">
        <v>1816</v>
      </c>
      <c r="F172" s="337" t="str">
        <f>IF(ISBLANK(input_mgmt_az1_edge_overlay_network_pool_name),"Value Missing",input_mgmt_az1_edge_overlay_network_pool_name)</f>
        <v>Value Missing</v>
      </c>
      <c r="H172" s="361" t="s">
        <v>1816</v>
      </c>
      <c r="I172" s="337" t="str">
        <f>IF(ISBLANK(input_wld_az1_edge_overlay_network_pool_name),"Value Missing",input_wld_az1_edge_overlay_network_pool_name)</f>
        <v>Value Missing</v>
      </c>
      <c r="K172" s="361" t="s">
        <v>1816</v>
      </c>
      <c r="L172" s="337" t="str">
        <f>IF(ISBLANK(input_wld_az1_rack2_edge_overlay_network_pool_name),"Value Missing",input_wld_az1_rack2_edge_overlay_network_pool_name)</f>
        <v>Value Missing</v>
      </c>
      <c r="M172" s="15"/>
      <c r="N172" s="361" t="s">
        <v>1816</v>
      </c>
      <c r="O172" s="337" t="str">
        <f>IF(ISBLANK(input_wld_az1_rack3_edge_overlay_network_pool_name),"Value Missing",input_wld_az1_rack3_edge_overlay_network_pool_name)</f>
        <v>Value Missing</v>
      </c>
      <c r="Q172" s="361" t="s">
        <v>1816</v>
      </c>
      <c r="R172" s="337" t="str">
        <f>IF(ISBLANK(input_wld_az1_rack4_edge_overlay_network_pool_name),"Value Missing",input_wld_az1_rack4_edge_overlay_network_pool_name)</f>
        <v>Value Missing</v>
      </c>
      <c r="T172" s="361" t="s">
        <v>1816</v>
      </c>
      <c r="U172" s="337" t="str">
        <f>IF(ISBLANK(input_wld_az1_rack5_edge_overlay_network_pool_name),"Value Missing",input_wld_az1_rack5_edge_overlay_network_pool_name)</f>
        <v>Value Missing</v>
      </c>
      <c r="W172" s="361" t="s">
        <v>1816</v>
      </c>
      <c r="X172" s="337" t="str">
        <f>IF(ISBLANK(input_wld_az1_rack6_edge_overlay_network_pool_name),"Value Missing",input_wld_az1_rack6_edge_overlay_network_pool_name)</f>
        <v>Value Missing</v>
      </c>
      <c r="Z172" s="361" t="s">
        <v>1816</v>
      </c>
      <c r="AA172" s="337" t="str">
        <f>IF(ISBLANK(input_wld_az1_rack7_edge_overlay_network_pool_name),"Value Missing",input_wld_az1_rack7_edge_overlay_network_pool_name)</f>
        <v>Value Missing</v>
      </c>
      <c r="AC172" s="28" t="s">
        <v>1816</v>
      </c>
      <c r="AD172" s="337" t="str">
        <f>IF(ISBLANK(input_wld_az1_rack8_edge_overlay_network_pool_name),"Value Missing",input_wld_az1_rack8_edge_overlay_network_pool_name)</f>
        <v>Value Missing</v>
      </c>
      <c r="AG172" s="8"/>
      <c r="AH172" s="8"/>
      <c r="AI172" s="8"/>
      <c r="AJ172" s="8"/>
    </row>
    <row r="173" spans="5:36" s="2" customFormat="1" ht="20.100000000000001" customHeight="1" x14ac:dyDescent="0.2">
      <c r="E173" s="361" t="s">
        <v>1817</v>
      </c>
      <c r="F173" s="337" t="str">
        <f>IF(ISBLANK(input_mgmt_az1_rtep_ip_pool_name),"Value Missing",input_mgmt_az1_rtep_ip_pool_name)</f>
        <v>Value Missing</v>
      </c>
      <c r="H173" s="361" t="s">
        <v>1817</v>
      </c>
      <c r="I173" s="337" t="str">
        <f>IF(ISBLANK(input_wld_az1_rtep_ip_pool_name),"Value Missing",input_wld_az1_rtep_ip_pool_name)</f>
        <v>Value Missing</v>
      </c>
      <c r="K173" s="361" t="s">
        <v>1817</v>
      </c>
      <c r="L173" s="337" t="str">
        <f>IF(ISBLANK(input_wld_az1_rack2_rtep_ip_pool_name),"Value Missing",input_wld_az1_rack2_rtep_ip_pool_name)</f>
        <v>Value Missing</v>
      </c>
      <c r="M173" s="15"/>
      <c r="N173" s="361" t="s">
        <v>1817</v>
      </c>
      <c r="O173" s="337" t="str">
        <f>IF(ISBLANK(input_wld_az1_rack3_rtep_ip_pool_name),"Value Missing",input_wld_az1_rack3_rtep_ip_pool_name)</f>
        <v>Value Missing</v>
      </c>
      <c r="Q173" s="361" t="s">
        <v>1817</v>
      </c>
      <c r="R173" s="337" t="str">
        <f>IF(ISBLANK(input_wld_az1_rack4_rtep_ip_pool_name),"Value Missing",input_wld_az1_rack4_rtep_ip_pool_name)</f>
        <v>Value Missing</v>
      </c>
      <c r="T173" s="361" t="s">
        <v>1817</v>
      </c>
      <c r="U173" s="337" t="str">
        <f>IF(ISBLANK(input_wld_az1_rack5_rtep_ip_pool_name),"Value Missing",input_wld_az1_rack5_rtep_ip_pool_name)</f>
        <v>Value Missing</v>
      </c>
      <c r="W173" s="361" t="s">
        <v>1817</v>
      </c>
      <c r="X173" s="337" t="str">
        <f>IF(ISBLANK(input_wld_az1_rack6_rtep_ip_pool_name),"Value Missing",input_wld_az1_rack6_rtep_ip_pool_name)</f>
        <v>Value Missing</v>
      </c>
      <c r="Z173" s="361" t="s">
        <v>1817</v>
      </c>
      <c r="AA173" s="337" t="str">
        <f>IF(ISBLANK(input_wld_az1_rack7_rtep_ip_pool_name),"Value Missing",input_wld_az1_rack7_rtep_ip_pool_name)</f>
        <v>Value Missing</v>
      </c>
      <c r="AC173" s="361" t="s">
        <v>1817</v>
      </c>
      <c r="AD173" s="337" t="str">
        <f>IF(ISBLANK(input_wld_az1_rack8_rtep_ip_pool_name),"Value Missing",input_wld_az1_rack8_rtep_ip_pool_name)</f>
        <v>Value Missing</v>
      </c>
      <c r="AG173" s="8"/>
      <c r="AH173" s="8"/>
      <c r="AI173" s="8"/>
      <c r="AJ173" s="8"/>
    </row>
    <row r="174" spans="5:36" s="2" customFormat="1" ht="20.100000000000001" customHeight="1" x14ac:dyDescent="0.2">
      <c r="E174" s="361" t="s">
        <v>1818</v>
      </c>
      <c r="F174" s="337"/>
      <c r="H174" s="361" t="s">
        <v>1818</v>
      </c>
      <c r="I174" s="337"/>
      <c r="K174" s="361" t="s">
        <v>1818</v>
      </c>
      <c r="L174" s="337" t="str">
        <f>IF(ISBLANK(input_wld_az1_rack2_vsan_fault_domain),"Value Missing",input_wld_az1_rack2_vsan_fault_domain)</f>
        <v>Value Missing</v>
      </c>
      <c r="N174" s="361" t="s">
        <v>1818</v>
      </c>
      <c r="O174" s="337" t="str">
        <f>IF(ISBLANK(input_wld_az1_rack3_vsan_fault_domain),"Value Missing",input_wld_az1_rack3_vsan_fault_domain)</f>
        <v>Value Missing</v>
      </c>
      <c r="Q174" s="361" t="s">
        <v>1818</v>
      </c>
      <c r="R174" s="337" t="str">
        <f>IF(ISBLANK(input_wld_az1_rack4_vsan_fault_domain),"Value Missing",input_wld_az1_rack4_vsan_fault_domain)</f>
        <v>Value Missing</v>
      </c>
      <c r="T174" s="361" t="s">
        <v>1818</v>
      </c>
      <c r="U174" s="337" t="str">
        <f>IF(ISBLANK(input_wld_az1_rack5_vsan_fault_domain),"Value Missing",input_wld_az1_rack5_vsan_fault_domain)</f>
        <v>Value Missing</v>
      </c>
      <c r="W174" s="361" t="s">
        <v>1818</v>
      </c>
      <c r="X174" s="337" t="str">
        <f>IF(ISBLANK(input_wld_az1_rack6_vsan_fault_domain),"Value Missing",input_wld_az1_rack6_vsan_fault_domain)</f>
        <v>Value Missing</v>
      </c>
      <c r="Z174" s="361" t="s">
        <v>1818</v>
      </c>
      <c r="AA174" s="337" t="str">
        <f>IF(ISBLANK(input_wld_az1_rack7_vsan_fault_domain),"Value Missing",input_wld_az1_rack7_vsan_fault_domain)</f>
        <v>Value Missing</v>
      </c>
      <c r="AC174" s="361" t="s">
        <v>1818</v>
      </c>
      <c r="AD174" s="337" t="str">
        <f>IF(ISBLANK(input_wld_az1_rack8_vsan_fault_domain),"Value Missing",input_wld_az1_rack8_vsan_fault_domain)</f>
        <v>Value Missing</v>
      </c>
      <c r="AG174" s="8"/>
      <c r="AH174" s="8"/>
      <c r="AI174" s="8"/>
      <c r="AJ174" s="8"/>
    </row>
    <row r="175" spans="5:36" s="2" customFormat="1" ht="20.100000000000001" customHeight="1" x14ac:dyDescent="0.2">
      <c r="E175" s="7"/>
      <c r="F175" s="7"/>
      <c r="H175" s="29"/>
      <c r="I175" s="29"/>
      <c r="K175" s="29"/>
      <c r="L175" s="19"/>
      <c r="N175" s="29"/>
      <c r="O175" s="19"/>
      <c r="P175" s="7"/>
      <c r="Q175" s="29"/>
      <c r="R175" s="19"/>
      <c r="S175" s="7"/>
      <c r="T175" s="29"/>
      <c r="U175" s="19"/>
      <c r="V175" s="7"/>
      <c r="W175" s="29"/>
      <c r="X175" s="19"/>
      <c r="Y175" s="7"/>
      <c r="Z175" s="29"/>
      <c r="AA175" s="19"/>
      <c r="AB175" s="7"/>
      <c r="AC175" s="29"/>
      <c r="AD175" s="19"/>
      <c r="AG175" s="8"/>
      <c r="AH175" s="8"/>
      <c r="AI175" s="8"/>
      <c r="AJ175" s="8"/>
    </row>
    <row r="176" spans="5:36" s="2" customFormat="1" ht="20.100000000000001" customHeight="1" x14ac:dyDescent="0.2">
      <c r="E176" s="572" t="s">
        <v>1819</v>
      </c>
      <c r="F176" s="573"/>
      <c r="H176" s="572" t="s">
        <v>1820</v>
      </c>
      <c r="I176" s="573"/>
      <c r="K176" s="572" t="s">
        <v>1821</v>
      </c>
      <c r="L176" s="573"/>
      <c r="N176" s="572" t="s">
        <v>1822</v>
      </c>
      <c r="O176" s="573"/>
      <c r="Q176" s="572" t="s">
        <v>1823</v>
      </c>
      <c r="R176" s="573"/>
      <c r="T176" s="572" t="s">
        <v>1823</v>
      </c>
      <c r="U176" s="573"/>
      <c r="W176" s="572" t="s">
        <v>1823</v>
      </c>
      <c r="X176" s="573"/>
      <c r="Z176" s="572" t="s">
        <v>1823</v>
      </c>
      <c r="AA176" s="573"/>
      <c r="AC176" s="572" t="s">
        <v>1823</v>
      </c>
      <c r="AD176" s="573"/>
      <c r="AG176" s="8"/>
      <c r="AH176" s="8"/>
      <c r="AI176" s="8"/>
      <c r="AJ176" s="8"/>
    </row>
    <row r="177" spans="2:37" s="2" customFormat="1" ht="20.100000000000001" customHeight="1" x14ac:dyDescent="0.2">
      <c r="E177" s="11" t="s">
        <v>259</v>
      </c>
      <c r="F177" s="14" t="s">
        <v>1652</v>
      </c>
      <c r="H177" s="11" t="s">
        <v>259</v>
      </c>
      <c r="I177" s="14" t="s">
        <v>277</v>
      </c>
      <c r="K177" s="13" t="s">
        <v>259</v>
      </c>
      <c r="L177" s="14" t="s">
        <v>277</v>
      </c>
      <c r="N177" s="13" t="s">
        <v>259</v>
      </c>
      <c r="O177" s="14" t="s">
        <v>277</v>
      </c>
      <c r="P177" s="15"/>
      <c r="Q177" s="13" t="s">
        <v>259</v>
      </c>
      <c r="R177" s="14" t="s">
        <v>277</v>
      </c>
      <c r="S177" s="15"/>
      <c r="T177" s="13" t="s">
        <v>259</v>
      </c>
      <c r="U177" s="14" t="s">
        <v>277</v>
      </c>
      <c r="V177" s="15"/>
      <c r="W177" s="13" t="s">
        <v>259</v>
      </c>
      <c r="X177" s="14" t="s">
        <v>277</v>
      </c>
      <c r="Y177" s="15"/>
      <c r="Z177" s="13" t="s">
        <v>259</v>
      </c>
      <c r="AA177" s="14" t="s">
        <v>277</v>
      </c>
      <c r="AB177" s="15"/>
      <c r="AC177" s="13" t="s">
        <v>259</v>
      </c>
      <c r="AD177" s="14" t="s">
        <v>277</v>
      </c>
      <c r="AG177" s="8"/>
      <c r="AH177" s="8"/>
      <c r="AI177" s="8"/>
      <c r="AJ177" s="8"/>
    </row>
    <row r="178" spans="2:37" s="2" customFormat="1" ht="20.100000000000001" customHeight="1" x14ac:dyDescent="0.2">
      <c r="E178" s="4" t="s">
        <v>1824</v>
      </c>
      <c r="F178" s="356"/>
      <c r="H178" s="4" t="s">
        <v>1825</v>
      </c>
      <c r="I178" s="337"/>
      <c r="K178" s="4" t="s">
        <v>1826</v>
      </c>
      <c r="L178" s="356" t="str">
        <f>IF(ISBLANK(input_wld_az1_rack2_mgmt_vm_cidr),"Value Missing",VLOOKUP(INT(RIGHT(input_wld_az1_rack2_mgmt_vm_cidr,LEN(input_wld_az1_rack2_mgmt_vm_cidr)-FIND("/",input_wld_az1_rack2_mgmt_vm_cidr))),table_cidr_to_mask,2,FALSE))</f>
        <v>Value Missing</v>
      </c>
      <c r="N178" s="4" t="s">
        <v>1827</v>
      </c>
      <c r="O178" s="356" t="str">
        <f>IF(ISBLANK(input_wld_az1_rack3_mgmt_vm_cidr),"Value Missing",VLOOKUP(INT(RIGHT(input_wld_az1_rack3_mgmt_vm_cidr,LEN(input_wld_az1_rack3_mgmt_vm_cidr)-FIND("/",input_wld_az1_rack3_mgmt_vm_cidr))),table_cidr_to_mask,2,FALSE))</f>
        <v>Value Missing</v>
      </c>
      <c r="P178" s="15"/>
      <c r="Q178" s="4" t="s">
        <v>1828</v>
      </c>
      <c r="R178" s="356" t="str">
        <f>IF(ISBLANK(input_wld_az1_rack4_mgmt_vm_cidr),"Value Missing",VLOOKUP(INT(RIGHT(input_wld_az1_rack4_mgmt_vm_cidr,LEN(input_wld_az1_rack4_mgmt_vm_cidr)-FIND("/",input_wld_az1_rack4_mgmt_vm_cidr))),table_cidr_to_mask,2,FALSE))</f>
        <v>Value Missing</v>
      </c>
      <c r="S178" s="15"/>
      <c r="T178" s="4" t="s">
        <v>1829</v>
      </c>
      <c r="U178" s="356" t="str">
        <f>IF(ISBLANK(input_wld_az1_rack5_mgmt_vm_cidr),"Value Missing",VLOOKUP(INT(RIGHT(input_wld_az1_rack5_mgmt_vm_cidr,LEN(input_wld_az1_rack5_mgmt_vm_cidr)-FIND("/",input_wld_az1_rack5_mgmt_vm_cidr))),table_cidr_to_mask,2,FALSE))</f>
        <v>Value Missing</v>
      </c>
      <c r="V178" s="15"/>
      <c r="W178" s="4" t="s">
        <v>1830</v>
      </c>
      <c r="X178" s="356" t="str">
        <f>IF(ISBLANK(input_wld_az1_rack6_mgmt_vm_cidr),"Value Missing",VLOOKUP(INT(RIGHT(input_wld_az1_rack6_mgmt_vm_cidr,LEN(input_wld_az1_rack6_mgmt_vm_cidr)-FIND("/",input_wld_az1_rack6_mgmt_vm_cidr))),table_cidr_to_mask,2,FALSE))</f>
        <v>Value Missing</v>
      </c>
      <c r="Y178" s="15"/>
      <c r="Z178" s="4" t="s">
        <v>1831</v>
      </c>
      <c r="AA178" s="356" t="str">
        <f>IF(ISBLANK(input_wld_az1_rack7_mgmt_vm_cidr),"Value Missing",VLOOKUP(INT(RIGHT(input_wld_az1_rack7_mgmt_vm_cidr,LEN(input_wld_az1_rack7_mgmt_vm_cidr)-FIND("/",input_wld_az1_rack7_mgmt_vm_cidr))),table_cidr_to_mask,2,FALSE))</f>
        <v>Value Missing</v>
      </c>
      <c r="AB178" s="15"/>
      <c r="AC178" s="4" t="s">
        <v>1832</v>
      </c>
      <c r="AD178" s="356" t="str">
        <f>IF(ISBLANK(input_wld_az1_rack8_mgmt_vm_cidr),"Value Missing",VLOOKUP(INT(RIGHT(input_wld_az1_rack8_mgmt_vm_cidr,LEN(input_wld_az1_rack8_mgmt_vm_cidr)-FIND("/",input_wld_az1_rack8_mgmt_vm_cidr))),table_cidr_to_mask,2,FALSE))</f>
        <v>Value Missing</v>
      </c>
      <c r="AG178" s="8"/>
      <c r="AH178" s="8"/>
      <c r="AI178" s="8"/>
      <c r="AJ178" s="8"/>
    </row>
    <row r="179" spans="2:37" s="2" customFormat="1" ht="20.100000000000001" customHeight="1" x14ac:dyDescent="0.2">
      <c r="E179" s="4" t="s">
        <v>1833</v>
      </c>
      <c r="F179" s="337"/>
      <c r="G179" s="15"/>
      <c r="H179" s="4" t="s">
        <v>1834</v>
      </c>
      <c r="I179" s="337"/>
      <c r="J179" s="15"/>
      <c r="K179" s="4" t="s">
        <v>1835</v>
      </c>
      <c r="L179" s="337" t="str">
        <f>IF(ISBLANK(input_wld_az1_rack2_mgmt_cidr),"Value Missing",VLOOKUP(INT(RIGHT(input_wld_az1_rack2_mgmt_cidr,LEN(input_wld_az1_rack2_mgmt_cidr)-FIND("/",input_wld_az1_rack2_mgmt_cidr))),table_cidr_to_mask,2,FALSE))</f>
        <v>Value Missing</v>
      </c>
      <c r="N179" s="4" t="s">
        <v>1836</v>
      </c>
      <c r="O179" s="337" t="str">
        <f>IF(ISBLANK(input_wld_az1_rack3_mgmt_cidr),"Value Missing",VLOOKUP(INT(RIGHT(input_wld_az1_rack3_mgmt_cidr,LEN(input_wld_az1_rack3_mgmt_cidr)-FIND("/",input_wld_az1_rack3_mgmt_cidr))),table_cidr_to_mask,2,FALSE))</f>
        <v>Value Missing</v>
      </c>
      <c r="Q179" s="4" t="s">
        <v>1837</v>
      </c>
      <c r="R179" s="337" t="str">
        <f>IF(ISBLANK(input_wld_az1_rack4_mgmt_cidr),"Value Missing",VLOOKUP(INT(RIGHT(input_wld_az1_rack4_mgmt_cidr,LEN(input_wld_az1_rack4_mgmt_cidr)-FIND("/",input_wld_az1_rack4_mgmt_cidr))),table_cidr_to_mask,2,FALSE))</f>
        <v>Value Missing</v>
      </c>
      <c r="T179" s="4" t="s">
        <v>1838</v>
      </c>
      <c r="U179" s="337" t="str">
        <f>IF(ISBLANK(input_wld_az1_rack5_mgmt_cidr),"Value Missing",VLOOKUP(INT(RIGHT(input_wld_az1_rack5_mgmt_cidr,LEN(input_wld_az1_rack5_mgmt_cidr)-FIND("/",input_wld_az1_rack5_mgmt_cidr))),table_cidr_to_mask,2,FALSE))</f>
        <v>Value Missing</v>
      </c>
      <c r="W179" s="4" t="s">
        <v>1839</v>
      </c>
      <c r="X179" s="337" t="str">
        <f>IF(ISBLANK(input_wld_az1_rack6_mgmt_cidr),"Value Missing",VLOOKUP(INT(RIGHT(input_wld_az1_rack6_mgmt_cidr,LEN(input_wld_az1_rack6_mgmt_cidr)-FIND("/",input_wld_az1_rack6_mgmt_cidr))),table_cidr_to_mask,2,FALSE))</f>
        <v>Value Missing</v>
      </c>
      <c r="Z179" s="4" t="s">
        <v>1840</v>
      </c>
      <c r="AA179" s="337" t="str">
        <f>IF(ISBLANK(input_wld_az1_rack7_mgmt_cidr),"Value Missing",VLOOKUP(INT(RIGHT(input_wld_az1_rack7_mgmt_cidr,LEN(input_wld_az1_rack7_mgmt_cidr)-FIND("/",input_wld_az1_rack7_mgmt_cidr))),table_cidr_to_mask,2,FALSE))</f>
        <v>Value Missing</v>
      </c>
      <c r="AC179" s="4" t="s">
        <v>1841</v>
      </c>
      <c r="AD179" s="337" t="str">
        <f>IF(ISBLANK(input_wld_az1_rack8_mgmt_cidr),"Value Missing",VLOOKUP(INT(RIGHT(input_wld_az1_rack8_mgmt_cidr,LEN(input_wld_az1_rack8_mgmt_cidr)-FIND("/",input_wld_az1_rack8_mgmt_cidr))),table_cidr_to_mask,2,FALSE))</f>
        <v>Value Missing</v>
      </c>
      <c r="AG179" s="8"/>
      <c r="AH179" s="8"/>
      <c r="AI179" s="8"/>
      <c r="AJ179" s="8"/>
    </row>
    <row r="180" spans="2:37" s="2" customFormat="1" ht="20.100000000000001" customHeight="1" x14ac:dyDescent="0.2">
      <c r="B180" s="8"/>
      <c r="C180" s="8"/>
      <c r="AE180" s="8"/>
      <c r="AF180" s="8"/>
      <c r="AG180" s="8"/>
      <c r="AH180" s="8"/>
      <c r="AI180" s="8"/>
      <c r="AJ180" s="8"/>
      <c r="AK180" s="8"/>
    </row>
    <row r="181" spans="2:37" s="2" customFormat="1" ht="20.100000000000001" customHeight="1" x14ac:dyDescent="0.2">
      <c r="B181" s="8"/>
      <c r="C181" s="8"/>
      <c r="E181" s="20" t="s">
        <v>1842</v>
      </c>
      <c r="F181" s="20"/>
      <c r="H181" s="20" t="s">
        <v>1843</v>
      </c>
      <c r="I181" s="20"/>
      <c r="K181" s="20" t="s">
        <v>1844</v>
      </c>
      <c r="L181" s="20"/>
      <c r="N181" s="20" t="s">
        <v>1845</v>
      </c>
      <c r="O181" s="20"/>
      <c r="P181" s="15"/>
      <c r="Q181" s="20" t="s">
        <v>1846</v>
      </c>
      <c r="R181" s="20"/>
      <c r="S181" s="15"/>
      <c r="T181" s="20" t="s">
        <v>1847</v>
      </c>
      <c r="U181" s="20"/>
      <c r="V181" s="15"/>
      <c r="W181" s="20" t="s">
        <v>1848</v>
      </c>
      <c r="X181" s="20"/>
      <c r="Y181" s="15"/>
      <c r="Z181" s="20" t="s">
        <v>1849</v>
      </c>
      <c r="AA181" s="20"/>
      <c r="AB181" s="15"/>
      <c r="AC181" s="20" t="s">
        <v>1850</v>
      </c>
      <c r="AD181" s="20"/>
      <c r="AE181" s="8"/>
      <c r="AF181" s="8"/>
      <c r="AG181" s="8"/>
      <c r="AH181" s="8"/>
      <c r="AI181" s="8"/>
      <c r="AJ181" s="8"/>
      <c r="AK181" s="8"/>
    </row>
    <row r="182" spans="2:37" s="2" customFormat="1" ht="20.100000000000001" customHeight="1" x14ac:dyDescent="0.2">
      <c r="B182" s="8"/>
      <c r="C182" s="8"/>
      <c r="E182" s="11" t="s">
        <v>259</v>
      </c>
      <c r="F182" s="14" t="s">
        <v>1652</v>
      </c>
      <c r="H182" s="11" t="s">
        <v>259</v>
      </c>
      <c r="I182" s="14" t="s">
        <v>277</v>
      </c>
      <c r="K182" s="13" t="s">
        <v>259</v>
      </c>
      <c r="L182" s="14" t="s">
        <v>277</v>
      </c>
      <c r="N182" s="13" t="s">
        <v>259</v>
      </c>
      <c r="O182" s="14" t="s">
        <v>277</v>
      </c>
      <c r="P182" s="15"/>
      <c r="Q182" s="13" t="s">
        <v>259</v>
      </c>
      <c r="R182" s="14" t="s">
        <v>277</v>
      </c>
      <c r="S182" s="15"/>
      <c r="T182" s="13" t="s">
        <v>259</v>
      </c>
      <c r="U182" s="14" t="s">
        <v>277</v>
      </c>
      <c r="V182" s="15"/>
      <c r="W182" s="13" t="s">
        <v>259</v>
      </c>
      <c r="X182" s="14" t="s">
        <v>277</v>
      </c>
      <c r="Y182" s="15"/>
      <c r="Z182" s="13" t="s">
        <v>259</v>
      </c>
      <c r="AA182" s="14" t="s">
        <v>277</v>
      </c>
      <c r="AB182" s="15"/>
      <c r="AC182" s="13" t="s">
        <v>259</v>
      </c>
      <c r="AD182" s="14" t="s">
        <v>277</v>
      </c>
      <c r="AE182" s="8"/>
      <c r="AF182" s="8"/>
      <c r="AG182" s="8"/>
      <c r="AH182" s="8"/>
      <c r="AI182" s="8"/>
      <c r="AJ182" s="8"/>
      <c r="AK182" s="8"/>
    </row>
    <row r="183" spans="2:37" s="2" customFormat="1" ht="20.100000000000001" customHeight="1" x14ac:dyDescent="0.2">
      <c r="B183" s="8"/>
      <c r="C183" s="8"/>
      <c r="E183" s="4" t="s">
        <v>1851</v>
      </c>
      <c r="F183" s="337" t="str">
        <f>IF(ISBLANK(input_mgmt_az1_host1_mgmt_ip),"Value Missing",input_mgmt_az1_host1_mgmt_ip)</f>
        <v>10.100.51.51</v>
      </c>
      <c r="H183" s="4" t="s">
        <v>1851</v>
      </c>
      <c r="I183" s="337" t="str">
        <f>IF(ISBLANK(input_wld_az1_host1_mgmt_ip),"Value Missing",input_wld_az1_host1_mgmt_ip)</f>
        <v>Value Missing</v>
      </c>
      <c r="K183" s="4" t="s">
        <v>1851</v>
      </c>
      <c r="L183" s="337" t="str">
        <f>IF(ISBLANK(input_wld_az1_rack2_host1_mgmt_ip),"Value Missing",input_wld_az1_rack2_host1_mgmt_ip)</f>
        <v>Value Missing</v>
      </c>
      <c r="N183" s="4" t="s">
        <v>1851</v>
      </c>
      <c r="O183" s="337" t="str">
        <f>IF(ISBLANK(input_wld_az1_rack3_host1_mgmt_ip),"Value Missing",input_wld_az1_rack3_host1_mgmt_ip)</f>
        <v>Value Missing</v>
      </c>
      <c r="Q183" s="4" t="s">
        <v>1851</v>
      </c>
      <c r="R183" s="337" t="str">
        <f>IF(ISBLANK(input_wld_az1_rack4_host1_mgmt_ip),"Value Missing",input_wld_az1_rack4_host1_mgmt_ip)</f>
        <v>Value Missing</v>
      </c>
      <c r="T183" s="4" t="s">
        <v>1851</v>
      </c>
      <c r="U183" s="337" t="str">
        <f>IF(ISBLANK(input_wld_az1_rack5_host1_mgmt_ip),"Value Missing",input_wld_az1_rack5_host1_mgmt_ip)</f>
        <v>Value Missing</v>
      </c>
      <c r="W183" s="4" t="s">
        <v>1851</v>
      </c>
      <c r="X183" s="337" t="str">
        <f>IF(ISBLANK(input_wld_az1_rack6_host1_mgmt_ip),"Value Missing",input_wld_az1_rack6_host1_mgmt_ip)</f>
        <v>Value Missing</v>
      </c>
      <c r="Z183" s="4" t="s">
        <v>1851</v>
      </c>
      <c r="AA183" s="337" t="str">
        <f>IF(ISBLANK(input_wld_az1_rack7_host1_mgmt_ip),"Value Missing",input_wld_az1_rack7_host1_mgmt_ip)</f>
        <v>Value Missing</v>
      </c>
      <c r="AC183" s="4" t="s">
        <v>1851</v>
      </c>
      <c r="AD183" s="337" t="str">
        <f>IF(ISBLANK(input_wld_az1_rack8_host1_mgmt_ip),"Value Missing",input_wld_az1_rack8_host1_mgmt_ip)</f>
        <v>Value Missing</v>
      </c>
      <c r="AE183" s="8"/>
      <c r="AF183" s="8"/>
      <c r="AG183" s="8"/>
      <c r="AH183" s="8"/>
      <c r="AI183" s="8"/>
      <c r="AJ183" s="8"/>
      <c r="AK183" s="8"/>
    </row>
    <row r="184" spans="2:37" s="2" customFormat="1" ht="20.100000000000001" customHeight="1" x14ac:dyDescent="0.2">
      <c r="B184" s="8"/>
      <c r="C184" s="8"/>
      <c r="E184" s="4" t="s">
        <v>1852</v>
      </c>
      <c r="F184" s="337" t="str">
        <f>IF(ISBLANK(input_mgmt_az1_host2_mgmt_ip),"Value Missing",input_mgmt_az1_host2_mgmt_ip)</f>
        <v>10.100.52.52</v>
      </c>
      <c r="H184" s="4" t="s">
        <v>1852</v>
      </c>
      <c r="I184" s="337" t="str">
        <f>IF(ISBLANK(input_wld_az1_host2_mgmt_ip),"Value Missing",input_wld_az1_host2_mgmt_ip)</f>
        <v>Value Missing</v>
      </c>
      <c r="K184" s="4" t="s">
        <v>1852</v>
      </c>
      <c r="L184" s="337" t="str">
        <f>IF(ISBLANK(input_wld_az1_rack2_host2_mgmt_ip),"Value Missing",input_wld_az1_rack2_host2_mgmt_ip)</f>
        <v>Value Missing</v>
      </c>
      <c r="N184" s="4" t="s">
        <v>1852</v>
      </c>
      <c r="O184" s="337" t="str">
        <f>IF(ISBLANK(input_wld_az1_rack3_host2_mgmt_ip),"Value Missing",input_wld_az1_rack3_host2_mgmt_ip)</f>
        <v>Value Missing</v>
      </c>
      <c r="Q184" s="4" t="s">
        <v>1852</v>
      </c>
      <c r="R184" s="337" t="str">
        <f>IF(ISBLANK(input_wld_az1_rack4_host2_mgmt_ip),"Value Missing",input_wld_az1_rack4_host2_mgmt_ip)</f>
        <v>Value Missing</v>
      </c>
      <c r="T184" s="4" t="s">
        <v>1852</v>
      </c>
      <c r="U184" s="337" t="str">
        <f>IF(ISBLANK(input_wld_az1_rack5_host2_mgmt_ip),"Value Missing",input_wld_az1_rack5_host2_mgmt_ip)</f>
        <v>Value Missing</v>
      </c>
      <c r="W184" s="4" t="s">
        <v>1852</v>
      </c>
      <c r="X184" s="337" t="str">
        <f>IF(ISBLANK(input_wld_az1_rack6_host2_mgmt_ip),"Value Missing",input_wld_az1_rack6_host2_mgmt_ip)</f>
        <v>Value Missing</v>
      </c>
      <c r="Z184" s="4" t="s">
        <v>1852</v>
      </c>
      <c r="AA184" s="337" t="str">
        <f>IF(ISBLANK(input_wld_az1_rack7_host2_mgmt_ip),"Value Missing",input_wld_az1_rack7_host2_mgmt_ip)</f>
        <v>Value Missing</v>
      </c>
      <c r="AC184" s="4" t="s">
        <v>1852</v>
      </c>
      <c r="AD184" s="337" t="str">
        <f>IF(ISBLANK(input_wld_az1_rack8_host2_mgmt_ip),"Value Missing",input_wld_az1_rack8_host2_mgmt_ip)</f>
        <v>Value Missing</v>
      </c>
      <c r="AE184" s="8"/>
      <c r="AF184" s="8"/>
      <c r="AG184" s="8"/>
      <c r="AH184" s="8"/>
      <c r="AI184" s="8"/>
      <c r="AJ184" s="8"/>
      <c r="AK184" s="8"/>
    </row>
    <row r="185" spans="2:37" s="2" customFormat="1" ht="20.100000000000001" customHeight="1" x14ac:dyDescent="0.2">
      <c r="B185" s="8"/>
      <c r="C185" s="8"/>
      <c r="E185" s="4" t="s">
        <v>1853</v>
      </c>
      <c r="F185" s="337" t="str">
        <f>IF(ISBLANK(input_mgmt_az1_host3_mgmt_ip),"Value Missing",input_mgmt_az1_host3_mgmt_ip)</f>
        <v>10.100.51.53</v>
      </c>
      <c r="H185" s="4" t="s">
        <v>1853</v>
      </c>
      <c r="I185" s="337" t="str">
        <f>IF(ISBLANK(input_wld_az1_host3_mgmt_ip),"Value Missing",input_wld_az1_host3_mgmt_ip)</f>
        <v>Value Missing</v>
      </c>
      <c r="K185" s="4" t="s">
        <v>1853</v>
      </c>
      <c r="L185" s="337" t="str">
        <f>IF(ISBLANK(input_wld_az1_rack2_host3_mgmt_ip),"Value Missing",input_wld_az1_rack2_host3_mgmt_ip)</f>
        <v>Value Missing</v>
      </c>
      <c r="N185" s="4" t="s">
        <v>1853</v>
      </c>
      <c r="O185" s="337" t="str">
        <f>IF(ISBLANK(input_wld_az1_rack3_host3_mgmt_ip),"Value Missing",input_wld_az1_rack3_host3_mgmt_ip)</f>
        <v>Value Missing</v>
      </c>
      <c r="Q185" s="4" t="s">
        <v>1853</v>
      </c>
      <c r="R185" s="337" t="str">
        <f>IF(ISBLANK(input_wld_az1_rack4_host3_mgmt_ip),"Value Missing",input_wld_az1_rack4_host3_mgmt_ip)</f>
        <v>Value Missing</v>
      </c>
      <c r="T185" s="4" t="s">
        <v>1853</v>
      </c>
      <c r="U185" s="337" t="str">
        <f>IF(ISBLANK(input_wld_az1_rack5_host3_mgmt_ip),"Value Missing",input_wld_az1_rack5_host3_mgmt_ip)</f>
        <v>Value Missing</v>
      </c>
      <c r="W185" s="4" t="s">
        <v>1853</v>
      </c>
      <c r="X185" s="337" t="str">
        <f>IF(ISBLANK(input_wld_az1_rack6_host3_mgmt_ip),"Value Missing",input_wld_az1_rack6_host3_mgmt_ip)</f>
        <v>Value Missing</v>
      </c>
      <c r="Z185" s="4" t="s">
        <v>1853</v>
      </c>
      <c r="AA185" s="337" t="str">
        <f>IF(ISBLANK(input_wld_az1_rack7_host3_mgmt_ip),"Value Missing",input_wld_az1_rack7_host3_mgmt_ip)</f>
        <v>Value Missing</v>
      </c>
      <c r="AC185" s="4" t="s">
        <v>1853</v>
      </c>
      <c r="AD185" s="337" t="str">
        <f>IF(ISBLANK(input_wld_az1_rack8_host3_mgmt_ip),"Value Missing",input_wld_az1_rack8_host3_mgmt_ip)</f>
        <v>Value Missing</v>
      </c>
      <c r="AE185" s="8"/>
      <c r="AF185" s="8"/>
      <c r="AG185" s="8"/>
      <c r="AH185" s="8"/>
      <c r="AI185" s="8"/>
      <c r="AJ185" s="8"/>
      <c r="AK185" s="8"/>
    </row>
    <row r="186" spans="2:37" s="2" customFormat="1" ht="20.100000000000001" customHeight="1" x14ac:dyDescent="0.2">
      <c r="B186" s="8"/>
      <c r="C186" s="8"/>
      <c r="E186" s="4" t="s">
        <v>1854</v>
      </c>
      <c r="F186" s="337" t="str">
        <f>IF(ISBLANK(input_mgmt_az1_host4_mgmt_ip),"Value Missing",input_mgmt_az1_host4_mgmt_ip)</f>
        <v>10.100.51.54</v>
      </c>
      <c r="H186" s="4" t="s">
        <v>1854</v>
      </c>
      <c r="I186" s="337" t="str">
        <f>IF(ISBLANK(input_wld_az1_host4_mgmt_ip),"Value Missing",input_wld_az1_host4_mgmt_ip)</f>
        <v>Value Missing</v>
      </c>
      <c r="K186" s="4" t="s">
        <v>1854</v>
      </c>
      <c r="L186" s="337" t="str">
        <f>IF(ISBLANK(input_wld_az1_rack2_host4_mgmt_ip),"Value Missing",input_wld_az1_rack2_host4_mgmt_ip)</f>
        <v>Value Missing</v>
      </c>
      <c r="N186" s="4" t="s">
        <v>1854</v>
      </c>
      <c r="O186" s="337" t="str">
        <f>IF(ISBLANK(input_wld_az1_rack3_host4_mgmt_ip),"Value Missing",input_wld_az1_rack3_host4_mgmt_ip)</f>
        <v>Value Missing</v>
      </c>
      <c r="Q186" s="4" t="s">
        <v>1854</v>
      </c>
      <c r="R186" s="337" t="str">
        <f>IF(ISBLANK(input_wld_az1_rack4_host4_mgmt_ip),"Value Missing",input_wld_az1_rack4_host4_mgmt_ip)</f>
        <v>Value Missing</v>
      </c>
      <c r="T186" s="4" t="s">
        <v>1854</v>
      </c>
      <c r="U186" s="337" t="str">
        <f>IF(ISBLANK(input_wld_az1_rack5_host4_mgmt_ip),"Value Missing",input_wld_az1_rack5_host4_mgmt_ip)</f>
        <v>Value Missing</v>
      </c>
      <c r="W186" s="4" t="s">
        <v>1854</v>
      </c>
      <c r="X186" s="337" t="str">
        <f>IF(ISBLANK(input_wld_az1_rack6_host4_mgmt_ip),"Value Missing",input_wld_az1_rack6_host4_mgmt_ip)</f>
        <v>Value Missing</v>
      </c>
      <c r="Z186" s="4" t="s">
        <v>1854</v>
      </c>
      <c r="AA186" s="337" t="str">
        <f>IF(ISBLANK(input_wld_az1_rack7_host4_mgmt_ip),"Value Missing",input_wld_az1_rack7_host4_mgmt_ip)</f>
        <v>Value Missing</v>
      </c>
      <c r="AC186" s="4" t="s">
        <v>1854</v>
      </c>
      <c r="AD186" s="337" t="str">
        <f>IF(ISBLANK(input_wld_az1_rack8_host4_mgmt_ip),"Value Missing",input_wld_az1_rack8_host4_mgmt_ip)</f>
        <v>Value Missing</v>
      </c>
      <c r="AE186" s="8"/>
      <c r="AF186" s="8"/>
      <c r="AG186" s="8"/>
      <c r="AH186" s="8"/>
      <c r="AI186" s="8"/>
      <c r="AJ186" s="8"/>
      <c r="AK186" s="8"/>
    </row>
    <row r="187" spans="2:37" s="2" customFormat="1" ht="20.100000000000001" customHeight="1" x14ac:dyDescent="0.2">
      <c r="B187" s="8"/>
      <c r="C187" s="8"/>
      <c r="E187" s="4" t="s">
        <v>1855</v>
      </c>
      <c r="F187" s="337" t="str">
        <f>IF(ISBLANK(input_mgmt_az1_host5_mgmt_ip),"Value Missing",input_mgmt_az1_host5_mgmt_ip)</f>
        <v>Value Missing</v>
      </c>
      <c r="H187" s="4" t="s">
        <v>1855</v>
      </c>
      <c r="I187" s="337" t="str">
        <f>IF(ISBLANK(input_wld_az1_host5_mgmt_ip),"Value Missing",input_wld_az1_host5_mgmt_ip)</f>
        <v>Value Missing</v>
      </c>
      <c r="K187" s="4" t="s">
        <v>1855</v>
      </c>
      <c r="L187" s="337" t="str">
        <f>IF(ISBLANK(input_wld_az1_rack2_host5_mgmt_ip),"Value Missing",input_wld_az1_rack2_host5_mgmt_ip)</f>
        <v>Value Missing</v>
      </c>
      <c r="N187" s="4" t="s">
        <v>1855</v>
      </c>
      <c r="O187" s="337" t="str">
        <f>IF(ISBLANK(input_wld_az1_rack3_host5_mgmt_ip),"Value Missing",input_wld_az1_rack3_host5_mgmt_ip)</f>
        <v>Value Missing</v>
      </c>
      <c r="Q187" s="4" t="s">
        <v>1855</v>
      </c>
      <c r="R187" s="337" t="str">
        <f>IF(ISBLANK(input_wld_az1_rack4_host5_mgmt_ip),"Value Missing",input_wld_az1_rack4_host5_mgmt_ip)</f>
        <v>Value Missing</v>
      </c>
      <c r="T187" s="4" t="s">
        <v>1855</v>
      </c>
      <c r="U187" s="337" t="str">
        <f>IF(ISBLANK(input_wld_az1_rack5_host5_mgmt_ip),"Value Missing",input_wld_az1_rack5_host5_mgmt_ip)</f>
        <v>Value Missing</v>
      </c>
      <c r="W187" s="4" t="s">
        <v>1855</v>
      </c>
      <c r="X187" s="337" t="str">
        <f>IF(ISBLANK(input_wld_az1_rack6_host5_mgmt_ip),"Value Missing",input_wld_az1_rack6_host5_mgmt_ip)</f>
        <v>Value Missing</v>
      </c>
      <c r="Z187" s="4" t="s">
        <v>1855</v>
      </c>
      <c r="AA187" s="337" t="str">
        <f>IF(ISBLANK(input_wld_az1_rack7_host5_mgmt_ip),"Value Missing",input_wld_az1_rack7_host5_mgmt_ip)</f>
        <v>Value Missing</v>
      </c>
      <c r="AC187" s="4" t="s">
        <v>1855</v>
      </c>
      <c r="AD187" s="337" t="str">
        <f>IF(ISBLANK(input_wld_az1_rack8_host5_mgmt_ip),"Value Missing",input_wld_az1_rack8_host5_mgmt_ip)</f>
        <v>Value Missing</v>
      </c>
      <c r="AE187" s="8"/>
      <c r="AF187" s="8"/>
      <c r="AG187" s="8"/>
      <c r="AH187" s="8"/>
      <c r="AI187" s="8"/>
      <c r="AJ187" s="8"/>
      <c r="AK187" s="8"/>
    </row>
    <row r="188" spans="2:37" s="2" customFormat="1" ht="20.100000000000001" customHeight="1" x14ac:dyDescent="0.2">
      <c r="B188" s="8"/>
      <c r="C188" s="8"/>
      <c r="E188" s="4" t="s">
        <v>1856</v>
      </c>
      <c r="F188" s="337" t="str">
        <f>IF(ISBLANK(input_mgmt_az1_host6_mgmt_ip),"Value Missing",input_mgmt_az1_host6_mgmt_ip)</f>
        <v>Value Missing</v>
      </c>
      <c r="H188" s="4" t="s">
        <v>1856</v>
      </c>
      <c r="I188" s="337" t="str">
        <f>IF(ISBLANK(input_wld_az1_host6_mgmt_ip),"Value Missing",input_wld_az1_host6_mgmt_ip)</f>
        <v>Value Missing</v>
      </c>
      <c r="K188" s="4" t="s">
        <v>1856</v>
      </c>
      <c r="L188" s="337" t="str">
        <f>IF(ISBLANK(input_wld_az1_rack2_host6_mgmt_ip),"Value Missing",input_wld_az1_rack2_host6_mgmt_ip)</f>
        <v>Value Missing</v>
      </c>
      <c r="N188" s="4" t="s">
        <v>1856</v>
      </c>
      <c r="O188" s="337" t="str">
        <f>IF(ISBLANK(input_wld_az1_rack3_host6_mgmt_ip),"Value Missing",input_wld_az1_rack3_host6_mgmt_ip)</f>
        <v>Value Missing</v>
      </c>
      <c r="Q188" s="4" t="s">
        <v>1856</v>
      </c>
      <c r="R188" s="337" t="str">
        <f>IF(ISBLANK(input_wld_az1_rack4_host6_mgmt_ip),"Value Missing",input_wld_az1_rack4_host6_mgmt_ip)</f>
        <v>Value Missing</v>
      </c>
      <c r="T188" s="4" t="s">
        <v>1856</v>
      </c>
      <c r="U188" s="337" t="str">
        <f>IF(ISBLANK(input_wld_az1_rack5_host6_mgmt_ip),"Value Missing",input_wld_az1_rack5_host6_mgmt_ip)</f>
        <v>Value Missing</v>
      </c>
      <c r="W188" s="4" t="s">
        <v>1856</v>
      </c>
      <c r="X188" s="337" t="str">
        <f>IF(ISBLANK(input_wld_az1_rack6_host6_mgmt_ip),"Value Missing",input_wld_az1_rack6_host6_mgmt_ip)</f>
        <v>Value Missing</v>
      </c>
      <c r="Z188" s="4" t="s">
        <v>1856</v>
      </c>
      <c r="AA188" s="337" t="str">
        <f>IF(ISBLANK(input_wld_az1_rack7_host6_mgmt_ip),"Value Missing",input_wld_az1_rack7_host6_mgmt_ip)</f>
        <v>Value Missing</v>
      </c>
      <c r="AC188" s="4" t="s">
        <v>1856</v>
      </c>
      <c r="AD188" s="337" t="str">
        <f>IF(ISBLANK(input_wld_az1_rack8_host6_mgmt_ip),"Value Missing",input_wld_az1_rack8_host6_mgmt_ip)</f>
        <v>Value Missing</v>
      </c>
      <c r="AE188" s="8"/>
      <c r="AF188" s="8"/>
      <c r="AG188" s="8"/>
      <c r="AH188" s="8"/>
      <c r="AI188" s="8"/>
      <c r="AJ188" s="8"/>
      <c r="AK188" s="8"/>
    </row>
    <row r="189" spans="2:37" s="2" customFormat="1" ht="20.100000000000001" customHeight="1" x14ac:dyDescent="0.2">
      <c r="B189" s="8"/>
      <c r="C189" s="8"/>
      <c r="E189" s="4" t="s">
        <v>1857</v>
      </c>
      <c r="F189" s="337" t="str">
        <f>IF(ISBLANK(input_mgmt_az1_host7_mgmt_ip),"Value Missing",input_mgmt_az1_host7_mgmt_ip)</f>
        <v>Value Missing</v>
      </c>
      <c r="H189" s="4" t="s">
        <v>1857</v>
      </c>
      <c r="I189" s="337" t="str">
        <f>IF(ISBLANK(input_wld_az1_host7_mgmt_ip),"Value Missing",input_wld_az1_host7_mgmt_ip)</f>
        <v>Value Missing</v>
      </c>
      <c r="K189" s="4" t="s">
        <v>1857</v>
      </c>
      <c r="L189" s="337" t="str">
        <f>IF(ISBLANK(input_wld_az1_rack2_host7_mgmt_ip),"Value Missing",input_wld_az1_rack2_host7_mgmt_ip)</f>
        <v>Value Missing</v>
      </c>
      <c r="N189" s="4" t="s">
        <v>1857</v>
      </c>
      <c r="O189" s="337" t="str">
        <f>IF(ISBLANK(input_wld_az1_rack3_host7_mgmt_ip),"Value Missing",input_wld_az1_rack3_host7_mgmt_ip)</f>
        <v>Value Missing</v>
      </c>
      <c r="Q189" s="4" t="s">
        <v>1857</v>
      </c>
      <c r="R189" s="337" t="str">
        <f>IF(ISBLANK(input_wld_az1_rack4_host7_mgmt_ip),"Value Missing",input_wld_az1_rack4_host7_mgmt_ip)</f>
        <v>Value Missing</v>
      </c>
      <c r="T189" s="4" t="s">
        <v>1857</v>
      </c>
      <c r="U189" s="337" t="str">
        <f>IF(ISBLANK(input_wld_az1_rack5_host7_mgmt_ip),"Value Missing",input_wld_az1_rack5_host7_mgmt_ip)</f>
        <v>Value Missing</v>
      </c>
      <c r="W189" s="4" t="s">
        <v>1857</v>
      </c>
      <c r="X189" s="337" t="str">
        <f>IF(ISBLANK(input_wld_az1_rack6_host7_mgmt_ip),"Value Missing",input_wld_az1_rack6_host7_mgmt_ip)</f>
        <v>Value Missing</v>
      </c>
      <c r="Z189" s="4" t="s">
        <v>1857</v>
      </c>
      <c r="AA189" s="337" t="str">
        <f>IF(ISBLANK(input_wld_az1_rack7_host7_mgmt_ip),"Value Missing",input_wld_az1_rack7_host7_mgmt_ip)</f>
        <v>Value Missing</v>
      </c>
      <c r="AC189" s="4" t="s">
        <v>1857</v>
      </c>
      <c r="AD189" s="337" t="str">
        <f>IF(ISBLANK(input_wld_az1_rack8_host7_mgmt_ip),"Value Missing",input_wld_az1_rack8_host7_mgmt_ip)</f>
        <v>Value Missing</v>
      </c>
      <c r="AE189" s="8"/>
      <c r="AF189" s="8"/>
      <c r="AG189" s="8"/>
      <c r="AH189" s="8"/>
      <c r="AI189" s="8"/>
      <c r="AJ189" s="8"/>
      <c r="AK189" s="8"/>
    </row>
    <row r="190" spans="2:37" s="2" customFormat="1" ht="20.100000000000001" customHeight="1" x14ac:dyDescent="0.2">
      <c r="B190" s="8"/>
      <c r="C190" s="8"/>
      <c r="E190" s="4" t="s">
        <v>1858</v>
      </c>
      <c r="F190" s="337" t="str">
        <f>IF(ISBLANK(input_mgmt_az1_host8_mgmt_ip),"Value Missing",input_mgmt_az1_host8_mgmt_ip)</f>
        <v>Value Missing</v>
      </c>
      <c r="H190" s="4" t="s">
        <v>1858</v>
      </c>
      <c r="I190" s="337" t="str">
        <f>IF(ISBLANK(input_wld_az1_host8_mgmt_ip),"Value Missing",input_wld_az1_host8_mgmt_ip)</f>
        <v>Value Missing</v>
      </c>
      <c r="K190" s="4" t="s">
        <v>1858</v>
      </c>
      <c r="L190" s="337" t="str">
        <f>IF(ISBLANK(input_wld_az1_rack2_host8_mgmt_ip),"Value Missing",input_wld_az1_rack2_host8_mgmt_ip)</f>
        <v>Value Missing</v>
      </c>
      <c r="N190" s="4" t="s">
        <v>1858</v>
      </c>
      <c r="O190" s="337" t="str">
        <f>IF(ISBLANK(input_wld_az1_rack3_host8_mgmt_ip),"Value Missing",input_wld_az1_rack3_host8_mgmt_ip)</f>
        <v>Value Missing</v>
      </c>
      <c r="Q190" s="4" t="s">
        <v>1858</v>
      </c>
      <c r="R190" s="337" t="str">
        <f>IF(ISBLANK(input_wld_az1_rack4_host8_mgmt_ip),"Value Missing",input_wld_az1_rack4_host8_mgmt_ip)</f>
        <v>Value Missing</v>
      </c>
      <c r="T190" s="4" t="s">
        <v>1858</v>
      </c>
      <c r="U190" s="337" t="str">
        <f>IF(ISBLANK(input_wld_az1_rack5_host8_mgmt_ip),"Value Missing",input_wld_az1_rack5_host8_mgmt_ip)</f>
        <v>Value Missing</v>
      </c>
      <c r="W190" s="4" t="s">
        <v>1858</v>
      </c>
      <c r="X190" s="337" t="str">
        <f>IF(ISBLANK(input_wld_az1_rack6_host8_mgmt_ip),"Value Missing",input_wld_az1_rack6_host8_mgmt_ip)</f>
        <v>Value Missing</v>
      </c>
      <c r="Z190" s="4" t="s">
        <v>1858</v>
      </c>
      <c r="AA190" s="337" t="str">
        <f>IF(ISBLANK(input_wld_az1_rack7_host8_mgmt_ip),"Value Missing",input_wld_az1_rack7_host8_mgmt_ip)</f>
        <v>Value Missing</v>
      </c>
      <c r="AC190" s="4" t="s">
        <v>1858</v>
      </c>
      <c r="AD190" s="337" t="str">
        <f>IF(ISBLANK(input_wld_az1_rack8_host8_mgmt_ip),"Value Missing",input_wld_az1_rack8_host8_mgmt_ip)</f>
        <v>Value Missing</v>
      </c>
      <c r="AE190" s="8"/>
      <c r="AF190" s="8"/>
      <c r="AG190" s="8"/>
      <c r="AH190" s="8"/>
      <c r="AI190" s="8"/>
      <c r="AJ190" s="8"/>
      <c r="AK190" s="8"/>
    </row>
    <row r="191" spans="2:37" ht="20.100000000000001" customHeight="1" x14ac:dyDescent="0.2">
      <c r="E191" s="4" t="s">
        <v>1859</v>
      </c>
      <c r="F191" s="337" t="str">
        <f>IF(ISBLANK(input_mgmt_az1_host9_mgmt_ip),"Value Missing",input_mgmt_az1_host9_mgmt_ip)</f>
        <v>Value Missing</v>
      </c>
      <c r="G191" s="2"/>
      <c r="H191" s="4" t="s">
        <v>1859</v>
      </c>
      <c r="I191" s="337" t="str">
        <f>IF(ISBLANK(input_wld_az1_host9_mgmt_ip),"Value Missing",input_wld_az1_host9_mgmt_ip)</f>
        <v>Value Missing</v>
      </c>
      <c r="J191" s="2"/>
      <c r="K191" s="4" t="s">
        <v>1859</v>
      </c>
      <c r="L191" s="337" t="str">
        <f>IF(ISBLANK(input_wld_az1_rack2_host9_mgmt_ip),"Value Missing",input_wld_az1_rack2_host9_mgmt_ip)</f>
        <v>Value Missing</v>
      </c>
      <c r="M191" s="2"/>
      <c r="N191" s="4" t="s">
        <v>1859</v>
      </c>
      <c r="O191" s="337" t="str">
        <f>IF(ISBLANK(input_wld_az1_rack3_host9_mgmt_ip),"Value Missing",input_wld_az1_rack3_host9_mgmt_ip)</f>
        <v>Value Missing</v>
      </c>
      <c r="P191" s="2"/>
      <c r="Q191" s="4" t="s">
        <v>1859</v>
      </c>
      <c r="R191" s="337" t="str">
        <f>IF(ISBLANK(input_wld_az1_rack4_host9_mgmt_ip),"Value Missing",input_wld_az1_rack4_host9_mgmt_ip)</f>
        <v>Value Missing</v>
      </c>
      <c r="S191" s="2"/>
      <c r="T191" s="4" t="s">
        <v>1859</v>
      </c>
      <c r="U191" s="337" t="str">
        <f>IF(ISBLANK(input_wld_az1_rack5_host9_mgmt_ip),"Value Missing",input_wld_az1_rack5_host9_mgmt_ip)</f>
        <v>Value Missing</v>
      </c>
      <c r="V191" s="2"/>
      <c r="W191" s="4" t="s">
        <v>1859</v>
      </c>
      <c r="X191" s="337" t="str">
        <f>IF(ISBLANK(input_wld_az1_rack6_host9_mgmt_ip),"Value Missing",input_wld_az1_rack6_host9_mgmt_ip)</f>
        <v>Value Missing</v>
      </c>
      <c r="Y191" s="2"/>
      <c r="Z191" s="4" t="s">
        <v>1859</v>
      </c>
      <c r="AA191" s="337" t="str">
        <f>IF(ISBLANK(input_wld_az1_rack7_host9_mgmt_ip),"Value Missing",input_wld_az1_rack7_host9_mgmt_ip)</f>
        <v>Value Missing</v>
      </c>
      <c r="AB191" s="2"/>
      <c r="AC191" s="4" t="s">
        <v>1859</v>
      </c>
      <c r="AD191" s="337" t="str">
        <f>IF(ISBLANK(input_wld_az1_rack8_host9_mgmt_ip),"Value Missing",input_wld_az1_rack8_host9_mgmt_ip)</f>
        <v>Value Missing</v>
      </c>
    </row>
    <row r="192" spans="2:37" ht="20.100000000000001" customHeight="1" x14ac:dyDescent="0.2">
      <c r="E192" s="4" t="s">
        <v>1860</v>
      </c>
      <c r="F192" s="337" t="str">
        <f>IF(ISBLANK(input_mgmt_az1_host10_mgmt_ip),"Value Missing",input_mgmt_az1_host10_mgmt_ip)</f>
        <v>Value Missing</v>
      </c>
      <c r="G192" s="2"/>
      <c r="H192" s="4" t="s">
        <v>1860</v>
      </c>
      <c r="I192" s="337" t="str">
        <f>IF(ISBLANK(input_wld_az1_host10_mgmt_ip),"Value Missing",input_wld_az1_host10_mgmt_ip)</f>
        <v>Value Missing</v>
      </c>
      <c r="J192" s="2"/>
      <c r="K192" s="4" t="s">
        <v>1860</v>
      </c>
      <c r="L192" s="337" t="str">
        <f>IF(ISBLANK(input_wld_az1_rack2_host10_mgmt_ip),"Value Missing",input_wld_az1_rack2_host10_mgmt_ip)</f>
        <v>Value Missing</v>
      </c>
      <c r="M192" s="2"/>
      <c r="N192" s="4" t="s">
        <v>1860</v>
      </c>
      <c r="O192" s="337" t="str">
        <f>IF(ISBLANK(input_wld_az1_rack3_host10_mgmt_ip),"Value Missing",input_wld_az1_rack3_host10_mgmt_ip)</f>
        <v>Value Missing</v>
      </c>
      <c r="P192" s="2"/>
      <c r="Q192" s="4" t="s">
        <v>1860</v>
      </c>
      <c r="R192" s="337" t="str">
        <f>IF(ISBLANK(input_wld_az1_rack4_host10_mgmt_ip),"Value Missing",input_wld_az1_rack4_host10_mgmt_ip)</f>
        <v>Value Missing</v>
      </c>
      <c r="S192" s="2"/>
      <c r="T192" s="4" t="s">
        <v>1860</v>
      </c>
      <c r="U192" s="337" t="str">
        <f>IF(ISBLANK(input_wld_az1_rack5_host10_mgmt_ip),"Value Missing",input_wld_az1_rack5_host10_mgmt_ip)</f>
        <v>Value Missing</v>
      </c>
      <c r="V192" s="2"/>
      <c r="W192" s="4" t="s">
        <v>1860</v>
      </c>
      <c r="X192" s="337" t="str">
        <f>IF(ISBLANK(input_wld_az1_rack6_host10_mgmt_ip),"Value Missing",input_wld_az1_rack6_host10_mgmt_ip)</f>
        <v>Value Missing</v>
      </c>
      <c r="Y192" s="2"/>
      <c r="Z192" s="4" t="s">
        <v>1860</v>
      </c>
      <c r="AA192" s="337" t="str">
        <f>IF(ISBLANK(input_wld_az1_rack7_host10_mgmt_ip),"Value Missing",input_wld_az1_rack7_host10_mgmt_ip)</f>
        <v>Value Missing</v>
      </c>
      <c r="AB192" s="2"/>
      <c r="AC192" s="4" t="s">
        <v>1860</v>
      </c>
      <c r="AD192" s="337" t="str">
        <f>IF(ISBLANK(input_wld_az1_rack8_host10_mgmt_ip),"Value Missing",input_wld_az1_rack8_host10_mgmt_ip)</f>
        <v>Value Missing</v>
      </c>
    </row>
    <row r="193" spans="5:30" ht="20.100000000000001" customHeight="1" x14ac:dyDescent="0.2">
      <c r="E193" s="4" t="s">
        <v>1861</v>
      </c>
      <c r="F193" s="337" t="str">
        <f>IF(ISBLANK(input_mgmt_az1_host11_mgmt_ip),"Value Missing",input_mgmt_az1_host11_mgmt_ip)</f>
        <v>Value Missing</v>
      </c>
      <c r="G193" s="15"/>
      <c r="H193" s="4" t="s">
        <v>1861</v>
      </c>
      <c r="I193" s="337" t="str">
        <f>IF(ISBLANK(input_wld_az1_host11_mgmt_ip),"Value Missing",input_wld_az1_host11_mgmt_ip)</f>
        <v>Value Missing</v>
      </c>
      <c r="J193" s="15"/>
      <c r="K193" s="4" t="s">
        <v>1861</v>
      </c>
      <c r="L193" s="337" t="str">
        <f>IF(ISBLANK(input_wld_az1_rack2_host11_mgmt_ip),"Value Missing",input_wld_az1_rack2_host11_mgmt_ip)</f>
        <v>Value Missing</v>
      </c>
      <c r="M193" s="2"/>
      <c r="N193" s="4" t="s">
        <v>1861</v>
      </c>
      <c r="O193" s="337" t="str">
        <f>IF(ISBLANK(input_wld_az1_rack3_host11_mgmt_ip),"Value Missing",input_wld_az1_rack3_host11_mgmt_ip)</f>
        <v>Value Missing</v>
      </c>
      <c r="P193" s="2"/>
      <c r="Q193" s="4" t="s">
        <v>1861</v>
      </c>
      <c r="R193" s="337" t="str">
        <f>IF(ISBLANK(input_wld_az1_rack4_host11_mgmt_ip),"Value Missing",input_wld_az1_rack4_host11_mgmt_ip)</f>
        <v>Value Missing</v>
      </c>
      <c r="S193" s="2"/>
      <c r="T193" s="4" t="s">
        <v>1861</v>
      </c>
      <c r="U193" s="337" t="str">
        <f>IF(ISBLANK(input_wld_az1_rack5_host11_mgmt_ip),"Value Missing",input_wld_az1_rack5_host11_mgmt_ip)</f>
        <v>Value Missing</v>
      </c>
      <c r="V193" s="2"/>
      <c r="W193" s="4" t="s">
        <v>1861</v>
      </c>
      <c r="X193" s="337" t="str">
        <f>IF(ISBLANK(input_wld_az1_rack6_host11_mgmt_ip),"Value Missing",input_wld_az1_rack6_host11_mgmt_ip)</f>
        <v>Value Missing</v>
      </c>
      <c r="Y193" s="2"/>
      <c r="Z193" s="4" t="s">
        <v>1861</v>
      </c>
      <c r="AA193" s="337" t="str">
        <f>IF(ISBLANK(input_wld_az1_rack7_host11_mgmt_ip),"Value Missing",input_wld_az1_rack7_host11_mgmt_ip)</f>
        <v>Value Missing</v>
      </c>
      <c r="AB193" s="2"/>
      <c r="AC193" s="4" t="s">
        <v>1861</v>
      </c>
      <c r="AD193" s="337" t="str">
        <f>IF(ISBLANK(input_wld_az1_rack8_host11_mgmt_ip),"Value Missing",input_wld_az1_rack8_host11_mgmt_ip)</f>
        <v>Value Missing</v>
      </c>
    </row>
    <row r="194" spans="5:30" ht="20.100000000000001" customHeight="1" x14ac:dyDescent="0.2">
      <c r="E194" s="4" t="s">
        <v>1862</v>
      </c>
      <c r="F194" s="337" t="str">
        <f>IF(ISBLANK(input_mgmt_az1_host12_mgmt_ip),"Value Missing",input_mgmt_az1_host12_mgmt_ip)</f>
        <v>Value Missing</v>
      </c>
      <c r="G194" s="2"/>
      <c r="H194" s="4" t="s">
        <v>1862</v>
      </c>
      <c r="I194" s="337" t="str">
        <f>IF(ISBLANK(input_wld_az1_host12_mgmt_ip),"Value Missing",input_wld_az1_host12_mgmt_ip)</f>
        <v>Value Missing</v>
      </c>
      <c r="J194" s="2"/>
      <c r="K194" s="4" t="s">
        <v>1862</v>
      </c>
      <c r="L194" s="337" t="str">
        <f>IF(ISBLANK(input_wld_az1_rack2_host12_mgmt_ip),"Value Missing",input_wld_az1_rack2_host12_mgmt_ip)</f>
        <v>Value Missing</v>
      </c>
      <c r="M194" s="2"/>
      <c r="N194" s="4" t="s">
        <v>1862</v>
      </c>
      <c r="O194" s="337" t="str">
        <f>IF(ISBLANK(input_wld_az1_rack3_host12_mgmt_ip),"Value Missing",input_wld_az1_rack3_host12_mgmt_ip)</f>
        <v>Value Missing</v>
      </c>
      <c r="P194" s="2"/>
      <c r="Q194" s="4" t="s">
        <v>1862</v>
      </c>
      <c r="R194" s="337" t="str">
        <f>IF(ISBLANK(input_wld_az1_rack4_host12_mgmt_ip),"Value Missing",input_wld_az1_rack4_host12_mgmt_ip)</f>
        <v>Value Missing</v>
      </c>
      <c r="S194" s="2"/>
      <c r="T194" s="4" t="s">
        <v>1862</v>
      </c>
      <c r="U194" s="337" t="str">
        <f>IF(ISBLANK(input_wld_az1_rack5_host12_mgmt_ip),"Value Missing",input_wld_az1_rack5_host12_mgmt_ip)</f>
        <v>Value Missing</v>
      </c>
      <c r="V194" s="2"/>
      <c r="W194" s="4" t="s">
        <v>1862</v>
      </c>
      <c r="X194" s="337" t="str">
        <f>IF(ISBLANK(input_wld_az1_rack6_host12_mgmt_ip),"Value Missing",input_wld_az1_rack6_host12_mgmt_ip)</f>
        <v>Value Missing</v>
      </c>
      <c r="Y194" s="2"/>
      <c r="Z194" s="4" t="s">
        <v>1862</v>
      </c>
      <c r="AA194" s="337" t="str">
        <f>IF(ISBLANK(input_wld_az1_rack7_host12_mgmt_ip),"Value Missing",input_wld_az1_rack7_host12_mgmt_ip)</f>
        <v>Value Missing</v>
      </c>
      <c r="AB194" s="2"/>
      <c r="AC194" s="4" t="s">
        <v>1862</v>
      </c>
      <c r="AD194" s="337" t="str">
        <f>IF(ISBLANK(input_wld_az1_rack8_host12_mgmt_ip),"Value Missing",input_wld_az1_rack8_host12_mgmt_ip)</f>
        <v>Value Missing</v>
      </c>
    </row>
    <row r="195" spans="5:30" ht="20.100000000000001" customHeight="1" x14ac:dyDescent="0.2">
      <c r="E195" s="4" t="s">
        <v>1863</v>
      </c>
      <c r="F195" s="337" t="str">
        <f>IF(ISBLANK(input_mgmt_az1_host13_mgmt_ip),"Value Missing",input_mgmt_az1_host13_mgmt_ip)</f>
        <v>Value Missing</v>
      </c>
      <c r="G195" s="2"/>
      <c r="H195" s="4" t="s">
        <v>1863</v>
      </c>
      <c r="I195" s="337" t="str">
        <f>IF(ISBLANK(input_wld_az1_host13_mgmt_ip),"Value Missing",input_wld_az1_host13_mgmt_ip)</f>
        <v>Value Missing</v>
      </c>
      <c r="J195" s="2"/>
      <c r="K195" s="4" t="s">
        <v>1863</v>
      </c>
      <c r="L195" s="337" t="str">
        <f>IF(ISBLANK(input_wld_az1_rack2_host13_mgmt_ip),"Value Missing",input_wld_az1_rack2_host13_mgmt_ip)</f>
        <v>Value Missing</v>
      </c>
      <c r="M195" s="2"/>
      <c r="N195" s="4" t="s">
        <v>1863</v>
      </c>
      <c r="O195" s="337" t="str">
        <f>IF(ISBLANK(input_wld_az1_rack3_host13_mgmt_ip),"Value Missing",input_wld_az1_rack3_host13_mgmt_ip)</f>
        <v>Value Missing</v>
      </c>
      <c r="P195" s="2"/>
      <c r="Q195" s="4" t="s">
        <v>1863</v>
      </c>
      <c r="R195" s="337" t="str">
        <f>IF(ISBLANK(input_wld_az1_rack4_host13_mgmt_ip),"Value Missing",input_wld_az1_rack4_host13_mgmt_ip)</f>
        <v>Value Missing</v>
      </c>
      <c r="S195" s="2"/>
      <c r="T195" s="4" t="s">
        <v>1863</v>
      </c>
      <c r="U195" s="337" t="str">
        <f>IF(ISBLANK(input_wld_az1_rack5_host13_mgmt_ip),"Value Missing",input_wld_az1_rack5_host13_mgmt_ip)</f>
        <v>Value Missing</v>
      </c>
      <c r="V195" s="2"/>
      <c r="W195" s="4" t="s">
        <v>1863</v>
      </c>
      <c r="X195" s="337" t="str">
        <f>IF(ISBLANK(input_wld_az1_rack6_host13_mgmt_ip),"Value Missing",input_wld_az1_rack6_host13_mgmt_ip)</f>
        <v>Value Missing</v>
      </c>
      <c r="Y195" s="2"/>
      <c r="Z195" s="4" t="s">
        <v>1863</v>
      </c>
      <c r="AA195" s="337" t="str">
        <f>IF(ISBLANK(input_wld_az1_rack7_host13_mgmt_ip),"Value Missing",input_wld_az1_rack7_host13_mgmt_ip)</f>
        <v>Value Missing</v>
      </c>
      <c r="AB195" s="2"/>
      <c r="AC195" s="4" t="s">
        <v>1863</v>
      </c>
      <c r="AD195" s="337" t="str">
        <f>IF(ISBLANK(input_wld_az1_rack8_host13_mgmt_ip),"Value Missing",input_wld_az1_rack8_host13_mgmt_ip)</f>
        <v>Value Missing</v>
      </c>
    </row>
    <row r="196" spans="5:30" ht="20.100000000000001" customHeight="1" x14ac:dyDescent="0.2">
      <c r="E196" s="4" t="s">
        <v>1864</v>
      </c>
      <c r="F196" s="337" t="str">
        <f>IF(ISBLANK(input_mgmt_az1_host14_mgmt_ip),"Value Missing",input_mgmt_az1_host14_mgmt_ip)</f>
        <v>Value Missing</v>
      </c>
      <c r="G196" s="2"/>
      <c r="H196" s="4" t="s">
        <v>1864</v>
      </c>
      <c r="I196" s="337" t="str">
        <f>IF(ISBLANK(input_wld_az1_host14_mgmt_ip),"Value Missing",input_wld_az1_host14_mgmt_ip)</f>
        <v>Value Missing</v>
      </c>
      <c r="J196" s="2"/>
      <c r="K196" s="4" t="s">
        <v>1864</v>
      </c>
      <c r="L196" s="337" t="str">
        <f>IF(ISBLANK(input_wld_az1_rack2_host14_mgmt_ip),"Value Missing",input_wld_az1_rack2_host14_mgmt_ip)</f>
        <v>Value Missing</v>
      </c>
      <c r="M196" s="15"/>
      <c r="N196" s="4" t="s">
        <v>1864</v>
      </c>
      <c r="O196" s="337" t="str">
        <f>IF(ISBLANK(input_wld_az1_rack3_host14_mgmt_ip),"Value Missing",input_wld_az1_rack3_host14_mgmt_ip)</f>
        <v>Value Missing</v>
      </c>
      <c r="P196" s="2"/>
      <c r="Q196" s="4" t="s">
        <v>1864</v>
      </c>
      <c r="R196" s="337" t="str">
        <f>IF(ISBLANK(input_wld_az1_rack4_host14_mgmt_ip),"Value Missing",input_wld_az1_rack4_host14_mgmt_ip)</f>
        <v>Value Missing</v>
      </c>
      <c r="S196" s="2"/>
      <c r="T196" s="4" t="s">
        <v>1864</v>
      </c>
      <c r="U196" s="337" t="str">
        <f>IF(ISBLANK(input_wld_az1_rack5_host14_mgmt_ip),"Value Missing",input_wld_az1_rack5_host14_mgmt_ip)</f>
        <v>Value Missing</v>
      </c>
      <c r="V196" s="2"/>
      <c r="W196" s="4" t="s">
        <v>1864</v>
      </c>
      <c r="X196" s="337" t="str">
        <f>IF(ISBLANK(input_wld_az1_rack6_host14_mgmt_ip),"Value Missing",input_wld_az1_rack6_host14_mgmt_ip)</f>
        <v>Value Missing</v>
      </c>
      <c r="Y196" s="2"/>
      <c r="Z196" s="4" t="s">
        <v>1864</v>
      </c>
      <c r="AA196" s="337" t="str">
        <f>IF(ISBLANK(input_wld_az1_rack7_host14_mgmt_ip),"Value Missing",input_wld_az1_rack7_host14_mgmt_ip)</f>
        <v>Value Missing</v>
      </c>
      <c r="AB196" s="2"/>
      <c r="AC196" s="4" t="s">
        <v>1864</v>
      </c>
      <c r="AD196" s="337" t="str">
        <f>IF(ISBLANK(input_wld_az1_rack8_host14_mgmt_ip),"Value Missing",input_wld_az1_rack8_host14_mgmt_ip)</f>
        <v>Value Missing</v>
      </c>
    </row>
    <row r="197" spans="5:30" ht="20.100000000000001" customHeight="1" x14ac:dyDescent="0.2">
      <c r="E197" s="4" t="s">
        <v>1865</v>
      </c>
      <c r="F197" s="337" t="str">
        <f>IF(ISBLANK(input_mgmt_az1_host15_mgmt_ip),"Value Missing",input_mgmt_az1_host15_mgmt_ip)</f>
        <v>Value Missing</v>
      </c>
      <c r="G197" s="2"/>
      <c r="H197" s="4" t="s">
        <v>1865</v>
      </c>
      <c r="I197" s="337" t="str">
        <f>IF(ISBLANK(input_wld_az1_host15_mgmt_ip),"Value Missing",input_wld_az1_host15_mgmt_ip)</f>
        <v>Value Missing</v>
      </c>
      <c r="J197" s="2"/>
      <c r="K197" s="4" t="s">
        <v>1865</v>
      </c>
      <c r="L197" s="337" t="str">
        <f>IF(ISBLANK(input_wld_az1_rack2_host15_mgmt_ip),"Value Missing",input_wld_az1_rack2_host15_mgmt_ip)</f>
        <v>Value Missing</v>
      </c>
      <c r="M197" s="2"/>
      <c r="N197" s="4" t="s">
        <v>1865</v>
      </c>
      <c r="O197" s="337" t="str">
        <f>IF(ISBLANK(input_wld_az1_rack3_host15_mgmt_ip),"Value Missing",input_wld_az1_rack3_host15_mgmt_ip)</f>
        <v>Value Missing</v>
      </c>
      <c r="P197" s="2"/>
      <c r="Q197" s="4" t="s">
        <v>1865</v>
      </c>
      <c r="R197" s="337" t="str">
        <f>IF(ISBLANK(input_wld_az1_rack4_host15_mgmt_ip),"Value Missing",input_wld_az1_rack4_host15_mgmt_ip)</f>
        <v>Value Missing</v>
      </c>
      <c r="S197" s="2"/>
      <c r="T197" s="4" t="s">
        <v>1865</v>
      </c>
      <c r="U197" s="337" t="str">
        <f>IF(ISBLANK(input_wld_az1_rack5_host15_mgmt_ip),"Value Missing",input_wld_az1_rack5_host15_mgmt_ip)</f>
        <v>Value Missing</v>
      </c>
      <c r="V197" s="2"/>
      <c r="W197" s="4" t="s">
        <v>1865</v>
      </c>
      <c r="X197" s="337" t="str">
        <f>IF(ISBLANK(input_wld_az1_rack6_host15_mgmt_ip),"Value Missing",input_wld_az1_rack6_host15_mgmt_ip)</f>
        <v>Value Missing</v>
      </c>
      <c r="Y197" s="2"/>
      <c r="Z197" s="4" t="s">
        <v>1865</v>
      </c>
      <c r="AA197" s="337" t="str">
        <f>IF(ISBLANK(input_wld_az1_rack7_host15_mgmt_ip),"Value Missing",input_wld_az1_rack7_host15_mgmt_ip)</f>
        <v>Value Missing</v>
      </c>
      <c r="AB197" s="2"/>
      <c r="AC197" s="4" t="s">
        <v>1865</v>
      </c>
      <c r="AD197" s="337" t="str">
        <f>IF(ISBLANK(input_wld_az1_rack8_host15_mgmt_ip),"Value Missing",input_wld_az1_rack8_host15_mgmt_ip)</f>
        <v>Value Missing</v>
      </c>
    </row>
    <row r="198" spans="5:30" ht="20.100000000000001" customHeight="1" x14ac:dyDescent="0.2">
      <c r="E198" s="4" t="s">
        <v>1866</v>
      </c>
      <c r="F198" s="337" t="str">
        <f>IF(ISBLANK(input_mgmt_az1_host16_mgmt_ip),"Value Missing",input_mgmt_az1_host16_mgmt_ip)</f>
        <v>Value Missing</v>
      </c>
      <c r="G198" s="2"/>
      <c r="H198" s="4" t="s">
        <v>1866</v>
      </c>
      <c r="I198" s="337" t="str">
        <f>IF(ISBLANK(input_wld_az1_host16_mgmt_ip),"Value Missing",input_wld_az1_host16_mgmt_ip)</f>
        <v>Value Missing</v>
      </c>
      <c r="J198" s="2"/>
      <c r="K198" s="4" t="s">
        <v>1866</v>
      </c>
      <c r="L198" s="337" t="str">
        <f>IF(ISBLANK(input_wld_az1_rack2_host16_mgmt_ip),"Value Missing",input_wld_az1_rack2_host16_mgmt_ip)</f>
        <v>Value Missing</v>
      </c>
      <c r="M198" s="2"/>
      <c r="N198" s="4" t="s">
        <v>1866</v>
      </c>
      <c r="O198" s="337" t="str">
        <f>IF(ISBLANK(input_wld_az1_rack3_host16_mgmt_ip),"Value Missing",input_wld_az1_rack3_host16_mgmt_ip)</f>
        <v>Value Missing</v>
      </c>
      <c r="P198" s="2"/>
      <c r="Q198" s="4" t="s">
        <v>1866</v>
      </c>
      <c r="R198" s="337" t="str">
        <f>IF(ISBLANK(input_wld_az1_rack4_host16_mgmt_ip),"Value Missing",input_wld_az1_rack4_host16_mgmt_ip)</f>
        <v>Value Missing</v>
      </c>
      <c r="S198" s="2"/>
      <c r="T198" s="4" t="s">
        <v>1866</v>
      </c>
      <c r="U198" s="337" t="str">
        <f>IF(ISBLANK(input_wld_az1_rack5_host16_mgmt_ip),"Value Missing",input_wld_az1_rack5_host16_mgmt_ip)</f>
        <v>Value Missing</v>
      </c>
      <c r="V198" s="2"/>
      <c r="W198" s="4" t="s">
        <v>1866</v>
      </c>
      <c r="X198" s="337" t="str">
        <f>IF(ISBLANK(input_wld_az1_rack6_host16_mgmt_ip),"Value Missing",input_wld_az1_rack6_host16_mgmt_ip)</f>
        <v>Value Missing</v>
      </c>
      <c r="Y198" s="2"/>
      <c r="Z198" s="4" t="s">
        <v>1866</v>
      </c>
      <c r="AA198" s="337" t="str">
        <f>IF(ISBLANK(input_wld_az1_rack7_host16_mgmt_ip),"Value Missing",input_wld_az1_rack7_host16_mgmt_ip)</f>
        <v>Value Missing</v>
      </c>
      <c r="AB198" s="2"/>
      <c r="AC198" s="4" t="s">
        <v>1866</v>
      </c>
      <c r="AD198" s="337" t="str">
        <f>IF(ISBLANK(input_wld_az1_rack8_host16_mgmt_ip),"Value Missing",input_wld_az1_rack8_host16_mgmt_ip)</f>
        <v>Value Missing</v>
      </c>
    </row>
    <row r="199" spans="5:30" ht="20.100000000000001" customHeight="1" x14ac:dyDescent="0.2">
      <c r="E199" s="4" t="s">
        <v>1867</v>
      </c>
      <c r="F199" s="337" t="str">
        <f>IF(ISBLANK(input_mgmt_az1_host1_vrms_ip),"Value Missing",input_mgmt_az1_host1_vrms_ip)</f>
        <v>Value Missing</v>
      </c>
      <c r="G199" s="2"/>
      <c r="H199" s="4" t="s">
        <v>1867</v>
      </c>
      <c r="I199" s="337" t="str">
        <f>IF(ISBLANK(input_wld_az1_host1_vrms_ip),"Value Missing",input_wld_az1_host1_vrms_ip)</f>
        <v>Value Missing</v>
      </c>
      <c r="J199" s="2"/>
      <c r="K199" s="2"/>
      <c r="L199" s="2"/>
      <c r="M199" s="2"/>
      <c r="N199" s="2"/>
      <c r="O199" s="2"/>
      <c r="P199" s="2"/>
      <c r="Q199" s="2"/>
      <c r="R199" s="2"/>
      <c r="S199" s="2"/>
      <c r="T199" s="2"/>
      <c r="U199" s="2"/>
      <c r="V199" s="2"/>
      <c r="W199" s="2"/>
      <c r="X199" s="2"/>
      <c r="Y199" s="2"/>
      <c r="Z199" s="2"/>
      <c r="AA199" s="2"/>
      <c r="AB199" s="2"/>
      <c r="AC199" s="2"/>
      <c r="AD199" s="2"/>
    </row>
    <row r="200" spans="5:30" ht="20.100000000000001" customHeight="1" x14ac:dyDescent="0.2">
      <c r="E200" s="4" t="s">
        <v>1868</v>
      </c>
      <c r="F200" s="337" t="str">
        <f>IF(ISBLANK(input_mgmt_az1_host2_vrms_ip),"Value Missing",input_mgmt_az1_host2_vrms_ip)</f>
        <v>Value Missing</v>
      </c>
      <c r="G200" s="2"/>
      <c r="H200" s="4" t="s">
        <v>1868</v>
      </c>
      <c r="I200" s="337" t="str">
        <f>IF(ISBLANK(input_wld_az1_host2_vrms_ip),"Value Missing",input_wld_az1_host2_vrms_ip)</f>
        <v>Value Missing</v>
      </c>
      <c r="J200" s="2"/>
      <c r="K200" s="572" t="s">
        <v>1869</v>
      </c>
      <c r="L200" s="573"/>
      <c r="M200" s="2"/>
      <c r="N200" s="572" t="s">
        <v>1870</v>
      </c>
      <c r="O200" s="573"/>
      <c r="P200" s="2"/>
      <c r="Q200" s="572" t="s">
        <v>1871</v>
      </c>
      <c r="R200" s="573"/>
      <c r="S200" s="2"/>
      <c r="T200" s="572" t="s">
        <v>1872</v>
      </c>
      <c r="U200" s="573"/>
      <c r="V200" s="2"/>
      <c r="W200" s="572" t="s">
        <v>1873</v>
      </c>
      <c r="X200" s="573"/>
      <c r="Y200" s="2"/>
      <c r="Z200" s="572" t="s">
        <v>1874</v>
      </c>
      <c r="AA200" s="573"/>
      <c r="AB200" s="2"/>
      <c r="AC200" s="572" t="s">
        <v>1875</v>
      </c>
      <c r="AD200" s="573"/>
    </row>
    <row r="201" spans="5:30" ht="20.100000000000001" customHeight="1" x14ac:dyDescent="0.2">
      <c r="E201" s="4" t="s">
        <v>1876</v>
      </c>
      <c r="F201" s="337" t="str">
        <f>IF(ISBLANK(input_mgmt_az1_host3_vrms_ip),"Value Missing",input_mgmt_az1_host3_vrms_ip)</f>
        <v>Value Missing</v>
      </c>
      <c r="G201" s="2"/>
      <c r="H201" s="4" t="s">
        <v>1876</v>
      </c>
      <c r="I201" s="337" t="str">
        <f>IF(ISBLANK(input_wld_az1_host3_vrms_ip),"Value Missing",input_wld_az1_host3_vrms_ip)</f>
        <v>Value Missing</v>
      </c>
      <c r="J201" s="2"/>
      <c r="K201" s="13" t="s">
        <v>259</v>
      </c>
      <c r="L201" s="14" t="s">
        <v>277</v>
      </c>
      <c r="M201" s="2"/>
      <c r="N201" s="13" t="s">
        <v>259</v>
      </c>
      <c r="O201" s="14" t="s">
        <v>277</v>
      </c>
      <c r="P201" s="15"/>
      <c r="Q201" s="13" t="s">
        <v>259</v>
      </c>
      <c r="R201" s="14" t="s">
        <v>277</v>
      </c>
      <c r="S201" s="15"/>
      <c r="T201" s="13" t="s">
        <v>259</v>
      </c>
      <c r="U201" s="14" t="s">
        <v>277</v>
      </c>
      <c r="V201" s="15"/>
      <c r="W201" s="11" t="s">
        <v>259</v>
      </c>
      <c r="X201" s="14" t="s">
        <v>277</v>
      </c>
      <c r="Y201" s="15"/>
      <c r="Z201" s="13" t="s">
        <v>259</v>
      </c>
      <c r="AA201" s="14" t="s">
        <v>277</v>
      </c>
      <c r="AB201" s="15"/>
      <c r="AC201" s="13" t="s">
        <v>259</v>
      </c>
      <c r="AD201" s="14" t="s">
        <v>277</v>
      </c>
    </row>
    <row r="202" spans="5:30" ht="20.100000000000001" customHeight="1" x14ac:dyDescent="0.2">
      <c r="E202" s="4" t="s">
        <v>1877</v>
      </c>
      <c r="F202" s="337" t="str">
        <f>IF(ISBLANK(input_mgmt_az1_host4_vrms_ip),"Value Missing",input_mgmt_az1_host4_vrms_ip)</f>
        <v>Value Missing</v>
      </c>
      <c r="G202" s="2"/>
      <c r="H202" s="4" t="s">
        <v>1877</v>
      </c>
      <c r="I202" s="337" t="str">
        <f>IF(ISBLANK(input_wld_az1_host4_vrms_ip),"Value Missing",input_wld_az1_host4_vrms_ip)</f>
        <v>Value Missing</v>
      </c>
      <c r="J202" s="2"/>
      <c r="K202" s="4" t="s">
        <v>1878</v>
      </c>
      <c r="L202" s="337" t="str">
        <f>IF(wld_az1_rack2_host1_fqdn="Value Missing",wld_az1_rack2_host1_fqdn,LEFT(wld_az1_rack2_host1_fqdn,FIND(".",wld_az1_rack2_host1_fqdn)-1))</f>
        <v>Value Missing</v>
      </c>
      <c r="M202" s="2"/>
      <c r="N202" s="4" t="s">
        <v>1878</v>
      </c>
      <c r="O202" s="337" t="str">
        <f>IF(wld_az1_rack3_host1_fqdn="Value Missing",wld_az1_rack3_host1_fqdn,LEFT(wld_az1_rack3_host1_fqdn,FIND(".",wld_az1_rack3_host1_fqdn)-1))</f>
        <v>Value Missing</v>
      </c>
      <c r="P202" s="2"/>
      <c r="Q202" s="4" t="s">
        <v>1878</v>
      </c>
      <c r="R202" s="337" t="str">
        <f>IF(wld_az1_rack4_host1_fqdn="Value Missing",wld_az1_rack4_host1_fqdn,LEFT(wld_az1_rack4_host1_fqdn,FIND(".",wld_az1_rack4_host1_fqdn)-1))</f>
        <v>Value Missing</v>
      </c>
      <c r="S202" s="2"/>
      <c r="T202" s="4" t="s">
        <v>1878</v>
      </c>
      <c r="U202" s="337" t="str">
        <f>IF(wld_az1_rack5_host1_fqdn="Value Missing",wld_az1_rack5_host1_fqdn,LEFT(wld_az1_rack5_host1_fqdn,FIND(".",wld_az1_rack5_host1_fqdn)-1))</f>
        <v>Value Missing</v>
      </c>
      <c r="V202" s="2"/>
      <c r="W202" s="4" t="s">
        <v>1878</v>
      </c>
      <c r="X202" s="337" t="str">
        <f>IF(wld_az1_rack6_host1_fqdn="Value Missing",wld_az1_rack6_host1_fqdn,LEFT(wld_az1_rack6_host1_fqdn,FIND(".",wld_az1_rack6_host1_fqdn)-1))</f>
        <v>Value Missing</v>
      </c>
      <c r="Y202" s="2"/>
      <c r="Z202" s="4" t="s">
        <v>1878</v>
      </c>
      <c r="AA202" s="337" t="str">
        <f>IF(wld_az1_rack7_host1_fqdn="Value Missing",wld_az1_rack7_host1_fqdn,LEFT(wld_az1_rack7_host1_fqdn,FIND(".",wld_az1_rack7_host1_fqdn)-1))</f>
        <v>Value Missing</v>
      </c>
      <c r="AB202" s="2"/>
      <c r="AC202" s="4" t="s">
        <v>1878</v>
      </c>
      <c r="AD202" s="337" t="str">
        <f>IF(wld_az1_rack8_host1_fqdn="Value Missing",wld_az1_rack8_host1_fqdn,LEFT(wld_az1_rack8_host1_fqdn,FIND(".",wld_az1_rack8_host1_fqdn)-1))</f>
        <v>Value Missing</v>
      </c>
    </row>
    <row r="203" spans="5:30" ht="20.100000000000001" customHeight="1" x14ac:dyDescent="0.2">
      <c r="E203" s="4" t="s">
        <v>1879</v>
      </c>
      <c r="F203" s="337" t="str">
        <f>IF(ISBLANK(input_mgmt_az1_host5_vrms_ip),"Value Missing",input_mgmt_az1_host5_vrms_ip)</f>
        <v>Value Missing</v>
      </c>
      <c r="G203" s="2"/>
      <c r="H203" s="4" t="s">
        <v>1879</v>
      </c>
      <c r="I203" s="337" t="str">
        <f>IF(ISBLANK(input_wld_az1_host5_vrms_ip),"Value Missing",input_wld_az1_host5_vrms_ip)</f>
        <v>Value Missing</v>
      </c>
      <c r="J203" s="2"/>
      <c r="K203" s="4" t="s">
        <v>1880</v>
      </c>
      <c r="L203" s="337" t="str">
        <f>IF(wld_az1_rack2_host2_fqdn="Value Missing",wld_az1_rack2_host2_fqdn,LEFT(wld_az1_rack2_host2_fqdn,FIND(".",wld_az1_rack2_host2_fqdn)-1))</f>
        <v>Value Missing</v>
      </c>
      <c r="M203" s="2"/>
      <c r="N203" s="4" t="s">
        <v>1880</v>
      </c>
      <c r="O203" s="337" t="str">
        <f>IF(wld_az1_rack3_host2_fqdn="Value Missing",wld_az1_rack3_host2_fqdn,LEFT(wld_az1_rack3_host2_fqdn,FIND(".",wld_az1_rack3_host2_fqdn)-1))</f>
        <v>Value Missing</v>
      </c>
      <c r="P203" s="2"/>
      <c r="Q203" s="4" t="s">
        <v>1880</v>
      </c>
      <c r="R203" s="337" t="str">
        <f>IF(wld_az1_rack4_host2_fqdn="Value Missing",wld_az1_rack4_host2_fqdn,LEFT(wld_az1_rack4_host2_fqdn,FIND(".",wld_az1_rack4_host2_fqdn)-1))</f>
        <v>Value Missing</v>
      </c>
      <c r="S203" s="2"/>
      <c r="T203" s="4" t="s">
        <v>1880</v>
      </c>
      <c r="U203" s="337" t="str">
        <f>IF(wld_az1_rack5_host2_fqdn="Value Missing",wld_az1_rack5_host2_fqdn,LEFT(wld_az1_rack5_host2_fqdn,FIND(".",wld_az1_rack5_host2_fqdn)-1))</f>
        <v>Value Missing</v>
      </c>
      <c r="V203" s="2"/>
      <c r="W203" s="4" t="s">
        <v>1880</v>
      </c>
      <c r="X203" s="337" t="str">
        <f>IF(wld_az1_rack6_host2_fqdn="Value Missing",wld_az1_rack6_host2_fqdn,LEFT(wld_az1_rack6_host2_fqdn,FIND(".",wld_az1_rack6_host2_fqdn)-1))</f>
        <v>Value Missing</v>
      </c>
      <c r="Y203" s="2"/>
      <c r="Z203" s="4" t="s">
        <v>1880</v>
      </c>
      <c r="AA203" s="337" t="str">
        <f>IF(wld_az1_rack7_host2_fqdn="Value Missing",wld_az1_rack7_host2_fqdn,LEFT(wld_az1_rack7_host2_fqdn,FIND(".",wld_az1_rack7_host2_fqdn)-1))</f>
        <v>Value Missing</v>
      </c>
      <c r="AB203" s="2"/>
      <c r="AC203" s="4" t="s">
        <v>1880</v>
      </c>
      <c r="AD203" s="337" t="str">
        <f>IF(wld_az1_rack8_host2_fqdn="Value Missing",wld_az1_rack8_host2_fqdn,LEFT(wld_az1_rack8_host2_fqdn,FIND(".",wld_az1_rack8_host2_fqdn)-1))</f>
        <v>Value Missing</v>
      </c>
    </row>
    <row r="204" spans="5:30" ht="20.100000000000001" customHeight="1" x14ac:dyDescent="0.2">
      <c r="E204" s="4" t="s">
        <v>1881</v>
      </c>
      <c r="F204" s="337" t="str">
        <f>IF(ISBLANK(input_mgmt_az1_host6_vrms_ip),"Value Missing",input_mgmt_az1_host6_vrms_ip)</f>
        <v>Value Missing</v>
      </c>
      <c r="G204" s="2"/>
      <c r="H204" s="4" t="s">
        <v>1881</v>
      </c>
      <c r="I204" s="337" t="str">
        <f>IF(ISBLANK(input_wld_az1_host6_vrms_ip),"Value Missing",input_wld_az1_host6_vrms_ip)</f>
        <v>Value Missing</v>
      </c>
      <c r="J204" s="2"/>
      <c r="K204" s="4" t="s">
        <v>1882</v>
      </c>
      <c r="L204" s="337" t="str">
        <f>IF(wld_az1_rack2_host3_fqdn="Value Missing",wld_az1_rack2_host3_fqdn,LEFT(wld_az1_rack2_host3_fqdn,FIND(".",wld_az1_rack2_host3_fqdn)-1))</f>
        <v>Value Missing</v>
      </c>
      <c r="M204" s="2"/>
      <c r="N204" s="4" t="s">
        <v>1882</v>
      </c>
      <c r="O204" s="337" t="str">
        <f>IF(wld_az1_rack3_host3_fqdn="Value Missing",wld_az1_rack3_host3_fqdn,LEFT(wld_az1_rack3_host3_fqdn,FIND(".",wld_az1_rack3_host3_fqdn)-1))</f>
        <v>Value Missing</v>
      </c>
      <c r="P204" s="2"/>
      <c r="Q204" s="4" t="s">
        <v>1882</v>
      </c>
      <c r="R204" s="337" t="str">
        <f>IF(wld_az1_rack4_host3_fqdn="Value Missing",wld_az1_rack4_host3_fqdn,LEFT(wld_az1_rack4_host3_fqdn,FIND(".",wld_az1_rack4_host3_fqdn)-1))</f>
        <v>Value Missing</v>
      </c>
      <c r="S204" s="2"/>
      <c r="T204" s="4" t="s">
        <v>1882</v>
      </c>
      <c r="U204" s="337" t="str">
        <f>IF(wld_az1_rack5_host3_fqdn="Value Missing",wld_az1_rack5_host3_fqdn,LEFT(wld_az1_rack5_host3_fqdn,FIND(".",wld_az1_rack5_host3_fqdn)-1))</f>
        <v>Value Missing</v>
      </c>
      <c r="V204" s="2"/>
      <c r="W204" s="4" t="s">
        <v>1882</v>
      </c>
      <c r="X204" s="337" t="str">
        <f>IF(wld_az1_rack6_host3_fqdn="Value Missing",wld_az1_rack6_host3_fqdn,LEFT(wld_az1_rack6_host3_fqdn,FIND(".",wld_az1_rack6_host3_fqdn)-1))</f>
        <v>Value Missing</v>
      </c>
      <c r="Y204" s="2"/>
      <c r="Z204" s="4" t="s">
        <v>1882</v>
      </c>
      <c r="AA204" s="337" t="str">
        <f>IF(wld_az1_rack7_host3_fqdn="Value Missing",wld_az1_rack7_host3_fqdn,LEFT(wld_az1_rack7_host3_fqdn,FIND(".",wld_az1_rack7_host3_fqdn)-1))</f>
        <v>Value Missing</v>
      </c>
      <c r="AB204" s="2"/>
      <c r="AC204" s="4" t="s">
        <v>1882</v>
      </c>
      <c r="AD204" s="337" t="str">
        <f>IF(wld_az1_rack8_host3_fqdn="Value Missing",wld_az1_rack8_host3_fqdn,LEFT(wld_az1_rack8_host3_fqdn,FIND(".",wld_az1_rack8_host3_fqdn)-1))</f>
        <v>Value Missing</v>
      </c>
    </row>
    <row r="205" spans="5:30" ht="20.100000000000001" customHeight="1" x14ac:dyDescent="0.2">
      <c r="E205" s="4" t="s">
        <v>1883</v>
      </c>
      <c r="F205" s="337" t="str">
        <f>IF(ISBLANK(input_mgmt_az1_host7_vrms_ip),"Value Missing",input_mgmt_az1_host7_vrms_ip)</f>
        <v>Value Missing</v>
      </c>
      <c r="G205" s="2"/>
      <c r="H205" s="4" t="s">
        <v>1883</v>
      </c>
      <c r="I205" s="337" t="str">
        <f>IF(ISBLANK(input_wld_az1_host7_vrms_ip),"Value Missing",input_wld_az1_host7_vrms_ip)</f>
        <v>Value Missing</v>
      </c>
      <c r="J205" s="2"/>
      <c r="K205" s="4" t="s">
        <v>1884</v>
      </c>
      <c r="L205" s="337" t="str">
        <f>IF(wld_az1_rack2_host4_fqdn="Value Missing",wld_az1_rack2_host4_fqdn,LEFT(wld_az1_rack2_host4_fqdn,FIND(".",wld_az1_rack2_host4_fqdn)-1))</f>
        <v>Value Missing</v>
      </c>
      <c r="M205" s="2"/>
      <c r="N205" s="4" t="s">
        <v>1884</v>
      </c>
      <c r="O205" s="337" t="str">
        <f>IF(wld_az1_rack3_host4_fqdn="Value Missing",wld_az1_rack3_host4_fqdn,LEFT(wld_az1_rack3_host4_fqdn,FIND(".",wld_az1_rack3_host4_fqdn)-1))</f>
        <v>Value Missing</v>
      </c>
      <c r="P205" s="2"/>
      <c r="Q205" s="4" t="s">
        <v>1884</v>
      </c>
      <c r="R205" s="337" t="str">
        <f>IF(wld_az1_rack4_host4_fqdn="Value Missing",wld_az1_rack4_host4_fqdn,LEFT(wld_az1_rack4_host4_fqdn,FIND(".",wld_az1_rack4_host4_fqdn)-1))</f>
        <v>Value Missing</v>
      </c>
      <c r="S205" s="2"/>
      <c r="T205" s="4" t="s">
        <v>1884</v>
      </c>
      <c r="U205" s="337" t="str">
        <f>IF(wld_az1_rack5_host4_fqdn="Value Missing",wld_az1_rack5_host4_fqdn,LEFT(wld_az1_rack5_host4_fqdn,FIND(".",wld_az1_rack5_host4_fqdn)-1))</f>
        <v>Value Missing</v>
      </c>
      <c r="V205" s="2"/>
      <c r="W205" s="4" t="s">
        <v>1884</v>
      </c>
      <c r="X205" s="337" t="str">
        <f>IF(wld_az1_rack6_host4_fqdn="Value Missing",wld_az1_rack6_host4_fqdn,LEFT(wld_az1_rack6_host4_fqdn,FIND(".",wld_az1_rack6_host4_fqdn)-1))</f>
        <v>Value Missing</v>
      </c>
      <c r="Y205" s="2"/>
      <c r="Z205" s="4" t="s">
        <v>1884</v>
      </c>
      <c r="AA205" s="337" t="str">
        <f>IF(wld_az1_rack7_host4_fqdn="Value Missing",wld_az1_rack7_host4_fqdn,LEFT(wld_az1_rack7_host4_fqdn,FIND(".",wld_az1_rack7_host4_fqdn)-1))</f>
        <v>Value Missing</v>
      </c>
      <c r="AB205" s="2"/>
      <c r="AC205" s="4" t="s">
        <v>1884</v>
      </c>
      <c r="AD205" s="337" t="str">
        <f>IF(wld_az1_rack8_host4_fqdn="Value Missing",wld_az1_rack8_host4_fqdn,LEFT(wld_az1_rack8_host4_fqdn,FIND(".",wld_az1_rack8_host4_fqdn)-1))</f>
        <v>Value Missing</v>
      </c>
    </row>
    <row r="206" spans="5:30" ht="20.100000000000001" customHeight="1" x14ac:dyDescent="0.2">
      <c r="E206" s="4" t="s">
        <v>1885</v>
      </c>
      <c r="F206" s="337" t="str">
        <f>IF(ISBLANK(input_mgmt_az1_host8_vrms_ip),"Value Missing",input_mgmt_az1_host8_vrms_ip)</f>
        <v>Value Missing</v>
      </c>
      <c r="G206" s="2"/>
      <c r="H206" s="4" t="s">
        <v>1885</v>
      </c>
      <c r="I206" s="337" t="str">
        <f>IF(ISBLANK(input_wld_az1_host8_vrms_ip),"Value Missing",input_wld_az1_host8_vrms_ip)</f>
        <v>Value Missing</v>
      </c>
      <c r="J206" s="2"/>
      <c r="K206" s="4" t="s">
        <v>1886</v>
      </c>
      <c r="L206" s="337" t="str">
        <f>IF(wld_az1_rack2_host5_fqdn="Value Missing",wld_az1_rack2_host5_fqdn,LEFT(wld_az1_rack2_host5_fqdn,FIND(".",wld_az1_rack2_host5_fqdn)-1))</f>
        <v>Value Missing</v>
      </c>
      <c r="M206" s="2"/>
      <c r="N206" s="4" t="s">
        <v>1886</v>
      </c>
      <c r="O206" s="337" t="str">
        <f>IF(wld_az1_rack3_host5_fqdn="Value Missing",wld_az1_rack3_host5_fqdn,LEFT(wld_az1_rack3_host5_fqdn,FIND(".",wld_az1_rack3_host5_fqdn)-1))</f>
        <v>Value Missing</v>
      </c>
      <c r="P206" s="2"/>
      <c r="Q206" s="4" t="s">
        <v>1886</v>
      </c>
      <c r="R206" s="337" t="str">
        <f>IF(wld_az1_rack4_host5_fqdn="Value Missing",wld_az1_rack4_host5_fqdn,LEFT(wld_az1_rack4_host5_fqdn,FIND(".",wld_az1_rack4_host5_fqdn)-1))</f>
        <v>Value Missing</v>
      </c>
      <c r="S206" s="2"/>
      <c r="T206" s="4" t="s">
        <v>1886</v>
      </c>
      <c r="U206" s="337" t="str">
        <f>IF(wld_az1_rack5_host5_fqdn="Value Missing",wld_az1_rack5_host5_fqdn,LEFT(wld_az1_rack5_host5_fqdn,FIND(".",wld_az1_rack5_host5_fqdn)-1))</f>
        <v>Value Missing</v>
      </c>
      <c r="V206" s="2"/>
      <c r="W206" s="4" t="s">
        <v>1886</v>
      </c>
      <c r="X206" s="337" t="str">
        <f>IF(wld_az1_rack6_host5_fqdn="Value Missing",wld_az1_rack6_host5_fqdn,LEFT(wld_az1_rack6_host5_fqdn,FIND(".",wld_az1_rack6_host5_fqdn)-1))</f>
        <v>Value Missing</v>
      </c>
      <c r="Y206" s="2"/>
      <c r="Z206" s="4" t="s">
        <v>1886</v>
      </c>
      <c r="AA206" s="337" t="str">
        <f>IF(wld_az1_rack7_host5_fqdn="Value Missing",wld_az1_rack7_host5_fqdn,LEFT(wld_az1_rack7_host5_fqdn,FIND(".",wld_az1_rack7_host5_fqdn)-1))</f>
        <v>Value Missing</v>
      </c>
      <c r="AB206" s="2"/>
      <c r="AC206" s="4" t="s">
        <v>1886</v>
      </c>
      <c r="AD206" s="337" t="str">
        <f>IF(wld_az1_rack8_host5_fqdn="Value Missing",wld_az1_rack8_host5_fqdn,LEFT(wld_az1_rack8_host5_fqdn,FIND(".",wld_az1_rack8_host5_fqdn)-1))</f>
        <v>Value Missing</v>
      </c>
    </row>
    <row r="207" spans="5:30" ht="20.100000000000001" customHeight="1" x14ac:dyDescent="0.2">
      <c r="E207" s="4" t="s">
        <v>1887</v>
      </c>
      <c r="F207" s="337" t="str">
        <f>IF(ISBLANK(input_mgmt_az1_host9_vrms_ip),"Value Missing",input_mgmt_az1_host9_vrms_ip)</f>
        <v>Value Missing</v>
      </c>
      <c r="G207" s="2"/>
      <c r="H207" s="4" t="s">
        <v>1887</v>
      </c>
      <c r="I207" s="337" t="str">
        <f>IF(ISBLANK(input_wld_az1_host9_vrms_ip),"Value Missing",input_wld_az1_host9_vrms_ip)</f>
        <v>Value Missing</v>
      </c>
      <c r="J207" s="2"/>
      <c r="K207" s="4" t="s">
        <v>1888</v>
      </c>
      <c r="L207" s="337" t="str">
        <f>IF(wld_az1_rack2_host6_fqdn="Value Missing",wld_az1_rack2_host6_fqdn,LEFT(wld_az1_rack2_host6_fqdn,FIND(".",wld_az1_rack2_host6_fqdn)-1))</f>
        <v>Value Missing</v>
      </c>
      <c r="M207" s="2"/>
      <c r="N207" s="4" t="s">
        <v>1888</v>
      </c>
      <c r="O207" s="337" t="str">
        <f>IF(wld_az1_rack3_host6_fqdn="Value Missing",wld_az1_rack3_host6_fqdn,LEFT(wld_az1_rack3_host6_fqdn,FIND(".",wld_az1_rack3_host6_fqdn)-1))</f>
        <v>Value Missing</v>
      </c>
      <c r="P207" s="2"/>
      <c r="Q207" s="4" t="s">
        <v>1888</v>
      </c>
      <c r="R207" s="337" t="str">
        <f>IF(wld_az1_rack4_host6_fqdn="Value Missing",wld_az1_rack4_host6_fqdn,LEFT(wld_az1_rack4_host6_fqdn,FIND(".",wld_az1_rack4_host6_fqdn)-1))</f>
        <v>Value Missing</v>
      </c>
      <c r="S207" s="2"/>
      <c r="T207" s="4" t="s">
        <v>1888</v>
      </c>
      <c r="U207" s="337" t="str">
        <f>IF(wld_az1_rack5_host6_fqdn="Value Missing",wld_az1_rack5_host6_fqdn,LEFT(wld_az1_rack5_host6_fqdn,FIND(".",wld_az1_rack5_host6_fqdn)-1))</f>
        <v>Value Missing</v>
      </c>
      <c r="V207" s="2"/>
      <c r="W207" s="4" t="s">
        <v>1888</v>
      </c>
      <c r="X207" s="337" t="str">
        <f>IF(wld_az1_rack6_host6_fqdn="Value Missing",wld_az1_rack6_host6_fqdn,LEFT(wld_az1_rack6_host6_fqdn,FIND(".",wld_az1_rack6_host6_fqdn)-1))</f>
        <v>Value Missing</v>
      </c>
      <c r="Y207" s="2"/>
      <c r="Z207" s="4" t="s">
        <v>1888</v>
      </c>
      <c r="AA207" s="337" t="str">
        <f>IF(wld_az1_rack7_host6_fqdn="Value Missing",wld_az1_rack7_host6_fqdn,LEFT(wld_az1_rack7_host6_fqdn,FIND(".",wld_az1_rack7_host6_fqdn)-1))</f>
        <v>Value Missing</v>
      </c>
      <c r="AB207" s="2"/>
      <c r="AC207" s="4" t="s">
        <v>1888</v>
      </c>
      <c r="AD207" s="337" t="str">
        <f>IF(wld_az1_rack8_host6_fqdn="Value Missing",wld_az1_rack8_host6_fqdn,LEFT(wld_az1_rack8_host6_fqdn,FIND(".",wld_az1_rack8_host6_fqdn)-1))</f>
        <v>Value Missing</v>
      </c>
    </row>
    <row r="208" spans="5:30" ht="20.100000000000001" customHeight="1" x14ac:dyDescent="0.2">
      <c r="E208" s="4" t="s">
        <v>1889</v>
      </c>
      <c r="F208" s="337" t="str">
        <f>IF(ISBLANK(input_mgmt_az1_host10_vrms_ip),"Value Missing",input_mgmt_az1_host10_vrms_ip)</f>
        <v>Value Missing</v>
      </c>
      <c r="G208" s="2"/>
      <c r="H208" s="4" t="s">
        <v>1889</v>
      </c>
      <c r="I208" s="337" t="str">
        <f>IF(ISBLANK(input_wld_az1_host10_vrms_ip),"Value Missing",input_wld_az1_host10_vrms_ip)</f>
        <v>Value Missing</v>
      </c>
      <c r="J208" s="2"/>
      <c r="K208" s="4" t="s">
        <v>1890</v>
      </c>
      <c r="L208" s="337" t="str">
        <f>IF(wld_az1_rack2_host7_fqdn="Value Missing",wld_az1_rack2_host7_fqdn,LEFT(wld_az1_rack2_host7_fqdn,FIND(".",wld_az1_rack2_host7_fqdn)-1))</f>
        <v>Value Missing</v>
      </c>
      <c r="M208" s="2"/>
      <c r="N208" s="4" t="s">
        <v>1890</v>
      </c>
      <c r="O208" s="337" t="str">
        <f>IF(wld_az1_rack3_host7_fqdn="Value Missing",wld_az1_rack3_host7_fqdn,LEFT(wld_az1_rack3_host7_fqdn,FIND(".",wld_az1_rack3_host7_fqdn)-1))</f>
        <v>Value Missing</v>
      </c>
      <c r="P208" s="2"/>
      <c r="Q208" s="4" t="s">
        <v>1890</v>
      </c>
      <c r="R208" s="337" t="str">
        <f>IF(wld_az1_rack4_host7_fqdn="Value Missing",wld_az1_rack4_host7_fqdn,LEFT(wld_az1_rack4_host7_fqdn,FIND(".",wld_az1_rack4_host7_fqdn)-1))</f>
        <v>Value Missing</v>
      </c>
      <c r="S208" s="2"/>
      <c r="T208" s="4" t="s">
        <v>1890</v>
      </c>
      <c r="U208" s="337" t="str">
        <f>IF(wld_az1_rack5_host7_fqdn="Value Missing",wld_az1_rack5_host7_fqdn,LEFT(wld_az1_rack5_host7_fqdn,FIND(".",wld_az1_rack5_host7_fqdn)-1))</f>
        <v>Value Missing</v>
      </c>
      <c r="V208" s="2"/>
      <c r="W208" s="4" t="s">
        <v>1890</v>
      </c>
      <c r="X208" s="337" t="str">
        <f>IF(wld_az1_rack6_host7_fqdn="Value Missing",wld_az1_rack6_host7_fqdn,LEFT(wld_az1_rack6_host7_fqdn,FIND(".",wld_az1_rack6_host7_fqdn)-1))</f>
        <v>Value Missing</v>
      </c>
      <c r="Y208" s="2"/>
      <c r="Z208" s="4" t="s">
        <v>1890</v>
      </c>
      <c r="AA208" s="337" t="str">
        <f>IF(wld_az1_rack7_host7_fqdn="Value Missing",wld_az1_rack7_host7_fqdn,LEFT(wld_az1_rack7_host7_fqdn,FIND(".",wld_az1_rack7_host7_fqdn)-1))</f>
        <v>Value Missing</v>
      </c>
      <c r="AB208" s="2"/>
      <c r="AC208" s="4" t="s">
        <v>1890</v>
      </c>
      <c r="AD208" s="337" t="str">
        <f>IF(wld_az1_rack8_host7_fqdn="Value Missing",wld_az1_rack8_host7_fqdn,LEFT(wld_az1_rack8_host7_fqdn,FIND(".",wld_az1_rack8_host7_fqdn)-1))</f>
        <v>Value Missing</v>
      </c>
    </row>
    <row r="209" spans="5:30" ht="20.100000000000001" customHeight="1" x14ac:dyDescent="0.2">
      <c r="E209" s="4" t="s">
        <v>1891</v>
      </c>
      <c r="F209" s="337" t="str">
        <f>IF(ISBLANK(input_mgmt_az1_host11_vrms_ip),"Value Missing",input_mgmt_az1_host11_vrms_ip)</f>
        <v>Value Missing</v>
      </c>
      <c r="G209" s="2"/>
      <c r="H209" s="4" t="s">
        <v>1891</v>
      </c>
      <c r="I209" s="337" t="str">
        <f>IF(ISBLANK(input_wld_az1_host11_vrms_ip),"Value Missing",input_wld_az1_host11_vrms_ip)</f>
        <v>Value Missing</v>
      </c>
      <c r="J209" s="2"/>
      <c r="K209" s="4" t="s">
        <v>1892</v>
      </c>
      <c r="L209" s="337" t="str">
        <f>IF(wld_az1_rack2_host8_fqdn="Value Missing",wld_az1_rack2_host8_fqdn,LEFT(wld_az1_rack2_host8_fqdn,FIND(".",wld_az1_rack2_host8_fqdn)-1))</f>
        <v>Value Missing</v>
      </c>
      <c r="M209" s="2"/>
      <c r="N209" s="4" t="s">
        <v>1892</v>
      </c>
      <c r="O209" s="337" t="str">
        <f>IF(wld_az1_rack3_host8_fqdn="Value Missing",wld_az1_rack3_host8_fqdn,LEFT(wld_az1_rack3_host8_fqdn,FIND(".",wld_az1_rack3_host8_fqdn)-1))</f>
        <v>Value Missing</v>
      </c>
      <c r="P209" s="2"/>
      <c r="Q209" s="4" t="s">
        <v>1892</v>
      </c>
      <c r="R209" s="337" t="str">
        <f>IF(wld_az1_rack4_host8_fqdn="Value Missing",wld_az1_rack4_host8_fqdn,LEFT(wld_az1_rack4_host8_fqdn,FIND(".",wld_az1_rack4_host8_fqdn)-1))</f>
        <v>Value Missing</v>
      </c>
      <c r="S209" s="2"/>
      <c r="T209" s="4" t="s">
        <v>1892</v>
      </c>
      <c r="U209" s="337" t="str">
        <f>IF(wld_az1_rack5_host8_fqdn="Value Missing",wld_az1_rack5_host8_fqdn,LEFT(wld_az1_rack5_host8_fqdn,FIND(".",wld_az1_rack5_host8_fqdn)-1))</f>
        <v>Value Missing</v>
      </c>
      <c r="V209" s="2"/>
      <c r="W209" s="4" t="s">
        <v>1892</v>
      </c>
      <c r="X209" s="337" t="str">
        <f>IF(wld_az1_rack6_host8_fqdn="Value Missing",wld_az1_rack6_host8_fqdn,LEFT(wld_az1_rack6_host8_fqdn,FIND(".",wld_az1_rack6_host8_fqdn)-1))</f>
        <v>Value Missing</v>
      </c>
      <c r="Y209" s="2"/>
      <c r="Z209" s="4" t="s">
        <v>1892</v>
      </c>
      <c r="AA209" s="337" t="str">
        <f>IF(wld_az1_rack7_host8_fqdn="Value Missing",wld_az1_rack7_host8_fqdn,LEFT(wld_az1_rack7_host8_fqdn,FIND(".",wld_az1_rack7_host8_fqdn)-1))</f>
        <v>Value Missing</v>
      </c>
      <c r="AB209" s="2"/>
      <c r="AC209" s="4" t="s">
        <v>1892</v>
      </c>
      <c r="AD209" s="337" t="str">
        <f>IF(wld_az1_rack8_host8_fqdn="Value Missing",wld_az1_rack8_host8_fqdn,LEFT(wld_az1_rack8_host8_fqdn,FIND(".",wld_az1_rack8_host8_fqdn)-1))</f>
        <v>Value Missing</v>
      </c>
    </row>
    <row r="210" spans="5:30" ht="20.100000000000001" customHeight="1" x14ac:dyDescent="0.2">
      <c r="E210" s="4" t="s">
        <v>1893</v>
      </c>
      <c r="F210" s="337" t="str">
        <f>IF(ISBLANK(input_mgmt_az1_host12_vrms_ip),"Value Missing",input_mgmt_az1_host12_vrms_ip)</f>
        <v>Value Missing</v>
      </c>
      <c r="G210" s="2"/>
      <c r="H210" s="4" t="s">
        <v>1893</v>
      </c>
      <c r="I210" s="337" t="str">
        <f>IF(ISBLANK(input_wld_az1_host12_vrms_ip),"Value Missing",input_wld_az1_host12_vrms_ip)</f>
        <v>Value Missing</v>
      </c>
      <c r="J210" s="2"/>
      <c r="K210" s="4" t="s">
        <v>1894</v>
      </c>
      <c r="L210" s="337" t="str">
        <f>IF(wld_az1_rack2_host9_fqdn="Value Missing",wld_az1_rack2_host9_fqdn,LEFT(wld_az1_rack2_host9_fqdn,FIND(".",wld_az1_rack2_host9_fqdn)-1))</f>
        <v>Value Missing</v>
      </c>
      <c r="M210" s="2"/>
      <c r="N210" s="4" t="s">
        <v>1894</v>
      </c>
      <c r="O210" s="337" t="str">
        <f>IF(wld_az1_rack3_host9_fqdn="Value Missing",wld_az1_rack3_host9_fqdn,LEFT(wld_az1_rack3_host9_fqdn,FIND(".",wld_az1_rack3_host9_fqdn)-1))</f>
        <v>Value Missing</v>
      </c>
      <c r="P210" s="2"/>
      <c r="Q210" s="4" t="s">
        <v>1894</v>
      </c>
      <c r="R210" s="337" t="str">
        <f>IF(wld_az1_rack4_host9_fqdn="Value Missing",wld_az1_rack4_host9_fqdn,LEFT(wld_az1_rack4_host9_fqdn,FIND(".",wld_az1_rack4_host9_fqdn)-1))</f>
        <v>Value Missing</v>
      </c>
      <c r="S210" s="2"/>
      <c r="T210" s="4" t="s">
        <v>1894</v>
      </c>
      <c r="U210" s="337" t="str">
        <f>IF(wld_az1_rack5_host9_fqdn="Value Missing",wld_az1_rack5_host9_fqdn,LEFT(wld_az1_rack5_host9_fqdn,FIND(".",wld_az1_rack5_host9_fqdn)-1))</f>
        <v>Value Missing</v>
      </c>
      <c r="V210" s="2"/>
      <c r="W210" s="4" t="s">
        <v>1894</v>
      </c>
      <c r="X210" s="337" t="str">
        <f>IF(wld_az1_rack6_host9_fqdn="Value Missing",wld_az1_rack6_host9_fqdn,LEFT(wld_az1_rack6_host9_fqdn,FIND(".",wld_az1_rack6_host9_fqdn)-1))</f>
        <v>Value Missing</v>
      </c>
      <c r="Y210" s="2"/>
      <c r="Z210" s="4" t="s">
        <v>1894</v>
      </c>
      <c r="AA210" s="337" t="str">
        <f>IF(wld_az1_rack7_host9_fqdn="Value Missing",wld_az1_rack7_host9_fqdn,LEFT(wld_az1_rack7_host9_fqdn,FIND(".",wld_az1_rack7_host9_fqdn)-1))</f>
        <v>Value Missing</v>
      </c>
      <c r="AB210" s="2"/>
      <c r="AC210" s="4" t="s">
        <v>1894</v>
      </c>
      <c r="AD210" s="337" t="str">
        <f>IF(wld_az1_rack8_host9_fqdn="Value Missing",wld_az1_rack8_host9_fqdn,LEFT(wld_az1_rack8_host9_fqdn,FIND(".",wld_az1_rack8_host9_fqdn)-1))</f>
        <v>Value Missing</v>
      </c>
    </row>
    <row r="211" spans="5:30" ht="20.100000000000001" customHeight="1" x14ac:dyDescent="0.2">
      <c r="E211" s="4" t="s">
        <v>1895</v>
      </c>
      <c r="F211" s="337" t="str">
        <f>IF(ISBLANK(input_mgmt_az1_host13_vrms_ip),"Value Missing",input_mgmt_az1_host13_vrms_ip)</f>
        <v>Value Missing</v>
      </c>
      <c r="G211" s="2"/>
      <c r="H211" s="4" t="s">
        <v>1895</v>
      </c>
      <c r="I211" s="337" t="str">
        <f>IF(ISBLANK(input_wld_az1_host13_vrms_ip),"Value Missing",input_wld_az1_host13_vrms_ip)</f>
        <v>Value Missing</v>
      </c>
      <c r="J211" s="2"/>
      <c r="K211" s="4" t="s">
        <v>1896</v>
      </c>
      <c r="L211" s="337" t="str">
        <f>IF(wld_az1_rack2_host10_fqdn="Value Missing",wld_az1_rack2_host10_fqdn,LEFT(wld_az1_rack2_host10_fqdn,FIND(".",wld_az1_rack2_host10_fqdn)-1))</f>
        <v>Value Missing</v>
      </c>
      <c r="M211" s="2"/>
      <c r="N211" s="4" t="s">
        <v>1896</v>
      </c>
      <c r="O211" s="337" t="str">
        <f>IF(wld_az1_rack3_host10_fqdn="Value Missing",wld_az1_rack3_host10_fqdn,LEFT(wld_az1_rack3_host10_fqdn,FIND(".",wld_az1_rack3_host10_fqdn)-1))</f>
        <v>Value Missing</v>
      </c>
      <c r="P211" s="2"/>
      <c r="Q211" s="4" t="s">
        <v>1896</v>
      </c>
      <c r="R211" s="337" t="str">
        <f>IF(wld_az1_rack4_host10_fqdn="Value Missing",wld_az1_rack4_host10_fqdn,LEFT(wld_az1_rack4_host10_fqdn,FIND(".",wld_az1_rack4_host10_fqdn)-1))</f>
        <v>Value Missing</v>
      </c>
      <c r="S211" s="2"/>
      <c r="T211" s="4" t="s">
        <v>1896</v>
      </c>
      <c r="U211" s="337" t="str">
        <f>IF(wld_az1_rack5_host10_fqdn="Value Missing",wld_az1_rack5_host10_fqdn,LEFT(wld_az1_rack5_host10_fqdn,FIND(".",wld_az1_rack5_host10_fqdn)-1))</f>
        <v>Value Missing</v>
      </c>
      <c r="V211" s="2"/>
      <c r="W211" s="4" t="s">
        <v>1896</v>
      </c>
      <c r="X211" s="337" t="str">
        <f>IF(wld_az1_rack6_host10_fqdn="Value Missing",wld_az1_rack6_host10_fqdn,LEFT(wld_az1_rack6_host10_fqdn,FIND(".",wld_az1_rack6_host10_fqdn)-1))</f>
        <v>Value Missing</v>
      </c>
      <c r="Y211" s="2"/>
      <c r="Z211" s="4" t="s">
        <v>1896</v>
      </c>
      <c r="AA211" s="337" t="str">
        <f>IF(wld_az1_rack7_host10_fqdn="Value Missing",wld_az1_rack7_host10_fqdn,LEFT(wld_az1_rack7_host10_fqdn,FIND(".",wld_az1_rack7_host10_fqdn)-1))</f>
        <v>Value Missing</v>
      </c>
      <c r="AB211" s="2"/>
      <c r="AC211" s="4" t="s">
        <v>1896</v>
      </c>
      <c r="AD211" s="337" t="str">
        <f>IF(wld_az1_rack8_host10_fqdn="Value Missing",wld_az1_rack8_host10_fqdn,LEFT(wld_az1_rack8_host10_fqdn,FIND(".",wld_az1_rack8_host10_fqdn)-1))</f>
        <v>Value Missing</v>
      </c>
    </row>
    <row r="212" spans="5:30" ht="20.100000000000001" customHeight="1" x14ac:dyDescent="0.2">
      <c r="E212" s="4" t="s">
        <v>1897</v>
      </c>
      <c r="F212" s="337" t="str">
        <f>IF(ISBLANK(input_mgmt_az1_host14_vrms_ip),"Value Missing",input_mgmt_az1_host14_vrms_ip)</f>
        <v>Value Missing</v>
      </c>
      <c r="G212" s="15"/>
      <c r="H212" s="4" t="s">
        <v>1897</v>
      </c>
      <c r="I212" s="337" t="str">
        <f>IF(ISBLANK(input_wld_az1_host14_vrms_ip),"Value Missing",input_wld_az1_host14_vrms_ip)</f>
        <v>Value Missing</v>
      </c>
      <c r="J212" s="15"/>
      <c r="K212" s="4" t="s">
        <v>1898</v>
      </c>
      <c r="L212" s="337" t="str">
        <f>IF(wld_az1_rack2_host11_fqdn="Value Missing",wld_az1_rack2_host11_fqdn,LEFT(wld_az1_rack2_host11_fqdn,FIND(".",wld_az1_rack2_host11_fqdn)-1))</f>
        <v>Value Missing</v>
      </c>
      <c r="M212" s="2"/>
      <c r="N212" s="4" t="s">
        <v>1898</v>
      </c>
      <c r="O212" s="337" t="str">
        <f>IF(wld_az1_rack3_host11_fqdn="Value Missing",wld_az1_rack3_host11_fqdn,LEFT(wld_az1_rack3_host11_fqdn,FIND(".",wld_az1_rack3_host11_fqdn)-1))</f>
        <v>Value Missing</v>
      </c>
      <c r="P212" s="2"/>
      <c r="Q212" s="4" t="s">
        <v>1898</v>
      </c>
      <c r="R212" s="337" t="str">
        <f>IF(wld_az1_rack4_host11_fqdn="Value Missing",wld_az1_rack4_host11_fqdn,LEFT(wld_az1_rack4_host11_fqdn,FIND(".",wld_az1_rack4_host11_fqdn)-1))</f>
        <v>Value Missing</v>
      </c>
      <c r="S212" s="2"/>
      <c r="T212" s="4" t="s">
        <v>1898</v>
      </c>
      <c r="U212" s="337" t="str">
        <f>IF(wld_az1_rack5_host11_fqdn="Value Missing",wld_az1_rack5_host11_fqdn,LEFT(wld_az1_rack5_host11_fqdn,FIND(".",wld_az1_rack5_host11_fqdn)-1))</f>
        <v>Value Missing</v>
      </c>
      <c r="V212" s="2"/>
      <c r="W212" s="4" t="s">
        <v>1898</v>
      </c>
      <c r="X212" s="337" t="str">
        <f>IF(wld_az1_rack6_host11_fqdn="Value Missing",wld_az1_rack6_host11_fqdn,LEFT(wld_az1_rack6_host11_fqdn,FIND(".",wld_az1_rack6_host11_fqdn)-1))</f>
        <v>Value Missing</v>
      </c>
      <c r="Y212" s="2"/>
      <c r="Z212" s="4" t="s">
        <v>1898</v>
      </c>
      <c r="AA212" s="337" t="str">
        <f>IF(wld_az1_rack7_host11_fqdn="Value Missing",wld_az1_rack7_host11_fqdn,LEFT(wld_az1_rack7_host11_fqdn,FIND(".",wld_az1_rack7_host11_fqdn)-1))</f>
        <v>Value Missing</v>
      </c>
      <c r="AB212" s="2"/>
      <c r="AC212" s="4" t="s">
        <v>1898</v>
      </c>
      <c r="AD212" s="337" t="str">
        <f>IF(wld_az1_rack8_host11_fqdn="Value Missing",wld_az1_rack8_host11_fqdn,LEFT(wld_az1_rack8_host11_fqdn,FIND(".",wld_az1_rack8_host11_fqdn)-1))</f>
        <v>Value Missing</v>
      </c>
    </row>
    <row r="213" spans="5:30" ht="20.100000000000001" customHeight="1" x14ac:dyDescent="0.2">
      <c r="E213" s="4" t="s">
        <v>1899</v>
      </c>
      <c r="F213" s="337" t="str">
        <f>IF(ISBLANK(input_mgmt_az1_host15_vrms_ip),"Value Missing",input_mgmt_az1_host15_vrms_ip)</f>
        <v>Value Missing</v>
      </c>
      <c r="G213" s="2"/>
      <c r="H213" s="4" t="s">
        <v>1899</v>
      </c>
      <c r="I213" s="337" t="str">
        <f>IF(ISBLANK(input_wld_az1_host15_vrms_ip),"Value Missing",input_wld_az1_host15_vrms_ip)</f>
        <v>Value Missing</v>
      </c>
      <c r="J213" s="2"/>
      <c r="K213" s="4" t="s">
        <v>1900</v>
      </c>
      <c r="L213" s="337" t="str">
        <f>IF(wld_az1_rack2_host12_fqdn="Value Missing",wld_az1_rack2_host12_fqdn,LEFT(wld_az1_rack2_host12_fqdn,FIND(".",wld_az1_rack2_host12_fqdn)-1))</f>
        <v>Value Missing</v>
      </c>
      <c r="M213" s="2"/>
      <c r="N213" s="4" t="s">
        <v>1900</v>
      </c>
      <c r="O213" s="337" t="str">
        <f>IF(wld_az1_rack3_host12_fqdn="Value Missing",wld_az1_rack3_host12_fqdn,LEFT(wld_az1_rack3_host12_fqdn,FIND(".",wld_az1_rack3_host12_fqdn)-1))</f>
        <v>Value Missing</v>
      </c>
      <c r="P213" s="2"/>
      <c r="Q213" s="4" t="s">
        <v>1900</v>
      </c>
      <c r="R213" s="337" t="str">
        <f>IF(wld_az1_rack4_host12_fqdn="Value Missing",wld_az1_rack4_host12_fqdn,LEFT(wld_az1_rack4_host12_fqdn,FIND(".",wld_az1_rack4_host12_fqdn)-1))</f>
        <v>Value Missing</v>
      </c>
      <c r="S213" s="2"/>
      <c r="T213" s="4" t="s">
        <v>1900</v>
      </c>
      <c r="U213" s="337" t="str">
        <f>IF(wld_az1_rack5_host12_fqdn="Value Missing",wld_az1_rack5_host12_fqdn,LEFT(wld_az1_rack5_host12_fqdn,FIND(".",wld_az1_rack5_host12_fqdn)-1))</f>
        <v>Value Missing</v>
      </c>
      <c r="V213" s="2"/>
      <c r="W213" s="4" t="s">
        <v>1900</v>
      </c>
      <c r="X213" s="337" t="str">
        <f>IF(wld_az1_rack6_host12_fqdn="Value Missing",wld_az1_rack6_host12_fqdn,LEFT(wld_az1_rack6_host12_fqdn,FIND(".",wld_az1_rack6_host12_fqdn)-1))</f>
        <v>Value Missing</v>
      </c>
      <c r="Y213" s="2"/>
      <c r="Z213" s="4" t="s">
        <v>1900</v>
      </c>
      <c r="AA213" s="337" t="str">
        <f>IF(wld_az1_rack7_host12_fqdn="Value Missing",wld_az1_rack7_host12_fqdn,LEFT(wld_az1_rack7_host12_fqdn,FIND(".",wld_az1_rack7_host12_fqdn)-1))</f>
        <v>Value Missing</v>
      </c>
      <c r="AB213" s="2"/>
      <c r="AC213" s="4" t="s">
        <v>1900</v>
      </c>
      <c r="AD213" s="337" t="str">
        <f>IF(wld_az1_rack8_host12_fqdn="Value Missing",wld_az1_rack8_host12_fqdn,LEFT(wld_az1_rack8_host12_fqdn,FIND(".",wld_az1_rack8_host12_fqdn)-1))</f>
        <v>Value Missing</v>
      </c>
    </row>
    <row r="214" spans="5:30" ht="20.100000000000001" customHeight="1" x14ac:dyDescent="0.2">
      <c r="E214" s="4" t="s">
        <v>1901</v>
      </c>
      <c r="F214" s="337" t="str">
        <f>IF(ISBLANK(input_mgmt_az1_host16_vrms_ip),"Value Missing",input_mgmt_az1_host16_vrms_ip)</f>
        <v>Value Missing</v>
      </c>
      <c r="G214" s="2"/>
      <c r="H214" s="4" t="s">
        <v>1901</v>
      </c>
      <c r="I214" s="337" t="str">
        <f>IF(ISBLANK(input_wld_az1_host16_vrms_ip),"Value Missing",input_wld_az1_host16_vrms_ip)</f>
        <v>Value Missing</v>
      </c>
      <c r="J214" s="2"/>
      <c r="K214" s="4" t="s">
        <v>1902</v>
      </c>
      <c r="L214" s="337" t="str">
        <f>IF(wld_az1_rack2_host13_fqdn="Value Missing",wld_az1_rack2_host13_fqdn,LEFT(wld_az1_rack2_host13_fqdn,FIND(".",wld_az1_rack2_host13_fqdn)-1))</f>
        <v>Value Missing</v>
      </c>
      <c r="M214" s="2"/>
      <c r="N214" s="4" t="s">
        <v>1902</v>
      </c>
      <c r="O214" s="337" t="str">
        <f>IF(wld_az1_rack3_host13_fqdn="Value Missing",wld_az1_rack3_host13_fqdn,LEFT(wld_az1_rack3_host13_fqdn,FIND(".",wld_az1_rack3_host13_fqdn)-1))</f>
        <v>Value Missing</v>
      </c>
      <c r="P214" s="2"/>
      <c r="Q214" s="4" t="s">
        <v>1902</v>
      </c>
      <c r="R214" s="337" t="str">
        <f>IF(wld_az1_rack4_host13_fqdn="Value Missing",wld_az1_rack4_host13_fqdn,LEFT(wld_az1_rack4_host13_fqdn,FIND(".",wld_az1_rack4_host13_fqdn)-1))</f>
        <v>Value Missing</v>
      </c>
      <c r="S214" s="2"/>
      <c r="T214" s="4" t="s">
        <v>1902</v>
      </c>
      <c r="U214" s="337" t="str">
        <f>IF(wld_az1_rack5_host13_fqdn="Value Missing",wld_az1_rack5_host13_fqdn,LEFT(wld_az1_rack5_host13_fqdn,FIND(".",wld_az1_rack5_host13_fqdn)-1))</f>
        <v>Value Missing</v>
      </c>
      <c r="V214" s="2"/>
      <c r="W214" s="4" t="s">
        <v>1902</v>
      </c>
      <c r="X214" s="337" t="str">
        <f>IF(wld_az1_rack6_host13_fqdn="Value Missing",wld_az1_rack6_host13_fqdn,LEFT(wld_az1_rack6_host13_fqdn,FIND(".",wld_az1_rack6_host13_fqdn)-1))</f>
        <v>Value Missing</v>
      </c>
      <c r="Y214" s="2"/>
      <c r="Z214" s="4" t="s">
        <v>1902</v>
      </c>
      <c r="AA214" s="337" t="str">
        <f>IF(wld_az1_rack7_host13_fqdn="Value Missing",wld_az1_rack7_host13_fqdn,LEFT(wld_az1_rack7_host13_fqdn,FIND(".",wld_az1_rack7_host13_fqdn)-1))</f>
        <v>Value Missing</v>
      </c>
      <c r="AB214" s="2"/>
      <c r="AC214" s="4" t="s">
        <v>1902</v>
      </c>
      <c r="AD214" s="337" t="str">
        <f>IF(wld_az1_rack8_host13_fqdn="Value Missing",wld_az1_rack8_host13_fqdn,LEFT(wld_az1_rack8_host13_fqdn,FIND(".",wld_az1_rack8_host13_fqdn)-1))</f>
        <v>Value Missing</v>
      </c>
    </row>
    <row r="215" spans="5:30" ht="20.100000000000001" customHeight="1" x14ac:dyDescent="0.2">
      <c r="E215" s="2"/>
      <c r="F215" s="2"/>
      <c r="G215" s="2"/>
      <c r="H215" s="2"/>
      <c r="I215" s="2"/>
      <c r="J215" s="2"/>
      <c r="K215" s="4" t="s">
        <v>1903</v>
      </c>
      <c r="L215" s="337" t="str">
        <f>IF(wld_az1_rack2_host14_fqdn="Value Missing",wld_az1_rack2_host14_fqdn,LEFT(wld_az1_rack2_host14_fqdn,FIND(".",wld_az1_rack2_host14_fqdn)-1))</f>
        <v>Value Missing</v>
      </c>
      <c r="M215" s="15"/>
      <c r="N215" s="4" t="s">
        <v>1903</v>
      </c>
      <c r="O215" s="337" t="str">
        <f>IF(wld_az1_rack3_host14_fqdn="Value Missing",wld_az1_rack3_host14_fqdn,LEFT(wld_az1_rack3_host14_fqdn,FIND(".",wld_az1_rack3_host14_fqdn)-1))</f>
        <v>Value Missing</v>
      </c>
      <c r="P215" s="2"/>
      <c r="Q215" s="4" t="s">
        <v>1903</v>
      </c>
      <c r="R215" s="337" t="str">
        <f>IF(wld_az1_rack4_host14_fqdn="Value Missing",wld_az1_rack4_host14_fqdn,LEFT(wld_az1_rack4_host14_fqdn,FIND(".",wld_az1_rack4_host14_fqdn)-1))</f>
        <v>Value Missing</v>
      </c>
      <c r="S215" s="2"/>
      <c r="T215" s="4" t="s">
        <v>1903</v>
      </c>
      <c r="U215" s="337" t="str">
        <f>IF(wld_az1_rack5_host14_fqdn="Value Missing",wld_az1_rack5_host14_fqdn,LEFT(wld_az1_rack5_host14_fqdn,FIND(".",wld_az1_rack5_host14_fqdn)-1))</f>
        <v>Value Missing</v>
      </c>
      <c r="V215" s="2"/>
      <c r="W215" s="4" t="s">
        <v>1903</v>
      </c>
      <c r="X215" s="337" t="str">
        <f>IF(wld_az1_rack6_host14_fqdn="Value Missing",wld_az1_rack6_host14_fqdn,LEFT(wld_az1_rack6_host14_fqdn,FIND(".",wld_az1_rack6_host14_fqdn)-1))</f>
        <v>Value Missing</v>
      </c>
      <c r="Y215" s="2"/>
      <c r="Z215" s="4" t="s">
        <v>1903</v>
      </c>
      <c r="AA215" s="337" t="str">
        <f>IF(wld_az1_rack7_host14_fqdn="Value Missing",wld_az1_rack7_host14_fqdn,LEFT(wld_az1_rack7_host14_fqdn,FIND(".",wld_az1_rack7_host14_fqdn)-1))</f>
        <v>Value Missing</v>
      </c>
      <c r="AB215" s="2"/>
      <c r="AC215" s="4" t="s">
        <v>1903</v>
      </c>
      <c r="AD215" s="337" t="str">
        <f>IF(wld_az1_rack8_host14_fqdn="Value Missing",wld_az1_rack8_host14_fqdn,LEFT(wld_az1_rack8_host14_fqdn,FIND(".",wld_az1_rack8_host14_fqdn)-1))</f>
        <v>Value Missing</v>
      </c>
    </row>
    <row r="216" spans="5:30" ht="20.100000000000001" customHeight="1" x14ac:dyDescent="0.2">
      <c r="E216" s="572" t="s">
        <v>1904</v>
      </c>
      <c r="F216" s="573"/>
      <c r="G216" s="2"/>
      <c r="H216" s="572" t="s">
        <v>1905</v>
      </c>
      <c r="I216" s="573"/>
      <c r="J216" s="2"/>
      <c r="K216" s="4" t="s">
        <v>1906</v>
      </c>
      <c r="L216" s="337" t="str">
        <f>IF(wld_az1_rack2_host15_fqdn="Value Missing",wld_az1_rack2_host15_fqdn,LEFT(wld_az1_rack2_host15_fqdn,FIND(".",wld_az1_rack2_host15_fqdn)-1))</f>
        <v>Value Missing</v>
      </c>
      <c r="M216" s="2"/>
      <c r="N216" s="4" t="s">
        <v>1906</v>
      </c>
      <c r="O216" s="337" t="str">
        <f>IF(wld_az1_rack3_host15_fqdn="Value Missing",wld_az1_rack3_host15_fqdn,LEFT(wld_az1_rack3_host15_fqdn,FIND(".",wld_az1_rack3_host15_fqdn)-1))</f>
        <v>Value Missing</v>
      </c>
      <c r="P216" s="2"/>
      <c r="Q216" s="4" t="s">
        <v>1906</v>
      </c>
      <c r="R216" s="337" t="str">
        <f>IF(wld_az1_rack4_host15_fqdn="Value Missing",wld_az1_rack4_host15_fqdn,LEFT(wld_az1_rack4_host15_fqdn,FIND(".",wld_az1_rack4_host15_fqdn)-1))</f>
        <v>Value Missing</v>
      </c>
      <c r="S216" s="2"/>
      <c r="T216" s="4" t="s">
        <v>1906</v>
      </c>
      <c r="U216" s="337" t="str">
        <f>IF(wld_az1_rack5_host15_fqdn="Value Missing",wld_az1_rack5_host15_fqdn,LEFT(wld_az1_rack5_host15_fqdn,FIND(".",wld_az1_rack5_host15_fqdn)-1))</f>
        <v>Value Missing</v>
      </c>
      <c r="V216" s="2"/>
      <c r="W216" s="4" t="s">
        <v>1906</v>
      </c>
      <c r="X216" s="337" t="str">
        <f>IF(wld_az1_rack6_host15_fqdn="Value Missing",wld_az1_rack6_host15_fqdn,LEFT(wld_az1_rack6_host15_fqdn,FIND(".",wld_az1_rack6_host15_fqdn)-1))</f>
        <v>Value Missing</v>
      </c>
      <c r="Y216" s="2"/>
      <c r="Z216" s="4" t="s">
        <v>1906</v>
      </c>
      <c r="AA216" s="337" t="str">
        <f>IF(wld_az1_rack7_host15_fqdn="Value Missing",wld_az1_rack7_host15_fqdn,LEFT(wld_az1_rack7_host15_fqdn,FIND(".",wld_az1_rack7_host15_fqdn)-1))</f>
        <v>Value Missing</v>
      </c>
      <c r="AB216" s="2"/>
      <c r="AC216" s="4" t="s">
        <v>1906</v>
      </c>
      <c r="AD216" s="337" t="str">
        <f>IF(wld_az1_rack8_host15_fqdn="Value Missing",wld_az1_rack8_host15_fqdn,LEFT(wld_az1_rack8_host15_fqdn,FIND(".",wld_az1_rack8_host15_fqdn)-1))</f>
        <v>Value Missing</v>
      </c>
    </row>
    <row r="217" spans="5:30" ht="20.100000000000001" customHeight="1" x14ac:dyDescent="0.2">
      <c r="E217" s="11" t="s">
        <v>259</v>
      </c>
      <c r="F217" s="14" t="s">
        <v>1652</v>
      </c>
      <c r="G217" s="2"/>
      <c r="H217" s="11" t="s">
        <v>259</v>
      </c>
      <c r="I217" s="14" t="s">
        <v>277</v>
      </c>
      <c r="J217" s="2"/>
      <c r="K217" s="4" t="s">
        <v>1907</v>
      </c>
      <c r="L217" s="337" t="str">
        <f>IF(wld_az1_rack2_host16_fqdn="Value Missing",wld_az1_rack2_host16_fqdn,LEFT(wld_az1_rack2_host16_fqdn,FIND(".",wld_az1_rack2_host16_fqdn)-1))</f>
        <v>Value Missing</v>
      </c>
      <c r="M217" s="2"/>
      <c r="N217" s="4" t="s">
        <v>1907</v>
      </c>
      <c r="O217" s="337" t="str">
        <f>IF(wld_az1_rack3_host16_fqdn="Value Missing",wld_az1_rack3_host16_fqdn,LEFT(wld_az1_rack3_host16_fqdn,FIND(".",wld_az1_rack3_host16_fqdn)-1))</f>
        <v>Value Missing</v>
      </c>
      <c r="P217" s="2"/>
      <c r="Q217" s="4" t="s">
        <v>1907</v>
      </c>
      <c r="R217" s="337" t="str">
        <f>IF(wld_az1_rack4_host16_fqdn="Value Missing",wld_az1_rack4_host16_fqdn,LEFT(wld_az1_rack4_host16_fqdn,FIND(".",wld_az1_rack4_host16_fqdn)-1))</f>
        <v>Value Missing</v>
      </c>
      <c r="S217" s="2"/>
      <c r="T217" s="4" t="s">
        <v>1907</v>
      </c>
      <c r="U217" s="337" t="str">
        <f>IF(wld_az1_rack5_host16_fqdn="Value Missing",wld_az1_rack5_host16_fqdn,LEFT(wld_az1_rack5_host16_fqdn,FIND(".",wld_az1_rack5_host16_fqdn)-1))</f>
        <v>Value Missing</v>
      </c>
      <c r="V217" s="2"/>
      <c r="W217" s="4" t="s">
        <v>1907</v>
      </c>
      <c r="X217" s="337" t="str">
        <f>IF(wld_az1_rack6_host16_fqdn="Value Missing",wld_az1_rack6_host16_fqdn,LEFT(wld_az1_rack6_host16_fqdn,FIND(".",wld_az1_rack6_host16_fqdn)-1))</f>
        <v>Value Missing</v>
      </c>
      <c r="Y217" s="2"/>
      <c r="Z217" s="4" t="s">
        <v>1907</v>
      </c>
      <c r="AA217" s="337" t="str">
        <f>IF(wld_az1_rack7_host16_fqdn="Value Missing",wld_az1_rack7_host16_fqdn,LEFT(wld_az1_rack7_host16_fqdn,FIND(".",wld_az1_rack7_host16_fqdn)-1))</f>
        <v>Value Missing</v>
      </c>
      <c r="AB217" s="2"/>
      <c r="AC217" s="4" t="s">
        <v>1907</v>
      </c>
      <c r="AD217" s="337" t="str">
        <f>IF(wld_az1_rack8_host16_fqdn="Value Missing",wld_az1_rack8_host16_fqdn,LEFT(wld_az1_rack8_host16_fqdn,FIND(".",wld_az1_rack8_host16_fqdn)-1))</f>
        <v>Value Missing</v>
      </c>
    </row>
    <row r="218" spans="5:30" ht="20.100000000000001" customHeight="1" x14ac:dyDescent="0.2">
      <c r="E218" s="4" t="s">
        <v>1878</v>
      </c>
      <c r="F218" s="337" t="str">
        <f>IF(mgmt_az1_host1_fqdn="Value Missing",mgmt_az1_host1_fqdn,LEFT(mgmt_az1_host1_fqdn,FIND(".",mgmt_az1_host1_fqdn)-1))</f>
        <v>labesxvcf01</v>
      </c>
      <c r="G218" s="2"/>
      <c r="H218" s="4" t="s">
        <v>1878</v>
      </c>
      <c r="I218" s="337" t="str">
        <f>IF(wld_az1_host1_fqdn="Value Missing",wld_az1_host1_fqdn,LEFT(wld_az1_host1_fqdn,FIND(".",wld_az1_host1_fqdn)-1))</f>
        <v>Value Missing</v>
      </c>
      <c r="J218" s="2"/>
      <c r="K218" s="2"/>
      <c r="L218" s="2"/>
      <c r="M218" s="2"/>
      <c r="N218" s="7"/>
      <c r="O218" s="7"/>
      <c r="P218" s="2"/>
      <c r="Q218" s="2"/>
      <c r="R218" s="2"/>
      <c r="S218" s="2"/>
      <c r="T218" s="2"/>
      <c r="U218" s="2"/>
      <c r="V218" s="2"/>
      <c r="W218" s="2"/>
      <c r="X218" s="2"/>
      <c r="Y218" s="2"/>
      <c r="Z218" s="2"/>
      <c r="AA218" s="2"/>
      <c r="AB218" s="2"/>
      <c r="AC218" s="2"/>
      <c r="AD218" s="2"/>
    </row>
    <row r="219" spans="5:30" ht="20.100000000000001" customHeight="1" x14ac:dyDescent="0.2">
      <c r="E219" s="4" t="s">
        <v>1880</v>
      </c>
      <c r="F219" s="337" t="str">
        <f>IF(mgmt_az1_host2_fqdn="Value Missing",mgmt_az1_host2_fqdn,LEFT(mgmt_az1_host2_fqdn,FIND(".",mgmt_az1_host2_fqdn)-1))</f>
        <v>labesxvcf02</v>
      </c>
      <c r="G219" s="2"/>
      <c r="H219" s="4" t="s">
        <v>1880</v>
      </c>
      <c r="I219" s="337" t="str">
        <f>IF(wld_az1_host2_fqdn="Value Missing",wld_az1_host2_fqdn,LEFT(wld_az1_host2_fqdn,FIND(".",wld_az1_host2_fqdn)-1))</f>
        <v>Value Missing</v>
      </c>
      <c r="J219" s="2"/>
      <c r="K219" s="379" t="s">
        <v>1908</v>
      </c>
      <c r="L219" s="380"/>
      <c r="M219" s="2"/>
      <c r="N219" s="379" t="s">
        <v>1909</v>
      </c>
      <c r="O219" s="380"/>
      <c r="P219" s="2"/>
      <c r="Q219" s="379" t="s">
        <v>1910</v>
      </c>
      <c r="R219" s="380"/>
      <c r="S219" s="2"/>
      <c r="T219" s="379" t="s">
        <v>1911</v>
      </c>
      <c r="U219" s="380"/>
      <c r="V219" s="2"/>
      <c r="W219" s="379" t="s">
        <v>1912</v>
      </c>
      <c r="X219" s="380"/>
      <c r="Y219" s="2"/>
      <c r="Z219" s="379" t="s">
        <v>1913</v>
      </c>
      <c r="AA219" s="380"/>
      <c r="AB219" s="2"/>
      <c r="AC219" s="379" t="s">
        <v>1914</v>
      </c>
      <c r="AD219" s="380"/>
    </row>
    <row r="220" spans="5:30" ht="20.100000000000001" customHeight="1" x14ac:dyDescent="0.2">
      <c r="E220" s="4" t="s">
        <v>1882</v>
      </c>
      <c r="F220" s="337" t="str">
        <f>IF(mgmt_az1_host3_fqdn="Value Missing",mgmt_az1_host3_fqdn,LEFT(mgmt_az1_host3_fqdn,FIND(".",mgmt_az1_host3_fqdn)-1))</f>
        <v>labesxvcf03</v>
      </c>
      <c r="G220" s="2"/>
      <c r="H220" s="4" t="s">
        <v>1882</v>
      </c>
      <c r="I220" s="337" t="str">
        <f>IF(wld_az1_host3_fqdn="Value Missing",wld_az1_host3_fqdn,LEFT(wld_az1_host3_fqdn,FIND(".",wld_az1_host3_fqdn)-1))</f>
        <v>Value Missing</v>
      </c>
      <c r="J220" s="2"/>
      <c r="K220" s="13" t="s">
        <v>259</v>
      </c>
      <c r="L220" s="14" t="s">
        <v>277</v>
      </c>
      <c r="M220" s="2"/>
      <c r="N220" s="13" t="s">
        <v>259</v>
      </c>
      <c r="O220" s="14" t="s">
        <v>277</v>
      </c>
      <c r="P220" s="15"/>
      <c r="Q220" s="13" t="s">
        <v>259</v>
      </c>
      <c r="R220" s="14" t="s">
        <v>277</v>
      </c>
      <c r="S220" s="15"/>
      <c r="T220" s="13" t="s">
        <v>259</v>
      </c>
      <c r="U220" s="14" t="s">
        <v>277</v>
      </c>
      <c r="V220" s="15"/>
      <c r="W220" s="13" t="s">
        <v>259</v>
      </c>
      <c r="X220" s="14" t="s">
        <v>277</v>
      </c>
      <c r="Y220" s="15"/>
      <c r="Z220" s="13" t="s">
        <v>259</v>
      </c>
      <c r="AA220" s="14" t="s">
        <v>277</v>
      </c>
      <c r="AB220" s="15"/>
      <c r="AC220" s="13" t="s">
        <v>259</v>
      </c>
      <c r="AD220" s="14" t="s">
        <v>277</v>
      </c>
    </row>
    <row r="221" spans="5:30" ht="20.100000000000001" customHeight="1" x14ac:dyDescent="0.2">
      <c r="E221" s="4" t="s">
        <v>1884</v>
      </c>
      <c r="F221" s="337" t="str">
        <f>IF(mgmt_az1_host4_fqdn="Value Missing",mgmt_az1_host4_fqdn,LEFT(mgmt_az1_host4_fqdn,FIND(".",mgmt_az1_host4_fqdn)-1))</f>
        <v>labesxvcf04</v>
      </c>
      <c r="H221" s="4" t="s">
        <v>1884</v>
      </c>
      <c r="I221" s="337" t="str">
        <f>IF(wld_az1_host4_fqdn="Value Missing",wld_az1_host4_fqdn,LEFT(wld_az1_host4_fqdn,FIND(".",wld_az1_host4_fqdn)-1))</f>
        <v>Value Missing</v>
      </c>
      <c r="K221" s="4" t="s">
        <v>1878</v>
      </c>
      <c r="L221" s="337" t="str">
        <f>IF(ISBLANK(input_wld_az1_rack2_host1_fqdn),"Value Missing",input_wld_az1_rack2_host1_fqdn)</f>
        <v>Value Missing</v>
      </c>
      <c r="M221" s="2"/>
      <c r="N221" s="4" t="s">
        <v>1878</v>
      </c>
      <c r="O221" s="337" t="str">
        <f>IF(ISBLANK(input_wld_az1_rack3_host1_fqdn),"Value Missing",input_wld_az1_rack3_host1_fqdn)</f>
        <v>Value Missing</v>
      </c>
      <c r="P221" s="2"/>
      <c r="Q221" s="4" t="s">
        <v>1878</v>
      </c>
      <c r="R221" s="337" t="str">
        <f>IF(ISBLANK(input_wld_az1_rack4_host1_fqdn),"Value Missing",input_wld_az1_rack4_host1_fqdn)</f>
        <v>Value Missing</v>
      </c>
      <c r="S221" s="2"/>
      <c r="T221" s="4" t="s">
        <v>1878</v>
      </c>
      <c r="U221" s="337" t="str">
        <f>IF(ISBLANK(input_wld_az1_rack5_host1_fqdn),"Value Missing",input_wld_az1_rack5_host1_fqdn)</f>
        <v>Value Missing</v>
      </c>
      <c r="V221" s="2"/>
      <c r="W221" s="4" t="s">
        <v>1878</v>
      </c>
      <c r="X221" s="337" t="str">
        <f>IF(ISBLANK(input_wld_az1_rack6_host1_fqdn),"Value Missing",input_wld_az1_rack6_host1_fqdn)</f>
        <v>Value Missing</v>
      </c>
      <c r="Y221" s="2"/>
      <c r="Z221" s="4" t="s">
        <v>1878</v>
      </c>
      <c r="AA221" s="337" t="str">
        <f>IF(ISBLANK(input_wld_az1_rack7_host1_fqdn),"Value Missing",input_wld_az1_rack7_host1_fqdn)</f>
        <v>Value Missing</v>
      </c>
      <c r="AB221" s="2"/>
      <c r="AC221" s="4" t="s">
        <v>1878</v>
      </c>
      <c r="AD221" s="337" t="str">
        <f>IF(ISBLANK(input_wld_az1_rack8_host1_fqdn),"Value Missing",input_wld_az1_rack8_host1_fqdn)</f>
        <v>Value Missing</v>
      </c>
    </row>
    <row r="222" spans="5:30" ht="20.100000000000001" customHeight="1" x14ac:dyDescent="0.2">
      <c r="E222" s="4" t="s">
        <v>1886</v>
      </c>
      <c r="F222" s="337" t="str">
        <f>IF(mgmt_az1_host5_fqdn="Value Missing",mgmt_az1_host5_fqdn,LEFT(mgmt_az1_host5_fqdn,FIND(".",mgmt_az1_host5_fqdn)-1))</f>
        <v>Value Missing</v>
      </c>
      <c r="H222" s="4" t="s">
        <v>1886</v>
      </c>
      <c r="I222" s="337" t="str">
        <f>IF(wld_az1_host5_fqdn="Value Missing",wld_az1_host5_fqdn,LEFT(wld_az1_host5_fqdn,FIND(".",wld_az1_host5_fqdn)-1))</f>
        <v>Value Missing</v>
      </c>
      <c r="K222" s="4" t="s">
        <v>1880</v>
      </c>
      <c r="L222" s="337" t="str">
        <f>IF(ISBLANK(input_wld_az1_rack2_host2_fqdn),"Value Missing",input_wld_az1_rack2_host2_fqdn)</f>
        <v>Value Missing</v>
      </c>
      <c r="M222" s="2"/>
      <c r="N222" s="4" t="s">
        <v>1880</v>
      </c>
      <c r="O222" s="337" t="str">
        <f>IF(ISBLANK(input_wld_az1_rack3_host2_fqdn),"Value Missing",input_wld_az1_rack3_host2_fqdn)</f>
        <v>Value Missing</v>
      </c>
      <c r="P222" s="2"/>
      <c r="Q222" s="4" t="s">
        <v>1880</v>
      </c>
      <c r="R222" s="337" t="str">
        <f>IF(ISBLANK(input_wld_az1_rack4_host2_fqdn),"Value Missing",input_wld_az1_rack4_host2_fqdn)</f>
        <v>Value Missing</v>
      </c>
      <c r="S222" s="2"/>
      <c r="T222" s="4" t="s">
        <v>1880</v>
      </c>
      <c r="U222" s="337" t="str">
        <f>IF(ISBLANK(input_wld_az1_rack5_host2_fqdn),"Value Missing",input_wld_az1_rack5_host2_fqdn)</f>
        <v>Value Missing</v>
      </c>
      <c r="V222" s="2"/>
      <c r="W222" s="4" t="s">
        <v>1880</v>
      </c>
      <c r="X222" s="337" t="str">
        <f>IF(ISBLANK(input_wld_az1_rack6_host2_fqdn),"Value Missing",input_wld_az1_rack6_host2_fqdn)</f>
        <v>Value Missing</v>
      </c>
      <c r="Y222" s="2"/>
      <c r="Z222" s="4" t="s">
        <v>1880</v>
      </c>
      <c r="AA222" s="337" t="str">
        <f>IF(ISBLANK(input_wld_az1_rack7_host2_fqdn),"Value Missing",input_wld_az1_rack7_host2_fqdn)</f>
        <v>Value Missing</v>
      </c>
      <c r="AB222" s="2"/>
      <c r="AC222" s="4" t="s">
        <v>1880</v>
      </c>
      <c r="AD222" s="337" t="str">
        <f>IF(ISBLANK(input_wld_az1_rack8_host2_fqdn),"Value Missing",input_wld_az1_rack8_host2_fqdn)</f>
        <v>Value Missing</v>
      </c>
    </row>
    <row r="223" spans="5:30" ht="20.100000000000001" customHeight="1" x14ac:dyDescent="0.2">
      <c r="E223" s="4" t="s">
        <v>1888</v>
      </c>
      <c r="F223" s="337" t="str">
        <f>IF(mgmt_az1_host6_fqdn="Value Missing",mgmt_az1_host6_fqdn,LEFT(mgmt_az1_host6_fqdn,FIND(".",mgmt_az1_host6_fqdn)-1))</f>
        <v>Value Missing</v>
      </c>
      <c r="H223" s="4" t="s">
        <v>1888</v>
      </c>
      <c r="I223" s="337" t="str">
        <f>IF(wld_az1_host6_fqdn="Value Missing",wld_az1_host6_fqdn,LEFT(wld_az1_host6_fqdn,FIND(".",wld_az1_host6_fqdn)-1))</f>
        <v>Value Missing</v>
      </c>
      <c r="K223" s="4" t="s">
        <v>1882</v>
      </c>
      <c r="L223" s="337" t="str">
        <f>IF(ISBLANK(input_wld_az1_rack2_host3_fqdn),"Value Missing",input_wld_az1_rack2_host3_fqdn)</f>
        <v>Value Missing</v>
      </c>
      <c r="M223" s="2"/>
      <c r="N223" s="4" t="s">
        <v>1882</v>
      </c>
      <c r="O223" s="337" t="str">
        <f>IF(ISBLANK(input_wld_az1_rack3_host3_fqdn),"Value Missing",input_wld_az1_rack3_host3_fqdn)</f>
        <v>Value Missing</v>
      </c>
      <c r="P223" s="2"/>
      <c r="Q223" s="4" t="s">
        <v>1882</v>
      </c>
      <c r="R223" s="337" t="str">
        <f>IF(ISBLANK(input_wld_az1_rack4_host3_fqdn),"Value Missing",input_wld_az1_rack4_host3_fqdn)</f>
        <v>Value Missing</v>
      </c>
      <c r="S223" s="2"/>
      <c r="T223" s="4" t="s">
        <v>1882</v>
      </c>
      <c r="U223" s="337" t="str">
        <f>IF(ISBLANK(input_wld_az1_rack5_host3_fqdn),"Value Missing",input_wld_az1_rack5_host3_fqdn)</f>
        <v>Value Missing</v>
      </c>
      <c r="V223" s="2"/>
      <c r="W223" s="4" t="s">
        <v>1882</v>
      </c>
      <c r="X223" s="337" t="str">
        <f>IF(ISBLANK(input_wld_az1_rack6_host3_fqdn),"Value Missing",input_wld_az1_rack6_host3_fqdn)</f>
        <v>Value Missing</v>
      </c>
      <c r="Y223" s="2"/>
      <c r="Z223" s="4" t="s">
        <v>1882</v>
      </c>
      <c r="AA223" s="337" t="str">
        <f>IF(ISBLANK(input_wld_az1_rack7_host3_fqdn),"Value Missing",input_wld_az1_rack7_host3_fqdn)</f>
        <v>Value Missing</v>
      </c>
      <c r="AB223" s="2"/>
      <c r="AC223" s="4" t="s">
        <v>1882</v>
      </c>
      <c r="AD223" s="337" t="str">
        <f>IF(ISBLANK(input_wld_az1_rack8_host3_fqdn),"Value Missing",input_wld_az1_rack8_host3_fqdn)</f>
        <v>Value Missing</v>
      </c>
    </row>
    <row r="224" spans="5:30" ht="20.100000000000001" customHeight="1" x14ac:dyDescent="0.2">
      <c r="E224" s="4" t="s">
        <v>1890</v>
      </c>
      <c r="F224" s="337" t="str">
        <f>IF(mgmt_az1_host7_fqdn="Value Missing",mgmt_az1_host7_fqdn,LEFT(mgmt_az1_host7_fqdn,FIND(".",mgmt_az1_host7_fqdn)-1))</f>
        <v>Value Missing</v>
      </c>
      <c r="H224" s="4" t="s">
        <v>1890</v>
      </c>
      <c r="I224" s="337" t="str">
        <f>IF(wld_az1_host7_fqdn="Value Missing",wld_az1_host7_fqdn,LEFT(wld_az1_host7_fqdn,FIND(".",wld_az1_host7_fqdn)-1))</f>
        <v>Value Missing</v>
      </c>
      <c r="K224" s="4" t="s">
        <v>1884</v>
      </c>
      <c r="L224" s="337" t="str">
        <f>IF(ISBLANK(input_wld_az1_rack2_host4_fqdn),"Value Missing",input_wld_az1_rack2_host4_fqdn)</f>
        <v>Value Missing</v>
      </c>
      <c r="N224" s="4" t="s">
        <v>1884</v>
      </c>
      <c r="O224" s="337" t="str">
        <f>IF(ISBLANK(input_wld_az1_rack3_host4_fqdn),"Value Missing",input_wld_az1_rack3_host4_fqdn)</f>
        <v>Value Missing</v>
      </c>
      <c r="P224" s="2"/>
      <c r="Q224" s="4" t="s">
        <v>1884</v>
      </c>
      <c r="R224" s="337" t="str">
        <f>IF(ISBLANK(input_wld_az1_rack4_host4_fqdn),"Value Missing",input_wld_az1_rack4_host4_fqdn)</f>
        <v>Value Missing</v>
      </c>
      <c r="S224" s="2"/>
      <c r="T224" s="4" t="s">
        <v>1884</v>
      </c>
      <c r="U224" s="337" t="str">
        <f>IF(ISBLANK(input_wld_az1_rack5_host4_fqdn),"Value Missing",input_wld_az1_rack5_host4_fqdn)</f>
        <v>Value Missing</v>
      </c>
      <c r="V224" s="2"/>
      <c r="W224" s="4" t="s">
        <v>1884</v>
      </c>
      <c r="X224" s="337" t="str">
        <f>IF(ISBLANK(input_wld_az1_rack6_host4_fqdn),"Value Missing",input_wld_az1_rack6_host4_fqdn)</f>
        <v>Value Missing</v>
      </c>
      <c r="Y224" s="2"/>
      <c r="Z224" s="4" t="s">
        <v>1884</v>
      </c>
      <c r="AA224" s="337" t="str">
        <f>IF(ISBLANK(input_wld_az1_rack7_host4_fqdn),"Value Missing",input_wld_az1_rack7_host4_fqdn)</f>
        <v>Value Missing</v>
      </c>
      <c r="AB224" s="2"/>
      <c r="AC224" s="4" t="s">
        <v>1884</v>
      </c>
      <c r="AD224" s="337" t="str">
        <f>IF(ISBLANK(input_wld_az1_rack8_host4_fqdn),"Value Missing",input_wld_az1_rack8_host4_fqdn)</f>
        <v>Value Missing</v>
      </c>
    </row>
    <row r="225" spans="5:30" ht="20.100000000000001" customHeight="1" x14ac:dyDescent="0.2">
      <c r="E225" s="4" t="s">
        <v>1892</v>
      </c>
      <c r="F225" s="337" t="str">
        <f>IF(mgmt_az1_host8_fqdn="Value Missing",mgmt_az1_host8_fqdn,LEFT(mgmt_az1_host8_fqdn,FIND(".",mgmt_az1_host8_fqdn)-1))</f>
        <v>Value Missing</v>
      </c>
      <c r="H225" s="4" t="s">
        <v>1892</v>
      </c>
      <c r="I225" s="337" t="str">
        <f>IF(wld_az1_host8_fqdn="Value Missing",wld_az1_host8_fqdn,LEFT(wld_az1_host8_fqdn,FIND(".",wld_az1_host8_fqdn)-1))</f>
        <v>Value Missing</v>
      </c>
      <c r="K225" s="4" t="s">
        <v>1886</v>
      </c>
      <c r="L225" s="337" t="str">
        <f>IF(ISBLANK(input_wld_az1_rack2_host5_fqdn),"Value Missing",input_wld_az1_rack2_host5_fqdn)</f>
        <v>Value Missing</v>
      </c>
      <c r="N225" s="4" t="s">
        <v>1886</v>
      </c>
      <c r="O225" s="337" t="str">
        <f>IF(ISBLANK(input_wld_az1_rack3_host5_fqdn),"Value Missing",input_wld_az1_rack3_host5_fqdn)</f>
        <v>Value Missing</v>
      </c>
      <c r="P225" s="2"/>
      <c r="Q225" s="4" t="s">
        <v>1886</v>
      </c>
      <c r="R225" s="337" t="str">
        <f>IF(ISBLANK(input_wld_az1_rack4_host5_fqdn),"Value Missing",input_wld_az1_rack4_host5_fqdn)</f>
        <v>Value Missing</v>
      </c>
      <c r="S225" s="2"/>
      <c r="T225" s="4" t="s">
        <v>1886</v>
      </c>
      <c r="U225" s="337" t="str">
        <f>IF(ISBLANK(input_wld_az1_rack5_host5_fqdn),"Value Missing",input_wld_az1_rack5_host5_fqdn)</f>
        <v>Value Missing</v>
      </c>
      <c r="V225" s="2"/>
      <c r="W225" s="4" t="s">
        <v>1886</v>
      </c>
      <c r="X225" s="337" t="str">
        <f>IF(ISBLANK(input_wld_az1_rack6_host5_fqdn),"Value Missing",input_wld_az1_rack6_host5_fqdn)</f>
        <v>Value Missing</v>
      </c>
      <c r="Y225" s="2"/>
      <c r="Z225" s="4" t="s">
        <v>1886</v>
      </c>
      <c r="AA225" s="337" t="str">
        <f>IF(ISBLANK(input_wld_az1_rack7_host5_fqdn),"Value Missing",input_wld_az1_rack7_host5_fqdn)</f>
        <v>Value Missing</v>
      </c>
      <c r="AB225" s="2"/>
      <c r="AC225" s="4" t="s">
        <v>1886</v>
      </c>
      <c r="AD225" s="337" t="str">
        <f>IF(ISBLANK(input_wld_az1_rack8_host5_fqdn),"Value Missing",input_wld_az1_rack8_host5_fqdn)</f>
        <v>Value Missing</v>
      </c>
    </row>
    <row r="226" spans="5:30" ht="20.100000000000001" customHeight="1" x14ac:dyDescent="0.2">
      <c r="E226" s="4" t="s">
        <v>1894</v>
      </c>
      <c r="F226" s="337" t="str">
        <f>IF(mgmt_az1_host9_fqdn="Value Missing",mgmt_az1_host9_fqdn,LEFT(mgmt_az1_host9_fqdn,FIND(".",mgmt_az1_host9_fqdn)-1))</f>
        <v>Value Missing</v>
      </c>
      <c r="H226" s="4" t="s">
        <v>1894</v>
      </c>
      <c r="I226" s="337" t="str">
        <f>IF(wld_az1_host9_fqdn="Value Missing",wld_az1_host9_fqdn,LEFT(wld_az1_host9_fqdn,FIND(".",wld_az1_host9_fqdn)-1))</f>
        <v>Value Missing</v>
      </c>
      <c r="K226" s="4" t="s">
        <v>1888</v>
      </c>
      <c r="L226" s="337" t="str">
        <f>IF(ISBLANK(input_wld_az1_rack2_host6_fqdn),"Value Missing",input_wld_az1_rack2_host6_fqdn)</f>
        <v>Value Missing</v>
      </c>
      <c r="N226" s="4" t="s">
        <v>1888</v>
      </c>
      <c r="O226" s="337" t="str">
        <f>IF(ISBLANK(input_wld_az1_rack3_host6_fqdn),"Value Missing",input_wld_az1_rack3_host6_fqdn)</f>
        <v>Value Missing</v>
      </c>
      <c r="P226" s="2"/>
      <c r="Q226" s="4" t="s">
        <v>1888</v>
      </c>
      <c r="R226" s="337" t="str">
        <f>IF(ISBLANK(input_wld_az1_rack4_host6_fqdn),"Value Missing",input_wld_az1_rack4_host6_fqdn)</f>
        <v>Value Missing</v>
      </c>
      <c r="S226" s="2"/>
      <c r="T226" s="4" t="s">
        <v>1888</v>
      </c>
      <c r="U226" s="337" t="str">
        <f>IF(ISBLANK(input_wld_az1_rack5_host6_fqdn),"Value Missing",input_wld_az1_rack5_host6_fqdn)</f>
        <v>Value Missing</v>
      </c>
      <c r="V226" s="2"/>
      <c r="W226" s="4" t="s">
        <v>1888</v>
      </c>
      <c r="X226" s="337" t="str">
        <f>IF(ISBLANK(input_wld_az1_rack6_host6_fqdn),"Value Missing",input_wld_az1_rack6_host6_fqdn)</f>
        <v>Value Missing</v>
      </c>
      <c r="Y226" s="2"/>
      <c r="Z226" s="4" t="s">
        <v>1888</v>
      </c>
      <c r="AA226" s="337" t="str">
        <f>IF(ISBLANK(input_wld_az1_rack7_host6_fqdn),"Value Missing",input_wld_az1_rack7_host6_fqdn)</f>
        <v>Value Missing</v>
      </c>
      <c r="AB226" s="2"/>
      <c r="AC226" s="4" t="s">
        <v>1888</v>
      </c>
      <c r="AD226" s="337" t="str">
        <f>IF(ISBLANK(input_wld_az1_rack8_host6_fqdn),"Value Missing",input_wld_az1_rack8_host6_fqdn)</f>
        <v>Value Missing</v>
      </c>
    </row>
    <row r="227" spans="5:30" ht="20.100000000000001" customHeight="1" x14ac:dyDescent="0.2">
      <c r="E227" s="4" t="s">
        <v>1896</v>
      </c>
      <c r="F227" s="337" t="str">
        <f>IF(mgmt_az1_host10_fqdn="Value Missing",mgmt_az1_host10_fqdn,LEFT(mgmt_az1_host10_fqdn,FIND(".",mgmt_az1_host10_fqdn)-1))</f>
        <v>Value Missing</v>
      </c>
      <c r="H227" s="4" t="s">
        <v>1896</v>
      </c>
      <c r="I227" s="337" t="str">
        <f>IF(wld_az1_host10_fqdn="Value Missing",wld_az1_host10_fqdn,LEFT(wld_az1_host10_fqdn,FIND(".",wld_az1_host10_fqdn)-1))</f>
        <v>Value Missing</v>
      </c>
      <c r="K227" s="4" t="s">
        <v>1890</v>
      </c>
      <c r="L227" s="337" t="str">
        <f>IF(ISBLANK(input_wld_az1_rack2_host7_fqdn),"Value Missing",input_wld_az1_rack2_host7_fqdn)</f>
        <v>Value Missing</v>
      </c>
      <c r="N227" s="4" t="s">
        <v>1890</v>
      </c>
      <c r="O227" s="337" t="str">
        <f>IF(ISBLANK(input_wld_az1_rack3_host7_fqdn),"Value Missing",input_wld_az1_rack3_host7_fqdn)</f>
        <v>Value Missing</v>
      </c>
      <c r="P227" s="2"/>
      <c r="Q227" s="4" t="s">
        <v>1890</v>
      </c>
      <c r="R227" s="337" t="str">
        <f>IF(ISBLANK(input_wld_az1_rack4_host7_fqdn),"Value Missing",input_wld_az1_rack4_host7_fqdn)</f>
        <v>Value Missing</v>
      </c>
      <c r="S227" s="2"/>
      <c r="T227" s="4" t="s">
        <v>1890</v>
      </c>
      <c r="U227" s="337" t="str">
        <f>IF(ISBLANK(input_wld_az1_rack5_host7_fqdn),"Value Missing",input_wld_az1_rack5_host7_fqdn)</f>
        <v>Value Missing</v>
      </c>
      <c r="V227" s="2"/>
      <c r="W227" s="4" t="s">
        <v>1890</v>
      </c>
      <c r="X227" s="337" t="str">
        <f>IF(ISBLANK(input_wld_az1_rack6_host7_fqdn),"Value Missing",input_wld_az1_rack6_host7_fqdn)</f>
        <v>Value Missing</v>
      </c>
      <c r="Y227" s="2"/>
      <c r="Z227" s="4" t="s">
        <v>1890</v>
      </c>
      <c r="AA227" s="337" t="str">
        <f>IF(ISBLANK(input_wld_az1_rack7_host7_fqdn),"Value Missing",input_wld_az1_rack7_host7_fqdn)</f>
        <v>Value Missing</v>
      </c>
      <c r="AB227" s="2"/>
      <c r="AC227" s="4" t="s">
        <v>1890</v>
      </c>
      <c r="AD227" s="337" t="str">
        <f>IF(ISBLANK(input_wld_az1_rack8_host7_fqdn),"Value Missing",input_wld_az1_rack8_host7_fqdn)</f>
        <v>Value Missing</v>
      </c>
    </row>
    <row r="228" spans="5:30" ht="20.100000000000001" customHeight="1" x14ac:dyDescent="0.2">
      <c r="E228" s="4" t="s">
        <v>1898</v>
      </c>
      <c r="F228" s="337" t="str">
        <f>IF(mgmt_az1_host11_fqdn="Value Missing",mgmt_az1_host11_fqdn,LEFT(mgmt_az1_host11_fqdn,FIND(".",mgmt_az1_host11_fqdn)-1))</f>
        <v>Value Missing</v>
      </c>
      <c r="H228" s="4" t="s">
        <v>1898</v>
      </c>
      <c r="I228" s="337" t="str">
        <f>IF(wld_az1_host11_fqdn="Value Missing",wld_az1_host11_fqdn,LEFT(wld_az1_host11_fqdn,FIND(".",wld_az1_host11_fqdn)-1))</f>
        <v>Value Missing</v>
      </c>
      <c r="K228" s="4" t="s">
        <v>1892</v>
      </c>
      <c r="L228" s="337" t="str">
        <f>IF(ISBLANK(input_wld_az1_rack2_host8_fqdn),"Value Missing",input_wld_az1_rack2_host8_fqdn)</f>
        <v>Value Missing</v>
      </c>
      <c r="N228" s="4" t="s">
        <v>1892</v>
      </c>
      <c r="O228" s="337" t="str">
        <f>IF(ISBLANK(input_wld_az1_rack3_host8_fqdn),"Value Missing",input_wld_az1_rack3_host8_fqdn)</f>
        <v>Value Missing</v>
      </c>
      <c r="P228" s="2"/>
      <c r="Q228" s="4" t="s">
        <v>1892</v>
      </c>
      <c r="R228" s="337" t="str">
        <f>IF(ISBLANK(input_wld_az1_rack4_host8_fqdn),"Value Missing",input_wld_az1_rack4_host8_fqdn)</f>
        <v>Value Missing</v>
      </c>
      <c r="S228" s="2"/>
      <c r="T228" s="4" t="s">
        <v>1892</v>
      </c>
      <c r="U228" s="337" t="str">
        <f>IF(ISBLANK(input_wld_az1_rack5_host8_fqdn),"Value Missing",input_wld_az1_rack5_host8_fqdn)</f>
        <v>Value Missing</v>
      </c>
      <c r="V228" s="2"/>
      <c r="W228" s="4" t="s">
        <v>1892</v>
      </c>
      <c r="X228" s="337" t="str">
        <f>IF(ISBLANK(input_wld_az1_rack6_host8_fqdn),"Value Missing",input_wld_az1_rack6_host8_fqdn)</f>
        <v>Value Missing</v>
      </c>
      <c r="Y228" s="2"/>
      <c r="Z228" s="4" t="s">
        <v>1892</v>
      </c>
      <c r="AA228" s="337" t="str">
        <f>IF(ISBLANK(input_wld_az1_rack7_host8_fqdn),"Value Missing",input_wld_az1_rack7_host8_fqdn)</f>
        <v>Value Missing</v>
      </c>
      <c r="AB228" s="2"/>
      <c r="AC228" s="4" t="s">
        <v>1892</v>
      </c>
      <c r="AD228" s="337" t="str">
        <f>IF(ISBLANK(input_wld_az1_rack8_host8_fqdn),"Value Missing",input_wld_az1_rack8_host8_fqdn)</f>
        <v>Value Missing</v>
      </c>
    </row>
    <row r="229" spans="5:30" ht="20.100000000000001" customHeight="1" x14ac:dyDescent="0.2">
      <c r="E229" s="4" t="s">
        <v>1900</v>
      </c>
      <c r="F229" s="337" t="str">
        <f>IF(mgmt_az1_host12_fqdn="Value Missing",mgmt_az1_host12_fqdn,LEFT(mgmt_az1_host12_fqdn,FIND(".",mgmt_az1_host12_fqdn)-1))</f>
        <v>Value Missing</v>
      </c>
      <c r="H229" s="4" t="s">
        <v>1900</v>
      </c>
      <c r="I229" s="337" t="str">
        <f>IF(wld_az1_host12_fqdn="Value Missing",wld_az1_host12_fqdn,LEFT(wld_az1_host12_fqdn,FIND(".",wld_az1_host12_fqdn)-1))</f>
        <v>Value Missing</v>
      </c>
      <c r="K229" s="4" t="s">
        <v>1894</v>
      </c>
      <c r="L229" s="337" t="str">
        <f>IF(ISBLANK(input_wld_az1_rack2_host9_fqdn),"Value Missing",input_wld_az1_rack2_host9_fqdn)</f>
        <v>Value Missing</v>
      </c>
      <c r="N229" s="4" t="s">
        <v>1894</v>
      </c>
      <c r="O229" s="337" t="str">
        <f>IF(ISBLANK(input_wld_az1_rack3_host9_fqdn),"Value Missing",input_wld_az1_rack3_host9_fqdn)</f>
        <v>Value Missing</v>
      </c>
      <c r="Q229" s="4" t="s">
        <v>1894</v>
      </c>
      <c r="R229" s="337" t="str">
        <f>IF(ISBLANK(input_wld_az1_rack4_host9_fqdn),"Value Missing",input_wld_az1_rack4_host9_fqdn)</f>
        <v>Value Missing</v>
      </c>
      <c r="T229" s="4" t="s">
        <v>1894</v>
      </c>
      <c r="U229" s="337" t="str">
        <f>IF(ISBLANK(input_wld_az1_rack5_host9_fqdn),"Value Missing",input_wld_az1_rack5_host9_fqdn)</f>
        <v>Value Missing</v>
      </c>
      <c r="W229" s="4" t="s">
        <v>1894</v>
      </c>
      <c r="X229" s="337" t="str">
        <f>IF(ISBLANK(input_wld_az1_rack6_host9_fqdn),"Value Missing",input_wld_az1_rack6_host9_fqdn)</f>
        <v>Value Missing</v>
      </c>
      <c r="Z229" s="4" t="s">
        <v>1894</v>
      </c>
      <c r="AA229" s="337" t="str">
        <f>IF(ISBLANK(input_wld_az1_rack7_host9_fqdn),"Value Missing",input_wld_az1_rack7_host9_fqdn)</f>
        <v>Value Missing</v>
      </c>
      <c r="AC229" s="4" t="s">
        <v>1894</v>
      </c>
      <c r="AD229" s="337" t="str">
        <f>IF(ISBLANK(input_wld_az1_rack8_host9_fqdn),"Value Missing",input_wld_az1_rack8_host9_fqdn)</f>
        <v>Value Missing</v>
      </c>
    </row>
    <row r="230" spans="5:30" ht="20.100000000000001" customHeight="1" x14ac:dyDescent="0.2">
      <c r="E230" s="4" t="s">
        <v>1902</v>
      </c>
      <c r="F230" s="337" t="str">
        <f>IF(mgmt_az1_host13_fqdn="Value Missing",mgmt_az1_host13_fqdn,LEFT(mgmt_az1_host13_fqdn,FIND(".",mgmt_az1_host13_fqdn)-1))</f>
        <v>Value Missing</v>
      </c>
      <c r="H230" s="4" t="s">
        <v>1902</v>
      </c>
      <c r="I230" s="337" t="str">
        <f>IF(wld_az1_host13_fqdn="Value Missing",wld_az1_host13_fqdn,LEFT(wld_az1_host13_fqdn,FIND(".",wld_az1_host13_fqdn)-1))</f>
        <v>Value Missing</v>
      </c>
      <c r="K230" s="4" t="s">
        <v>1896</v>
      </c>
      <c r="L230" s="337" t="str">
        <f>IF(ISBLANK(input_wld_az1_rack2_host10_fqdn),"Value Missing",input_wld_az1_rack2_host10_fqdn)</f>
        <v>Value Missing</v>
      </c>
      <c r="N230" s="4" t="s">
        <v>1896</v>
      </c>
      <c r="O230" s="337" t="str">
        <f>IF(ISBLANK(input_wld_az1_rack3_host10_fqdn),"Value Missing",input_wld_az1_rack3_host10_fqdn)</f>
        <v>Value Missing</v>
      </c>
      <c r="Q230" s="4" t="s">
        <v>1896</v>
      </c>
      <c r="R230" s="337" t="str">
        <f>IF(ISBLANK(input_wld_az1_rack4_host10_fqdn),"Value Missing",input_wld_az1_rack4_host10_fqdn)</f>
        <v>Value Missing</v>
      </c>
      <c r="T230" s="4" t="s">
        <v>1896</v>
      </c>
      <c r="U230" s="337" t="str">
        <f>IF(ISBLANK(input_wld_az1_rack5_host10_fqdn),"Value Missing",input_wld_az1_rack5_host10_fqdn)</f>
        <v>Value Missing</v>
      </c>
      <c r="W230" s="4" t="s">
        <v>1896</v>
      </c>
      <c r="X230" s="337" t="str">
        <f>IF(ISBLANK(input_wld_az1_rack6_host10_fqdn),"Value Missing",input_wld_az1_rack6_host10_fqdn)</f>
        <v>Value Missing</v>
      </c>
      <c r="Z230" s="4" t="s">
        <v>1896</v>
      </c>
      <c r="AA230" s="337" t="str">
        <f>IF(ISBLANK(input_wld_az1_rack7_host10_fqdn),"Value Missing",input_wld_az1_rack7_host10_fqdn)</f>
        <v>Value Missing</v>
      </c>
      <c r="AC230" s="4" t="s">
        <v>1896</v>
      </c>
      <c r="AD230" s="337" t="str">
        <f>IF(ISBLANK(input_wld_az1_rack8_host10_fqdn),"Value Missing",input_wld_az1_rack8_host10_fqdn)</f>
        <v>Value Missing</v>
      </c>
    </row>
    <row r="231" spans="5:30" ht="20.100000000000001" customHeight="1" x14ac:dyDescent="0.2">
      <c r="E231" s="4" t="s">
        <v>1903</v>
      </c>
      <c r="F231" s="337" t="str">
        <f>IF(mgmt_az1_host14_fqdn="Value Missing",mgmt_az1_host14_fqdn,LEFT(mgmt_az1_host14_fqdn,FIND(".",mgmt_az1_host14_fqdn)-1))</f>
        <v>Value Missing</v>
      </c>
      <c r="H231" s="4" t="s">
        <v>1903</v>
      </c>
      <c r="I231" s="337" t="str">
        <f>IF(wld_az1_host14_fqdn="Value Missing",wld_az1_host14_fqdn,LEFT(wld_az1_host14_fqdn,FIND(".",wld_az1_host14_fqdn)-1))</f>
        <v>Value Missing</v>
      </c>
      <c r="K231" s="4" t="s">
        <v>1898</v>
      </c>
      <c r="L231" s="337" t="str">
        <f>IF(ISBLANK(input_wld_az1_rack2_host11_fqdn),"Value Missing",input_wld_az1_rack2_host11_fqdn)</f>
        <v>Value Missing</v>
      </c>
      <c r="N231" s="4" t="s">
        <v>1898</v>
      </c>
      <c r="O231" s="337" t="str">
        <f>IF(ISBLANK(input_wld_az1_rack3_host11_fqdn),"Value Missing",input_wld_az1_rack3_host11_fqdn)</f>
        <v>Value Missing</v>
      </c>
      <c r="Q231" s="4" t="s">
        <v>1898</v>
      </c>
      <c r="R231" s="337" t="str">
        <f>IF(ISBLANK(input_wld_az1_rack4_host11_fqdn),"Value Missing",input_wld_az1_rack4_host11_fqdn)</f>
        <v>Value Missing</v>
      </c>
      <c r="T231" s="4" t="s">
        <v>1898</v>
      </c>
      <c r="U231" s="337" t="str">
        <f>IF(ISBLANK(input_wld_az1_rack5_host11_fqdn),"Value Missing",input_wld_az1_rack5_host11_fqdn)</f>
        <v>Value Missing</v>
      </c>
      <c r="W231" s="4" t="s">
        <v>1898</v>
      </c>
      <c r="X231" s="337" t="str">
        <f>IF(ISBLANK(input_wld_az1_rack6_host11_fqdn),"Value Missing",input_wld_az1_rack6_host11_fqdn)</f>
        <v>Value Missing</v>
      </c>
      <c r="Z231" s="4" t="s">
        <v>1898</v>
      </c>
      <c r="AA231" s="337" t="str">
        <f>IF(ISBLANK(input_wld_az1_rack7_host11_fqdn),"Value Missing",input_wld_az1_rack7_host11_fqdn)</f>
        <v>Value Missing</v>
      </c>
      <c r="AC231" s="4" t="s">
        <v>1898</v>
      </c>
      <c r="AD231" s="337" t="str">
        <f>IF(ISBLANK(input_wld_az1_rack8_host11_fqdn),"Value Missing",input_wld_az1_rack8_host11_fqdn)</f>
        <v>Value Missing</v>
      </c>
    </row>
    <row r="232" spans="5:30" ht="20.100000000000001" customHeight="1" x14ac:dyDescent="0.2">
      <c r="E232" s="4" t="s">
        <v>1906</v>
      </c>
      <c r="F232" s="337" t="str">
        <f>IF(mgmt_az1_host15_fqdn="Value Missing",mgmt_az1_host15_fqdn,LEFT(mgmt_az1_host15_fqdn,FIND(".",mgmt_az1_host15_fqdn)-1))</f>
        <v>Value Missing</v>
      </c>
      <c r="H232" s="4" t="s">
        <v>1906</v>
      </c>
      <c r="I232" s="337" t="str">
        <f>IF(wld_az1_host15_fqdn="Value Missing",wld_az1_host15_fqdn,LEFT(wld_az1_host15_fqdn,FIND(".",wld_az1_host15_fqdn)-1))</f>
        <v>Value Missing</v>
      </c>
      <c r="K232" s="4" t="s">
        <v>1900</v>
      </c>
      <c r="L232" s="337" t="str">
        <f>IF(ISBLANK(input_wld_az1_rack2_host12_fqdn),"Value Missing",input_wld_az1_rack2_host12_fqdn)</f>
        <v>Value Missing</v>
      </c>
      <c r="N232" s="4" t="s">
        <v>1900</v>
      </c>
      <c r="O232" s="337" t="str">
        <f>IF(ISBLANK(input_wld_az1_rack3_host12_fqdn),"Value Missing",input_wld_az1_rack3_host12_fqdn)</f>
        <v>Value Missing</v>
      </c>
      <c r="Q232" s="4" t="s">
        <v>1900</v>
      </c>
      <c r="R232" s="337" t="str">
        <f>IF(ISBLANK(input_wld_az1_rack4_host12_fqdn),"Value Missing",input_wld_az1_rack4_host12_fqdn)</f>
        <v>Value Missing</v>
      </c>
      <c r="T232" s="4" t="s">
        <v>1900</v>
      </c>
      <c r="U232" s="337" t="str">
        <f>IF(ISBLANK(input_wld_az1_rack5_host12_fqdn),"Value Missing",input_wld_az1_rack5_host12_fqdn)</f>
        <v>Value Missing</v>
      </c>
      <c r="W232" s="4" t="s">
        <v>1900</v>
      </c>
      <c r="X232" s="337" t="str">
        <f>IF(ISBLANK(input_wld_az1_rack6_host12_fqdn),"Value Missing",input_wld_az1_rack6_host12_fqdn)</f>
        <v>Value Missing</v>
      </c>
      <c r="Z232" s="4" t="s">
        <v>1900</v>
      </c>
      <c r="AA232" s="337" t="str">
        <f>IF(ISBLANK(input_wld_az1_rack7_host12_fqdn),"Value Missing",input_wld_az1_rack7_host12_fqdn)</f>
        <v>Value Missing</v>
      </c>
      <c r="AC232" s="4" t="s">
        <v>1900</v>
      </c>
      <c r="AD232" s="337" t="str">
        <f>IF(ISBLANK(input_wld_az1_rack8_host12_fqdn),"Value Missing",input_wld_az1_rack8_host12_fqdn)</f>
        <v>Value Missing</v>
      </c>
    </row>
    <row r="233" spans="5:30" ht="20.100000000000001" customHeight="1" x14ac:dyDescent="0.2">
      <c r="E233" s="4" t="s">
        <v>1907</v>
      </c>
      <c r="F233" s="337" t="str">
        <f>IF(mgmt_az1_host16_fqdn="Value Missing",mgmt_az1_host16_fqdn,LEFT(mgmt_az1_host16_fqdn,FIND(".",mgmt_az1_host16_fqdn)-1))</f>
        <v>Value Missing</v>
      </c>
      <c r="H233" s="4" t="s">
        <v>1907</v>
      </c>
      <c r="I233" s="337" t="str">
        <f>IF(wld_az1_host16_fqdn="Value Missing",wld_az1_host16_fqdn,LEFT(wld_az1_host16_fqdn,FIND(".",wld_az1_host16_fqdn)-1))</f>
        <v>Value Missing</v>
      </c>
      <c r="K233" s="4" t="s">
        <v>1902</v>
      </c>
      <c r="L233" s="337" t="str">
        <f>IF(ISBLANK(input_wld_az1_rack2_host13_fqdn),"Value Missing",input_wld_az1_rack2_host13_fqdn)</f>
        <v>Value Missing</v>
      </c>
      <c r="N233" s="4" t="s">
        <v>1902</v>
      </c>
      <c r="O233" s="337" t="str">
        <f>IF(ISBLANK(input_wld_az1_rack3_host13_fqdn),"Value Missing",input_wld_az1_rack3_host13_fqdn)</f>
        <v>Value Missing</v>
      </c>
      <c r="Q233" s="4" t="s">
        <v>1902</v>
      </c>
      <c r="R233" s="337" t="str">
        <f>IF(ISBLANK(input_wld_az1_rack4_host13_fqdn),"Value Missing",input_wld_az1_rack4_host13_fqdn)</f>
        <v>Value Missing</v>
      </c>
      <c r="T233" s="4" t="s">
        <v>1902</v>
      </c>
      <c r="U233" s="337" t="str">
        <f>IF(ISBLANK(input_wld_az1_rack5_host13_fqdn),"Value Missing",input_wld_az1_rack5_host13_fqdn)</f>
        <v>Value Missing</v>
      </c>
      <c r="W233" s="4" t="s">
        <v>1902</v>
      </c>
      <c r="X233" s="337" t="str">
        <f>IF(ISBLANK(input_wld_az1_rack6_host13_fqdn),"Value Missing",input_wld_az1_rack6_host13_fqdn)</f>
        <v>Value Missing</v>
      </c>
      <c r="Z233" s="4" t="s">
        <v>1902</v>
      </c>
      <c r="AA233" s="337" t="str">
        <f>IF(ISBLANK(input_wld_az1_rack7_host13_fqdn),"Value Missing",input_wld_az1_rack7_host13_fqdn)</f>
        <v>Value Missing</v>
      </c>
      <c r="AC233" s="4" t="s">
        <v>1902</v>
      </c>
      <c r="AD233" s="337" t="str">
        <f>IF(ISBLANK(input_wld_az1_rack8_host13_fqdn),"Value Missing",input_wld_az1_rack8_host13_fqdn)</f>
        <v>Value Missing</v>
      </c>
    </row>
    <row r="234" spans="5:30" ht="20.100000000000001" customHeight="1" x14ac:dyDescent="0.2">
      <c r="E234" s="2"/>
      <c r="F234" s="2"/>
      <c r="H234" s="2"/>
      <c r="I234" s="2"/>
      <c r="K234" s="4" t="s">
        <v>1903</v>
      </c>
      <c r="L234" s="337" t="str">
        <f>IF(ISBLANK(input_wld_az1_rack2_host14_fqdn),"Value Missing",input_wld_az1_rack2_host14_fqdn)</f>
        <v>Value Missing</v>
      </c>
      <c r="N234" s="4" t="s">
        <v>1903</v>
      </c>
      <c r="O234" s="337" t="str">
        <f>IF(ISBLANK(input_wld_az1_rack3_host14_fqdn),"Value Missing",input_wld_az1_rack3_host14_fqdn)</f>
        <v>Value Missing</v>
      </c>
      <c r="Q234" s="4" t="s">
        <v>1903</v>
      </c>
      <c r="R234" s="337" t="str">
        <f>IF(ISBLANK(input_wld_az1_rack4_host14_fqdn),"Value Missing",input_wld_az1_rack4_host14_fqdn)</f>
        <v>Value Missing</v>
      </c>
      <c r="T234" s="4" t="s">
        <v>1903</v>
      </c>
      <c r="U234" s="337" t="str">
        <f>IF(ISBLANK(input_wld_az1_rack5_host14_fqdn),"Value Missing",input_wld_az1_rack5_host14_fqdn)</f>
        <v>Value Missing</v>
      </c>
      <c r="W234" s="4" t="s">
        <v>1903</v>
      </c>
      <c r="X234" s="337" t="str">
        <f>IF(ISBLANK(input_wld_az1_rack6_host14_fqdn),"Value Missing",input_wld_az1_rack6_host14_fqdn)</f>
        <v>Value Missing</v>
      </c>
      <c r="Z234" s="4" t="s">
        <v>1903</v>
      </c>
      <c r="AA234" s="337" t="str">
        <f>IF(ISBLANK(input_wld_az1_rack7_host14_fqdn),"Value Missing",input_wld_az1_rack7_host14_fqdn)</f>
        <v>Value Missing</v>
      </c>
      <c r="AC234" s="4" t="s">
        <v>1903</v>
      </c>
      <c r="AD234" s="337" t="str">
        <f>IF(ISBLANK(input_wld_az1_rack8_host14_fqdn),"Value Missing",input_wld_az1_rack8_host14_fqdn)</f>
        <v>Value Missing</v>
      </c>
    </row>
    <row r="235" spans="5:30" ht="20.100000000000001" customHeight="1" x14ac:dyDescent="0.2">
      <c r="E235" s="379" t="s">
        <v>1915</v>
      </c>
      <c r="F235" s="380"/>
      <c r="H235" s="379" t="s">
        <v>1916</v>
      </c>
      <c r="I235" s="380"/>
      <c r="K235" s="4" t="s">
        <v>1906</v>
      </c>
      <c r="L235" s="337" t="str">
        <f>IF(ISBLANK(input_wld_az1_rack2_host15_fqdn),"Value Missing",input_wld_az1_rack2_host15_fqdn)</f>
        <v>Value Missing</v>
      </c>
      <c r="N235" s="4" t="s">
        <v>1906</v>
      </c>
      <c r="O235" s="337" t="str">
        <f>IF(ISBLANK(input_wld_az1_rack3_host15_fqdn),"Value Missing",input_wld_az1_rack3_host15_fqdn)</f>
        <v>Value Missing</v>
      </c>
      <c r="Q235" s="4" t="s">
        <v>1906</v>
      </c>
      <c r="R235" s="337" t="str">
        <f>IF(ISBLANK(input_wld_az1_rack4_host15_fqdn),"Value Missing",input_wld_az1_rack4_host15_fqdn)</f>
        <v>Value Missing</v>
      </c>
      <c r="T235" s="4" t="s">
        <v>1906</v>
      </c>
      <c r="U235" s="337" t="str">
        <f>IF(ISBLANK(input_wld_az1_rack5_host15_fqdn),"Value Missing",input_wld_az1_rack5_host15_fqdn)</f>
        <v>Value Missing</v>
      </c>
      <c r="W235" s="4" t="s">
        <v>1906</v>
      </c>
      <c r="X235" s="337" t="str">
        <f>IF(ISBLANK(input_wld_az1_rack6_host15_fqdn),"Value Missing",input_wld_az1_rack6_host15_fqdn)</f>
        <v>Value Missing</v>
      </c>
      <c r="Z235" s="4" t="s">
        <v>1906</v>
      </c>
      <c r="AA235" s="337" t="str">
        <f>IF(ISBLANK(input_wld_az1_rack7_host15_fqdn),"Value Missing",input_wld_az1_rack7_host15_fqdn)</f>
        <v>Value Missing</v>
      </c>
      <c r="AC235" s="4" t="s">
        <v>1906</v>
      </c>
      <c r="AD235" s="337" t="str">
        <f>IF(ISBLANK(input_wld_az1_rack8_host15_fqdn),"Value Missing",input_wld_az1_rack8_host15_fqdn)</f>
        <v>Value Missing</v>
      </c>
    </row>
    <row r="236" spans="5:30" ht="20.100000000000001" customHeight="1" x14ac:dyDescent="0.2">
      <c r="E236" s="11" t="s">
        <v>259</v>
      </c>
      <c r="F236" s="14" t="s">
        <v>1652</v>
      </c>
      <c r="H236" s="11" t="s">
        <v>259</v>
      </c>
      <c r="I236" s="14" t="s">
        <v>277</v>
      </c>
      <c r="K236" s="4" t="s">
        <v>1907</v>
      </c>
      <c r="L236" s="337" t="str">
        <f>IF(ISBLANK(input_wld_az1_rack2_host16_fqdn),"Value Missing",input_wld_az1_rack2_host16_fqdn)</f>
        <v>Value Missing</v>
      </c>
      <c r="N236" s="4" t="s">
        <v>1907</v>
      </c>
      <c r="O236" s="337" t="str">
        <f>IF(ISBLANK(input_wld_az1_rack3_host16_fqdn),"Value Missing",input_wld_az1_rack3_host16_fqdn)</f>
        <v>Value Missing</v>
      </c>
      <c r="Q236" s="4" t="s">
        <v>1907</v>
      </c>
      <c r="R236" s="337" t="str">
        <f>IF(ISBLANK(input_wld_az1_rack4_host16_fqdn),"Value Missing",input_wld_az1_rack4_host16_fqdn)</f>
        <v>Value Missing</v>
      </c>
      <c r="T236" s="4" t="s">
        <v>1907</v>
      </c>
      <c r="U236" s="337" t="str">
        <f>IF(ISBLANK(input_wld_az1_rack5_host16_fqdn),"Value Missing",input_wld_az1_rack5_host16_fqdn)</f>
        <v>Value Missing</v>
      </c>
      <c r="W236" s="4" t="s">
        <v>1907</v>
      </c>
      <c r="X236" s="337" t="str">
        <f>IF(ISBLANK(input_wld_az1_rack6_host16_fqdn),"Value Missing",input_wld_az1_rack6_host16_fqdn)</f>
        <v>Value Missing</v>
      </c>
      <c r="Z236" s="4" t="s">
        <v>1907</v>
      </c>
      <c r="AA236" s="337" t="str">
        <f>IF(ISBLANK(input_wld_az1_rack7_host16_fqdn),"Value Missing",input_wld_az1_rack7_host16_fqdn)</f>
        <v>Value Missing</v>
      </c>
      <c r="AC236" s="4" t="s">
        <v>1907</v>
      </c>
      <c r="AD236" s="337" t="str">
        <f>IF(ISBLANK(input_wld_az1_rack8_host16_fqdn),"Value Missing",input_wld_az1_rack8_host16_fqdn)</f>
        <v>Value Missing</v>
      </c>
    </row>
    <row r="237" spans="5:30" ht="20.100000000000001" customHeight="1" x14ac:dyDescent="0.2">
      <c r="E237" s="4" t="s">
        <v>1878</v>
      </c>
      <c r="F237" s="337" t="str">
        <f>IF(ISBLANK(input_mgmt_az1_host1_fqdn),"Value Missing",input_mgmt_az1_host1_fqdn)</f>
        <v>labesxvcf01.vcf.lab.local</v>
      </c>
      <c r="H237" s="4" t="s">
        <v>1878</v>
      </c>
      <c r="I237" s="337" t="str">
        <f>IF(ISBLANK(input_wld_az1_host1_fqdn),"Value Missing",input_wld_az1_host1_fqdn)</f>
        <v>Value Missing</v>
      </c>
      <c r="K237" s="2"/>
      <c r="L237" s="2"/>
      <c r="N237" s="2"/>
      <c r="O237" s="2"/>
      <c r="Q237" s="2"/>
      <c r="R237" s="2"/>
      <c r="T237" s="2"/>
      <c r="U237" s="2"/>
      <c r="W237" s="2"/>
      <c r="X237" s="2"/>
      <c r="Z237" s="2"/>
      <c r="AA237" s="2"/>
      <c r="AC237" s="2"/>
      <c r="AD237" s="2"/>
    </row>
    <row r="238" spans="5:30" ht="20.100000000000001" customHeight="1" x14ac:dyDescent="0.2">
      <c r="E238" s="4" t="s">
        <v>1880</v>
      </c>
      <c r="F238" s="337" t="str">
        <f>IF(ISBLANK(input_mgmt_az1_host2_fqdn),"Value Missing",input_mgmt_az1_host2_fqdn)</f>
        <v>labesxvcf02.vcf.lab.local</v>
      </c>
      <c r="H238" s="4" t="s">
        <v>1880</v>
      </c>
      <c r="I238" s="337" t="str">
        <f>IF(ISBLANK(input_wld_az1_host2_fqdn),"Value Missing",input_wld_az1_host2_fqdn)</f>
        <v>Value Missing</v>
      </c>
      <c r="K238" s="379" t="s">
        <v>1917</v>
      </c>
      <c r="L238" s="380"/>
      <c r="N238" s="379" t="s">
        <v>1918</v>
      </c>
      <c r="O238" s="380"/>
      <c r="Q238" s="379" t="s">
        <v>1919</v>
      </c>
      <c r="R238" s="380"/>
      <c r="T238" s="379" t="s">
        <v>1920</v>
      </c>
      <c r="U238" s="380"/>
      <c r="W238" s="379" t="s">
        <v>1921</v>
      </c>
      <c r="X238" s="380"/>
      <c r="Z238" s="379" t="s">
        <v>1922</v>
      </c>
      <c r="AA238" s="380"/>
      <c r="AC238" s="379" t="s">
        <v>1923</v>
      </c>
      <c r="AD238" s="380"/>
    </row>
    <row r="239" spans="5:30" ht="20.100000000000001" customHeight="1" x14ac:dyDescent="0.2">
      <c r="E239" s="4" t="s">
        <v>1882</v>
      </c>
      <c r="F239" s="337" t="str">
        <f>IF(ISBLANK(input_mgmt_az1_host3_fqdn),"Value Missing",input_mgmt_az1_host3_fqdn)</f>
        <v>labesxvcf03.vcf.lab.local</v>
      </c>
      <c r="H239" s="4" t="s">
        <v>1882</v>
      </c>
      <c r="I239" s="337" t="str">
        <f>IF(ISBLANK(input_wld_az1_host3_fqdn),"Value Missing",input_wld_az1_host3_fqdn)</f>
        <v>Value Missing</v>
      </c>
      <c r="K239" s="4" t="s">
        <v>1924</v>
      </c>
      <c r="L239" s="337"/>
      <c r="N239" s="4" t="s">
        <v>1924</v>
      </c>
      <c r="O239" s="337"/>
      <c r="Q239" s="4" t="s">
        <v>1924</v>
      </c>
      <c r="R239" s="337"/>
      <c r="T239" s="4" t="s">
        <v>1924</v>
      </c>
      <c r="U239" s="337"/>
      <c r="W239" s="4" t="s">
        <v>1924</v>
      </c>
      <c r="X239" s="337"/>
      <c r="Z239" s="4" t="s">
        <v>1924</v>
      </c>
      <c r="AA239" s="337"/>
      <c r="AC239" s="4" t="s">
        <v>1924</v>
      </c>
      <c r="AD239" s="337"/>
    </row>
    <row r="240" spans="5:30" ht="20.100000000000001" customHeight="1" x14ac:dyDescent="0.2">
      <c r="E240" s="4" t="s">
        <v>1884</v>
      </c>
      <c r="F240" s="337" t="str">
        <f>IF(ISBLANK(input_mgmt_az1_host4_fqdn),"Value Missing",input_mgmt_az1_host4_fqdn)</f>
        <v>labesxvcf04.vcf.lab.local</v>
      </c>
      <c r="G240" s="24"/>
      <c r="H240" s="4" t="s">
        <v>1884</v>
      </c>
      <c r="I240" s="337" t="str">
        <f>IF(ISBLANK(input_wld_az1_host4_fqdn),"Value Missing",input_wld_az1_host4_fqdn)</f>
        <v>Value Missing</v>
      </c>
      <c r="J240" s="24"/>
      <c r="K240" s="4" t="s">
        <v>1925</v>
      </c>
      <c r="L240" s="337"/>
      <c r="N240" s="4" t="s">
        <v>1925</v>
      </c>
      <c r="O240" s="337"/>
      <c r="Q240" s="4" t="s">
        <v>1925</v>
      </c>
      <c r="R240" s="337"/>
      <c r="T240" s="4" t="s">
        <v>1925</v>
      </c>
      <c r="U240" s="337"/>
      <c r="W240" s="4" t="s">
        <v>1925</v>
      </c>
      <c r="X240" s="337"/>
      <c r="Z240" s="4" t="s">
        <v>1925</v>
      </c>
      <c r="AA240" s="337"/>
      <c r="AC240" s="4" t="s">
        <v>1925</v>
      </c>
      <c r="AD240" s="337"/>
    </row>
    <row r="241" spans="5:30" ht="20.100000000000001" customHeight="1" x14ac:dyDescent="0.2">
      <c r="E241" s="4" t="s">
        <v>1886</v>
      </c>
      <c r="F241" s="337" t="str">
        <f>IF(ISBLANK(input_mgmt_az1_host5_fqdn),"Value Missing",input_mgmt_az1_host5_fqdn)</f>
        <v>Value Missing</v>
      </c>
      <c r="H241" s="4" t="s">
        <v>1886</v>
      </c>
      <c r="I241" s="337" t="str">
        <f>IF(ISBLANK(input_wld_az1_host5_fqdn),"Value Missing",input_wld_az1_host5_fqdn)</f>
        <v>Value Missing</v>
      </c>
      <c r="K241" s="4" t="s">
        <v>1926</v>
      </c>
      <c r="L241" s="337"/>
      <c r="N241" s="4" t="s">
        <v>1926</v>
      </c>
      <c r="O241" s="337"/>
      <c r="Q241" s="4" t="s">
        <v>1926</v>
      </c>
      <c r="R241" s="337"/>
      <c r="T241" s="4" t="s">
        <v>1926</v>
      </c>
      <c r="U241" s="337"/>
      <c r="W241" s="4" t="s">
        <v>1926</v>
      </c>
      <c r="X241" s="337"/>
      <c r="Z241" s="4" t="s">
        <v>1926</v>
      </c>
      <c r="AA241" s="337"/>
      <c r="AC241" s="4" t="s">
        <v>1926</v>
      </c>
      <c r="AD241" s="337"/>
    </row>
    <row r="242" spans="5:30" ht="20.100000000000001" customHeight="1" x14ac:dyDescent="0.2">
      <c r="E242" s="4" t="s">
        <v>1888</v>
      </c>
      <c r="F242" s="337" t="str">
        <f>IF(ISBLANK(input_mgmt_az1_host6_fqdn),"Value Missing",input_mgmt_az1_host6_fqdn)</f>
        <v>Value Missing</v>
      </c>
      <c r="H242" s="4" t="s">
        <v>1888</v>
      </c>
      <c r="I242" s="337" t="str">
        <f>IF(ISBLANK(input_wld_az1_host6_fqdn),"Value Missing",input_wld_az1_host6_fqdn)</f>
        <v>Value Missing</v>
      </c>
      <c r="K242" s="4" t="s">
        <v>1927</v>
      </c>
      <c r="L242" s="337"/>
      <c r="N242" s="4" t="s">
        <v>1927</v>
      </c>
      <c r="O242" s="337"/>
      <c r="Q242" s="4" t="s">
        <v>1927</v>
      </c>
      <c r="R242" s="337"/>
      <c r="T242" s="4" t="s">
        <v>1927</v>
      </c>
      <c r="U242" s="337"/>
      <c r="W242" s="4" t="s">
        <v>1927</v>
      </c>
      <c r="X242" s="337"/>
      <c r="Z242" s="4" t="s">
        <v>1927</v>
      </c>
      <c r="AA242" s="337"/>
      <c r="AC242" s="4" t="s">
        <v>1927</v>
      </c>
      <c r="AD242" s="337"/>
    </row>
    <row r="243" spans="5:30" ht="20.100000000000001" customHeight="1" x14ac:dyDescent="0.2">
      <c r="E243" s="4" t="s">
        <v>1890</v>
      </c>
      <c r="F243" s="337" t="str">
        <f>IF(ISBLANK(input_mgmt_az1_host7_fqdn),"Value Missing",input_mgmt_az1_host7_fqdn)</f>
        <v>Value Missing</v>
      </c>
      <c r="H243" s="4" t="s">
        <v>1890</v>
      </c>
      <c r="I243" s="337" t="str">
        <f>IF(ISBLANK(input_wld_az1_host7_fqdn),"Value Missing",input_wld_az1_host7_fqdn)</f>
        <v>Value Missing</v>
      </c>
      <c r="K243" s="4" t="s">
        <v>1928</v>
      </c>
      <c r="L243" s="337"/>
      <c r="M243" s="24"/>
      <c r="N243" s="4" t="s">
        <v>1928</v>
      </c>
      <c r="O243" s="337"/>
      <c r="Q243" s="4" t="s">
        <v>1928</v>
      </c>
      <c r="R243" s="337"/>
      <c r="T243" s="4" t="s">
        <v>1928</v>
      </c>
      <c r="U243" s="337"/>
      <c r="W243" s="4" t="s">
        <v>1928</v>
      </c>
      <c r="X243" s="337"/>
      <c r="Z243" s="4" t="s">
        <v>1928</v>
      </c>
      <c r="AA243" s="337"/>
      <c r="AC243" s="4" t="s">
        <v>1928</v>
      </c>
      <c r="AD243" s="337"/>
    </row>
    <row r="244" spans="5:30" ht="20.100000000000001" customHeight="1" x14ac:dyDescent="0.2">
      <c r="E244" s="4" t="s">
        <v>1892</v>
      </c>
      <c r="F244" s="337" t="str">
        <f>IF(ISBLANK(input_mgmt_az1_host8_fqdn),"Value Missing",input_mgmt_az1_host8_fqdn)</f>
        <v>Value Missing</v>
      </c>
      <c r="H244" s="4" t="s">
        <v>1892</v>
      </c>
      <c r="I244" s="337" t="str">
        <f>IF(ISBLANK(input_wld_az1_host8_fqdn),"Value Missing",input_wld_az1_host8_fqdn)</f>
        <v>Value Missing</v>
      </c>
      <c r="K244" s="4" t="s">
        <v>1929</v>
      </c>
      <c r="L244" s="337"/>
      <c r="N244" s="4" t="s">
        <v>1929</v>
      </c>
      <c r="O244" s="337"/>
      <c r="Q244" s="4" t="s">
        <v>1929</v>
      </c>
      <c r="R244" s="337"/>
      <c r="T244" s="4" t="s">
        <v>1929</v>
      </c>
      <c r="U244" s="337"/>
      <c r="W244" s="4" t="s">
        <v>1929</v>
      </c>
      <c r="X244" s="337"/>
      <c r="Z244" s="4" t="s">
        <v>1929</v>
      </c>
      <c r="AA244" s="337"/>
      <c r="AC244" s="4" t="s">
        <v>1929</v>
      </c>
      <c r="AD244" s="337"/>
    </row>
    <row r="245" spans="5:30" ht="20.100000000000001" customHeight="1" x14ac:dyDescent="0.2">
      <c r="E245" s="4" t="s">
        <v>1894</v>
      </c>
      <c r="F245" s="337" t="str">
        <f>IF(ISBLANK(input_mgmt_az1_host9_fqdn),"Value Missing",input_mgmt_az1_host9_fqdn)</f>
        <v>Value Missing</v>
      </c>
      <c r="H245" s="4" t="s">
        <v>1894</v>
      </c>
      <c r="I245" s="337" t="str">
        <f>IF(ISBLANK(input_wld_az1_host9_fqdn),"Value Missing",input_wld_az1_host9_fqdn)</f>
        <v>Value Missing</v>
      </c>
      <c r="K245" s="4" t="s">
        <v>1930</v>
      </c>
      <c r="L245" s="337"/>
      <c r="N245" s="4" t="s">
        <v>1930</v>
      </c>
      <c r="O245" s="337"/>
      <c r="Q245" s="4" t="s">
        <v>1930</v>
      </c>
      <c r="R245" s="337"/>
      <c r="T245" s="4" t="s">
        <v>1930</v>
      </c>
      <c r="U245" s="337"/>
      <c r="W245" s="4" t="s">
        <v>1930</v>
      </c>
      <c r="X245" s="337"/>
      <c r="Z245" s="4" t="s">
        <v>1930</v>
      </c>
      <c r="AA245" s="337"/>
      <c r="AC245" s="4" t="s">
        <v>1930</v>
      </c>
      <c r="AD245" s="337"/>
    </row>
    <row r="246" spans="5:30" ht="20.100000000000001" customHeight="1" x14ac:dyDescent="0.2">
      <c r="E246" s="4" t="s">
        <v>1896</v>
      </c>
      <c r="F246" s="337" t="str">
        <f>IF(ISBLANK(input_mgmt_az1_host10_fqdn),"Value Missing",input_mgmt_az1_host10_fqdn)</f>
        <v>Value Missing</v>
      </c>
      <c r="H246" s="4" t="s">
        <v>1896</v>
      </c>
      <c r="I246" s="337" t="str">
        <f>IF(ISBLANK(input_wld_az1_host10_fqdn),"Value Missing",input_wld_az1_host10_fqdn)</f>
        <v>Value Missing</v>
      </c>
      <c r="K246" s="6"/>
      <c r="L246" s="6"/>
      <c r="N246" s="6"/>
      <c r="O246" s="6"/>
      <c r="Q246" s="6"/>
      <c r="R246" s="6"/>
      <c r="T246" s="6"/>
      <c r="U246" s="6"/>
      <c r="W246" s="6"/>
      <c r="X246" s="6"/>
      <c r="Z246" s="6"/>
      <c r="AA246" s="6"/>
      <c r="AC246" s="6"/>
      <c r="AD246" s="6"/>
    </row>
    <row r="247" spans="5:30" ht="20.100000000000001" customHeight="1" x14ac:dyDescent="0.2">
      <c r="E247" s="4" t="s">
        <v>1898</v>
      </c>
      <c r="F247" s="337" t="str">
        <f>IF(ISBLANK(input_mgmt_az1_host11_fqdn),"Value Missing",input_mgmt_az1_host11_fqdn)</f>
        <v>Value Missing</v>
      </c>
      <c r="H247" s="4" t="s">
        <v>1898</v>
      </c>
      <c r="I247" s="337" t="str">
        <f>IF(ISBLANK(input_wld_az1_host11_fqdn),"Value Missing",input_wld_az1_host11_fqdn)</f>
        <v>Value Missing</v>
      </c>
      <c r="K247" s="6"/>
      <c r="L247" s="6"/>
      <c r="N247" s="6"/>
      <c r="O247" s="6"/>
      <c r="Q247" s="6"/>
      <c r="R247" s="6"/>
      <c r="T247" s="6"/>
      <c r="U247" s="6"/>
      <c r="W247" s="6"/>
      <c r="X247" s="6"/>
      <c r="Z247" s="6"/>
      <c r="AA247" s="6"/>
      <c r="AC247" s="34"/>
      <c r="AD247" s="34"/>
    </row>
    <row r="248" spans="5:30" ht="20.100000000000001" customHeight="1" x14ac:dyDescent="0.2">
      <c r="E248" s="4" t="s">
        <v>1900</v>
      </c>
      <c r="F248" s="337" t="str">
        <f>IF(ISBLANK(input_mgmt_az1_host12_fqdn),"Value Missing",input_mgmt_az1_host12_fqdn)</f>
        <v>Value Missing</v>
      </c>
      <c r="H248" s="4" t="s">
        <v>1900</v>
      </c>
      <c r="I248" s="337" t="str">
        <f>IF(ISBLANK(input_wld_az1_host12_fqdn),"Value Missing",input_wld_az1_host12_fqdn)</f>
        <v>Value Missing</v>
      </c>
      <c r="K248" s="379" t="s">
        <v>1917</v>
      </c>
      <c r="L248" s="380"/>
      <c r="N248" s="379" t="s">
        <v>1918</v>
      </c>
      <c r="O248" s="380"/>
      <c r="P248" s="24"/>
      <c r="Q248" s="379" t="s">
        <v>1919</v>
      </c>
      <c r="R248" s="380"/>
      <c r="S248" s="24"/>
      <c r="T248" s="379" t="s">
        <v>1920</v>
      </c>
      <c r="U248" s="380"/>
      <c r="V248" s="24"/>
      <c r="W248" s="379" t="s">
        <v>1921</v>
      </c>
      <c r="X248" s="380"/>
      <c r="Y248" s="24"/>
      <c r="Z248" s="379" t="s">
        <v>1922</v>
      </c>
      <c r="AA248" s="380"/>
      <c r="AB248" s="24"/>
      <c r="AC248" s="379" t="s">
        <v>1923</v>
      </c>
      <c r="AD248" s="380"/>
    </row>
    <row r="249" spans="5:30" ht="20.100000000000001" customHeight="1" x14ac:dyDescent="0.2">
      <c r="E249" s="4" t="s">
        <v>1902</v>
      </c>
      <c r="F249" s="337" t="str">
        <f>IF(ISBLANK(input_mgmt_az1_host13_fqdn),"Value Missing",input_mgmt_az1_host13_fqdn)</f>
        <v>Value Missing</v>
      </c>
      <c r="H249" s="4" t="s">
        <v>1902</v>
      </c>
      <c r="I249" s="337" t="str">
        <f>IF(ISBLANK(input_wld_az1_host13_fqdn),"Value Missing",input_wld_az1_host13_fqdn)</f>
        <v>Value Missing</v>
      </c>
      <c r="J249" s="6"/>
      <c r="K249" s="4" t="s">
        <v>1924</v>
      </c>
      <c r="L249" s="337"/>
      <c r="N249" s="4" t="s">
        <v>1924</v>
      </c>
      <c r="O249" s="337"/>
      <c r="Q249" s="4" t="s">
        <v>1924</v>
      </c>
      <c r="R249" s="337"/>
      <c r="T249" s="4" t="s">
        <v>1924</v>
      </c>
      <c r="U249" s="337"/>
      <c r="W249" s="4" t="s">
        <v>1924</v>
      </c>
      <c r="X249" s="337"/>
      <c r="Z249" s="4" t="s">
        <v>1924</v>
      </c>
      <c r="AA249" s="337"/>
      <c r="AC249" s="4" t="s">
        <v>1924</v>
      </c>
      <c r="AD249" s="337"/>
    </row>
    <row r="250" spans="5:30" ht="20.100000000000001" customHeight="1" x14ac:dyDescent="0.2">
      <c r="E250" s="4" t="s">
        <v>1903</v>
      </c>
      <c r="F250" s="337" t="str">
        <f>IF(ISBLANK(input_mgmt_az1_host14_fqdn),"Value Missing",input_mgmt_az1_host14_fqdn)</f>
        <v>Value Missing</v>
      </c>
      <c r="H250" s="4" t="s">
        <v>1903</v>
      </c>
      <c r="I250" s="337" t="str">
        <f>IF(ISBLANK(input_wld_az1_host14_fqdn),"Value Missing",input_wld_az1_host14_fqdn)</f>
        <v>Value Missing</v>
      </c>
      <c r="J250" s="6"/>
      <c r="K250" s="4" t="s">
        <v>1925</v>
      </c>
      <c r="L250" s="337"/>
      <c r="N250" s="4" t="s">
        <v>1925</v>
      </c>
      <c r="O250" s="337"/>
      <c r="Q250" s="4" t="s">
        <v>1925</v>
      </c>
      <c r="R250" s="337"/>
      <c r="T250" s="4" t="s">
        <v>1925</v>
      </c>
      <c r="U250" s="337"/>
      <c r="W250" s="4" t="s">
        <v>1925</v>
      </c>
      <c r="X250" s="337"/>
      <c r="Z250" s="4" t="s">
        <v>1925</v>
      </c>
      <c r="AA250" s="337"/>
      <c r="AC250" s="4" t="s">
        <v>1925</v>
      </c>
      <c r="AD250" s="337"/>
    </row>
    <row r="251" spans="5:30" ht="20.100000000000001" customHeight="1" x14ac:dyDescent="0.2">
      <c r="E251" s="4" t="s">
        <v>1906</v>
      </c>
      <c r="F251" s="337" t="str">
        <f>IF(ISBLANK(input_mgmt_az1_host15_fqdn),"Value Missing",input_mgmt_az1_host15_fqdn)</f>
        <v>Value Missing</v>
      </c>
      <c r="H251" s="4" t="s">
        <v>1906</v>
      </c>
      <c r="I251" s="337" t="str">
        <f>IF(ISBLANK(input_wld_az1_host15_fqdn),"Value Missing",input_wld_az1_host15_fqdn)</f>
        <v>Value Missing</v>
      </c>
      <c r="K251" s="4" t="s">
        <v>1926</v>
      </c>
      <c r="L251" s="337"/>
      <c r="N251" s="4" t="s">
        <v>1926</v>
      </c>
      <c r="O251" s="337"/>
      <c r="Q251" s="4" t="s">
        <v>1926</v>
      </c>
      <c r="R251" s="337"/>
      <c r="T251" s="4" t="s">
        <v>1926</v>
      </c>
      <c r="U251" s="337"/>
      <c r="W251" s="4" t="s">
        <v>1926</v>
      </c>
      <c r="X251" s="337"/>
      <c r="Z251" s="4" t="s">
        <v>1926</v>
      </c>
      <c r="AA251" s="337"/>
      <c r="AC251" s="4" t="s">
        <v>1926</v>
      </c>
      <c r="AD251" s="337"/>
    </row>
    <row r="252" spans="5:30" ht="20.100000000000001" customHeight="1" x14ac:dyDescent="0.2">
      <c r="E252" s="4" t="s">
        <v>1907</v>
      </c>
      <c r="F252" s="337" t="str">
        <f>IF(ISBLANK(input_mgmt_az1_host16_fqdn),"Value Missing",input_mgmt_az1_host16_fqdn)</f>
        <v>Value Missing</v>
      </c>
      <c r="H252" s="4" t="s">
        <v>1907</v>
      </c>
      <c r="I252" s="337" t="str">
        <f>IF(ISBLANK(input_wld_az1_host16_fqdn),"Value Missing",input_wld_az1_host16_fqdn)</f>
        <v>Value Missing</v>
      </c>
      <c r="K252" s="4" t="s">
        <v>1927</v>
      </c>
      <c r="L252" s="337"/>
      <c r="M252" s="2"/>
      <c r="N252" s="4" t="s">
        <v>1927</v>
      </c>
      <c r="O252" s="337"/>
      <c r="Q252" s="4" t="s">
        <v>1927</v>
      </c>
      <c r="R252" s="337"/>
      <c r="T252" s="4" t="s">
        <v>1927</v>
      </c>
      <c r="U252" s="337"/>
      <c r="W252" s="4" t="s">
        <v>1927</v>
      </c>
      <c r="X252" s="337"/>
      <c r="Z252" s="4" t="s">
        <v>1927</v>
      </c>
      <c r="AA252" s="337"/>
      <c r="AC252" s="4" t="s">
        <v>1927</v>
      </c>
      <c r="AD252" s="337"/>
    </row>
    <row r="253" spans="5:30" ht="20.100000000000001" customHeight="1" x14ac:dyDescent="0.2">
      <c r="H253" s="2"/>
      <c r="I253" s="2"/>
      <c r="K253" s="4" t="s">
        <v>1928</v>
      </c>
      <c r="L253" s="337"/>
      <c r="M253" s="2"/>
      <c r="N253" s="4" t="s">
        <v>1928</v>
      </c>
      <c r="O253" s="337"/>
      <c r="Q253" s="4" t="s">
        <v>1928</v>
      </c>
      <c r="R253" s="337"/>
      <c r="T253" s="4" t="s">
        <v>1928</v>
      </c>
      <c r="U253" s="337"/>
      <c r="W253" s="4" t="s">
        <v>1928</v>
      </c>
      <c r="X253" s="337"/>
      <c r="Z253" s="4" t="s">
        <v>1928</v>
      </c>
      <c r="AA253" s="337"/>
      <c r="AC253" s="4" t="s">
        <v>1928</v>
      </c>
      <c r="AD253" s="337"/>
    </row>
    <row r="254" spans="5:30" ht="20.100000000000001" customHeight="1" x14ac:dyDescent="0.2">
      <c r="E254" s="379" t="s">
        <v>1931</v>
      </c>
      <c r="F254" s="380"/>
      <c r="H254" s="379" t="s">
        <v>1932</v>
      </c>
      <c r="I254" s="380"/>
      <c r="K254" s="4" t="s">
        <v>1929</v>
      </c>
      <c r="L254" s="337"/>
      <c r="M254" s="9" t="str">
        <f>IF(wld_dpg_separation_result="Included",(CONCATENATE(prefix_wld_az1_rack_cidr,".21.0/24")),(CONCATENATE(prefix_wld_az1_rack_cidr,".22.0/24")))</f>
        <v>10.13..21.0/24</v>
      </c>
      <c r="N254" s="4" t="s">
        <v>1929</v>
      </c>
      <c r="O254" s="337"/>
      <c r="Q254" s="4" t="s">
        <v>1929</v>
      </c>
      <c r="R254" s="337"/>
      <c r="T254" s="4" t="s">
        <v>1929</v>
      </c>
      <c r="U254" s="337"/>
      <c r="W254" s="4" t="s">
        <v>1929</v>
      </c>
      <c r="X254" s="337"/>
      <c r="Z254" s="4" t="s">
        <v>1929</v>
      </c>
      <c r="AA254" s="337"/>
      <c r="AC254" s="4" t="s">
        <v>1929</v>
      </c>
      <c r="AD254" s="337"/>
    </row>
    <row r="255" spans="5:30" ht="20.100000000000001" customHeight="1" x14ac:dyDescent="0.2">
      <c r="E255" s="4" t="s">
        <v>1924</v>
      </c>
      <c r="F255" s="337" t="str">
        <f>IF(mgmt_az1_en1_fqdn="Value Missing",mgmt_az1_en1_fqdn,LEFT(mgmt_az1_en1_fqdn,FIND(".",mgmt_az1_en1_fqdn)-1))</f>
        <v>Value Missing</v>
      </c>
      <c r="H255" s="4" t="s">
        <v>1924</v>
      </c>
      <c r="I255" s="337" t="str">
        <f>IF(wld_az1_en1_fqdn="Value Missing",wld_az1_en1_fqdn,LEFT(wld_az1_en1_fqdn,FIND(".",wld_az1_en1_fqdn)-1))</f>
        <v>Value Missing</v>
      </c>
      <c r="K255" s="4" t="s">
        <v>1930</v>
      </c>
      <c r="L255" s="337"/>
      <c r="M255" s="9" t="str">
        <f>IF(wld_dpg_separation_result="Included",(CONCATENATE(prefix_wld_az1_rack_cidr,".32.0/24")),(CONCATENATE(prefix_wld_az1_rack_cidr,".33.0/24")))</f>
        <v>10.13..32.0/24</v>
      </c>
      <c r="N255" s="4" t="s">
        <v>1930</v>
      </c>
      <c r="O255" s="337"/>
      <c r="Q255" s="4" t="s">
        <v>1930</v>
      </c>
      <c r="R255" s="337"/>
      <c r="T255" s="4" t="s">
        <v>1930</v>
      </c>
      <c r="U255" s="337"/>
      <c r="W255" s="4" t="s">
        <v>1930</v>
      </c>
      <c r="X255" s="337"/>
      <c r="Z255" s="4" t="s">
        <v>1930</v>
      </c>
      <c r="AA255" s="337"/>
      <c r="AC255" s="4" t="s">
        <v>1930</v>
      </c>
      <c r="AD255" s="337"/>
    </row>
    <row r="256" spans="5:30" ht="20.100000000000001" customHeight="1" x14ac:dyDescent="0.2">
      <c r="E256" s="4" t="s">
        <v>1925</v>
      </c>
      <c r="F256" s="337" t="str">
        <f>mgmt_az1_en1_fqdn</f>
        <v>Value Missing</v>
      </c>
      <c r="H256" s="4" t="s">
        <v>1925</v>
      </c>
      <c r="I256" s="337" t="str">
        <f>wld_az1_en1_fqdn</f>
        <v>Value Missing</v>
      </c>
      <c r="K256" s="6"/>
      <c r="L256" s="2"/>
      <c r="M256" s="9" t="str">
        <f>IF(wld_dpg_separation_result="Included",(CONCATENATE(prefix_wld_az1_rack_cidr,".43.0/24")),(CONCATENATE(prefix_wld_az1_rack_cidr,".44.0/24")))</f>
        <v>10.13..43.0/24</v>
      </c>
      <c r="N256" s="6"/>
      <c r="O256" s="2"/>
      <c r="Q256" s="6"/>
      <c r="R256" s="2"/>
      <c r="T256" s="6"/>
      <c r="U256" s="2"/>
      <c r="W256" s="6"/>
      <c r="X256" s="2"/>
      <c r="Z256" s="6"/>
      <c r="AA256" s="2"/>
      <c r="AC256" s="6"/>
      <c r="AD256" s="2"/>
    </row>
    <row r="257" spans="5:31" ht="20.100000000000001" customHeight="1" x14ac:dyDescent="0.2">
      <c r="E257" s="4" t="s">
        <v>1926</v>
      </c>
      <c r="F257" s="337" t="str">
        <f>IF(mgmt_az1_en1_mgmt_cidr="Value Missing","Value Missing",(_xlfn.TEXTBEFORE(mgmt_az1_en1_mgmt_cidr,"/",1)))</f>
        <v>Value Missing</v>
      </c>
      <c r="H257" s="4" t="s">
        <v>1926</v>
      </c>
      <c r="I257" s="337" t="str">
        <f>IF(wld_az1_en1_mgmt_cidr="Value Missing","Value Missing",(_xlfn.TEXTBEFORE(wld_az1_en1_mgmt_cidr,"/",1)))</f>
        <v>Value Missing</v>
      </c>
      <c r="L257" s="19"/>
      <c r="M257" s="9" t="str">
        <f>IF(wld_dpg_separation_result="Included",(CONCATENATE(prefix_wld_az1_rack_cidr,".54.0/24")),(CONCATENATE(prefix_wld_az1_rack_cidr,".55.0/24")))</f>
        <v>10.13..54.0/24</v>
      </c>
      <c r="P257" s="2"/>
      <c r="S257" s="2"/>
      <c r="V257" s="2"/>
      <c r="W257" s="2"/>
      <c r="Y257" s="2"/>
      <c r="AB257" s="2"/>
    </row>
    <row r="258" spans="5:31" ht="20.100000000000001" customHeight="1" x14ac:dyDescent="0.2">
      <c r="E258" s="4" t="s">
        <v>1933</v>
      </c>
      <c r="F258" s="337" t="str">
        <f>IF(ISBLANK('Configure Management Domain'!D107),"Value Missing",'Configure Management Domain'!D107)</f>
        <v>Value Missing</v>
      </c>
      <c r="H258" s="4" t="s">
        <v>1933</v>
      </c>
      <c r="I258" s="337" t="str">
        <f>IF(ISBLANK('Configure Workload Domain'!D50),"Value Missing",'Configure Workload Domain'!D50)</f>
        <v>Value Missing</v>
      </c>
      <c r="L258" s="19"/>
      <c r="M258" s="9" t="str">
        <f>IF(wld_dpg_separation_result="Included",(CONCATENATE(prefix_wld_az1_rack_cidr,".65.0/24")),(CONCATENATE(prefix_wld_az1_rack_cidr,".66.0/24")))</f>
        <v>10.13..65.0/24</v>
      </c>
      <c r="P258" s="2"/>
      <c r="S258" s="2"/>
      <c r="V258" s="2"/>
      <c r="W258" s="2"/>
      <c r="Y258" s="2"/>
      <c r="AB258" s="2"/>
    </row>
    <row r="259" spans="5:31" ht="20.100000000000001" customHeight="1" x14ac:dyDescent="0.2">
      <c r="E259" s="4" t="s">
        <v>1927</v>
      </c>
      <c r="F259" s="337" t="str">
        <f>IF(ISBLANK('Configure Management Domain'!D159),"Value Missing",'Configure Management Domain'!D159)</f>
        <v>Value Missing</v>
      </c>
      <c r="H259" s="4" t="s">
        <v>1927</v>
      </c>
      <c r="I259" s="337" t="str">
        <f>IF(ISBLANK('Configure Workload Domain'!D102),"Value Missing",'Configure Workload Domain'!D102)</f>
        <v>Value Missing</v>
      </c>
      <c r="K259" s="201" t="str">
        <f t="array" ref="K259">IF(wld_dpg_separation_result="Included",CONCATENATE(prefix_wld_az1_rack_vlan,"21"),CONCATENATE(prefix_wld_az1_rack_vlan,"22"))</f>
        <v>1321</v>
      </c>
      <c r="L259" s="347"/>
      <c r="M259" s="9" t="str">
        <f>IF(wld_dpg_separation_result="Included",(CONCATENATE(prefix_wld_az1_rack_cidr,".76.0/24")),(CONCATENATE(prefix_wld_az1_rack_cidr,".77.0/24")))</f>
        <v>10.13..76.0/24</v>
      </c>
      <c r="N259" s="347"/>
      <c r="O259" s="9" t="str">
        <f>IF(wld_dpg_separation_result="Included",CONCATENATE(prefix_wld_az1_rack_cidr,".21.1"),CONCATENATE(prefix_wld_az1_rack_cidr,".22.1"))</f>
        <v>10.13..21.1</v>
      </c>
      <c r="P259" s="347"/>
      <c r="Q259" s="9">
        <v>1500</v>
      </c>
      <c r="R259" s="347"/>
      <c r="S259" s="2"/>
      <c r="V259" s="2"/>
      <c r="W259" s="2"/>
      <c r="Y259" s="2"/>
      <c r="AB259" s="2"/>
    </row>
    <row r="260" spans="5:31" ht="20.100000000000001" customHeight="1" x14ac:dyDescent="0.2">
      <c r="E260" s="4" t="s">
        <v>1928</v>
      </c>
      <c r="F260" s="337" t="str">
        <f>IF(ISBLANK('Configure Management Domain'!D166),"Value Missing",'Configure Management Domain'!D166)</f>
        <v>Value Missing</v>
      </c>
      <c r="H260" s="4" t="s">
        <v>1928</v>
      </c>
      <c r="I260" s="337" t="str">
        <f>IF(ISBLANK('Configure Workload Domain'!D109),"Value Missing",'Configure Workload Domain'!D109)</f>
        <v>Value Missing</v>
      </c>
      <c r="K260" s="201" t="str">
        <f>IF(wld_dpg_separation_result="Included",CONCATENATE(prefix_wld_az1_rack_vlan,"32"),CONCATENATE(prefix_wld_az1_rack_vlan,"33"))</f>
        <v>1332</v>
      </c>
      <c r="L260" s="347"/>
      <c r="M260" s="9" t="str">
        <f>IF(wld_dpg_separation_result="Included",(CONCATENATE(prefix_wld_az1_rack_cidr,".87.0/24")),(CONCATENATE(prefix_wld_az1_rack_cidr,".88.0/24")))</f>
        <v>10.13..87.0/24</v>
      </c>
      <c r="N260" s="347"/>
      <c r="O260" s="9" t="str">
        <f>IF(wld_dpg_separation_result="Included",CONCATENATE(prefix_wld_az1_rack_cidr,".32.1"),CONCATENATE(prefix_wld_az1_rack_cidr,".33.1"))</f>
        <v>10.13..32.1</v>
      </c>
      <c r="P260" s="347"/>
      <c r="Q260" s="9">
        <v>1500</v>
      </c>
      <c r="R260" s="347"/>
      <c r="S260" s="2"/>
      <c r="V260" s="2"/>
      <c r="W260" s="2"/>
      <c r="Y260" s="2"/>
      <c r="AB260" s="2"/>
    </row>
    <row r="261" spans="5:31" ht="20.100000000000001" customHeight="1" x14ac:dyDescent="0.2">
      <c r="E261" s="4" t="s">
        <v>1929</v>
      </c>
      <c r="F261" s="337" t="str">
        <f>IF(ISBLANK('Configure Management Domain'!D120),"Value Missing",'Configure Management Domain'!D120)</f>
        <v>Value Missing</v>
      </c>
      <c r="H261" s="4" t="s">
        <v>1929</v>
      </c>
      <c r="I261" s="337" t="str">
        <f>IF(ISBLANK('Configure Workload Domain'!D63),"Value Missing",'Configure Workload Domain'!D63)</f>
        <v>Value Missing</v>
      </c>
      <c r="K261" s="201" t="str">
        <f>IF(wld_dpg_separation_result="Included",CONCATENATE(prefix_wld_az1_rack_vlan,"43"),CONCATENATE(prefix_wld_az1_rack_vlan,"44"))</f>
        <v>1343</v>
      </c>
      <c r="L261" s="347"/>
      <c r="M261" s="2"/>
      <c r="N261" s="347"/>
      <c r="O261" s="9" t="str">
        <f>IF(wld_dpg_separation_result="Included",CONCATENATE(prefix_wld_az1_rack_cidr,".43.1"),CONCATENATE(prefix_wld_az1_rack_cidr,".44.1"))</f>
        <v>10.13..43.1</v>
      </c>
      <c r="P261" s="347"/>
      <c r="Q261" s="9">
        <v>1500</v>
      </c>
      <c r="R261" s="347"/>
      <c r="S261" s="2"/>
      <c r="V261" s="2"/>
      <c r="W261" s="2"/>
      <c r="Y261" s="2"/>
      <c r="AB261" s="2"/>
    </row>
    <row r="262" spans="5:31" ht="20.100000000000001" customHeight="1" x14ac:dyDescent="0.2">
      <c r="E262" s="4" t="s">
        <v>1930</v>
      </c>
      <c r="F262" s="337" t="str">
        <f>IF(ISBLANK('Configure Management Domain'!D121),"Value Missing",'Configure Management Domain'!D121)</f>
        <v>Value Missing</v>
      </c>
      <c r="H262" s="4" t="s">
        <v>1930</v>
      </c>
      <c r="I262" s="337" t="str">
        <f>IF(ISBLANK('Configure Workload Domain'!D64),"Value Missing",'Configure Workload Domain'!D64)</f>
        <v>Value Missing</v>
      </c>
      <c r="K262" s="201" t="str">
        <f>IF(wld_dpg_separation_result="Included",CONCATENATE(prefix_wld_az1_rack_vlan,"54"),CONCATENATE(prefix_wld_az1_rack_vlan,"55"))</f>
        <v>1354</v>
      </c>
      <c r="L262" s="347"/>
      <c r="M262" s="2"/>
      <c r="N262" s="347"/>
      <c r="O262" s="9" t="str">
        <f>IF(wld_dpg_separation_result="Included",CONCATENATE(prefix_wld_az1_rack_cidr,".54.1"),CONCATENATE(prefix_wld_az1_rack_cidr,".55.1"))</f>
        <v>10.13..54.1</v>
      </c>
      <c r="P262" s="347"/>
      <c r="Q262" s="9">
        <v>1500</v>
      </c>
      <c r="R262" s="347"/>
      <c r="S262" s="2"/>
      <c r="V262" s="2"/>
      <c r="W262" s="2"/>
      <c r="Y262" s="2"/>
      <c r="AB262" s="2"/>
    </row>
    <row r="263" spans="5:31" ht="20.100000000000001" customHeight="1" x14ac:dyDescent="0.2">
      <c r="E263" s="4" t="s">
        <v>1934</v>
      </c>
      <c r="F263" s="337" t="str">
        <f>IF(ISBLANK(mgmt_en01_bfd_chosen),"Value Missing",mgmt_en01_bfd_chosen)</f>
        <v>Selected</v>
      </c>
      <c r="H263" s="6"/>
      <c r="I263" s="6"/>
      <c r="K263" s="201" t="str">
        <f>IF(wld_dpg_separation_result="Included",CONCATENATE(prefix_wld_az1_rack_vlan,"65"),CONCATENATE(prefix_wld_az1_rack_vlan,"66"))</f>
        <v>1365</v>
      </c>
      <c r="L263" s="347"/>
      <c r="M263" s="2"/>
      <c r="N263" s="347"/>
      <c r="O263" s="9" t="str">
        <f>IF(wld_dpg_separation_result="Included",CONCATENATE(prefix_wld_az1_rack_cidr,".65.1"),CONCATENATE(prefix_wld_az1_rack_cidr,".66.1"))</f>
        <v>10.13..65.1</v>
      </c>
      <c r="P263" s="347"/>
      <c r="Q263" s="9">
        <v>1500</v>
      </c>
      <c r="R263" s="347"/>
      <c r="S263" s="2"/>
      <c r="V263" s="2"/>
      <c r="W263" s="2"/>
      <c r="Y263" s="2"/>
      <c r="AB263" s="2"/>
    </row>
    <row r="264" spans="5:31" ht="20.100000000000001" customHeight="1" x14ac:dyDescent="0.2">
      <c r="E264" s="6"/>
      <c r="H264" s="6"/>
      <c r="K264" s="201" t="str">
        <f>IF(wld_dpg_separation_result="Included",CONCATENATE(prefix_wld_az1_rack_vlan,"76"),CONCATENATE(prefix_wld_az1_rack_vlan,"77"))</f>
        <v>1376</v>
      </c>
      <c r="L264" s="347"/>
      <c r="M264" s="2"/>
      <c r="N264" s="347"/>
      <c r="O264" s="9" t="str">
        <f>IF(wld_dpg_separation_result="Included",CONCATENATE(prefix_wld_az1_rack_cidr,".76.1"),CONCATENATE(prefix_wld_az1_rack_cidr,".77.1"))</f>
        <v>10.13..76.1</v>
      </c>
      <c r="P264" s="347"/>
      <c r="Q264" s="9">
        <v>1500</v>
      </c>
      <c r="R264" s="347"/>
      <c r="S264" s="2"/>
      <c r="V264" s="2"/>
      <c r="W264" s="2"/>
      <c r="Y264" s="2"/>
      <c r="AB264" s="2"/>
      <c r="AE264" s="19"/>
    </row>
    <row r="265" spans="5:31" ht="20.100000000000001" customHeight="1" x14ac:dyDescent="0.2">
      <c r="E265" s="379" t="s">
        <v>1935</v>
      </c>
      <c r="F265" s="380"/>
      <c r="G265" s="24"/>
      <c r="H265" s="379" t="s">
        <v>1936</v>
      </c>
      <c r="I265" s="380"/>
      <c r="K265" s="201" t="str">
        <f>IF(wld_dpg_separation_result="Included",CONCATENATE(prefix_wld_az1_rack_vlan,"87"),CONCATENATE(prefix_wld_az1_rack_vlan,"88"))</f>
        <v>1387</v>
      </c>
      <c r="L265" s="347"/>
      <c r="M265" s="2"/>
      <c r="N265" s="347"/>
      <c r="O265" s="9" t="str">
        <f>IF(wld_dpg_separation_result="Included",CONCATENATE(prefix_wld_az1_rack_cidr,".87.1"),CONCATENATE(prefix_wld_az1_rack_cidr,".88.1"))</f>
        <v>10.13..87.1</v>
      </c>
      <c r="P265" s="347"/>
      <c r="Q265" s="9">
        <v>1500</v>
      </c>
      <c r="R265" s="347"/>
      <c r="S265" s="2"/>
      <c r="V265" s="2"/>
      <c r="W265" s="2"/>
      <c r="Y265" s="2"/>
      <c r="AB265" s="2"/>
    </row>
    <row r="266" spans="5:31" ht="20.100000000000001" customHeight="1" x14ac:dyDescent="0.2">
      <c r="E266" s="4" t="s">
        <v>1924</v>
      </c>
      <c r="F266" s="337" t="str">
        <f>IF(mgmt_az1_en2_fqdn="Value Missing",mgmt_az1_en2_fqdn,LEFT(mgmt_az1_en2_fqdn,FIND(".",mgmt_az1_en2_fqdn)-1))</f>
        <v>Value Missing</v>
      </c>
      <c r="H266" s="4" t="s">
        <v>1924</v>
      </c>
      <c r="I266" s="337" t="str">
        <f>IF(wld_az1_en2_fqdn="Value Missing",wld_az1_en2_fqdn,LEFT(wld_az1_en2_fqdn,FIND(".",wld_az1_en2_fqdn)-1))</f>
        <v>Value Missing</v>
      </c>
      <c r="L266" s="19"/>
      <c r="M266" s="2"/>
      <c r="P266" s="2"/>
      <c r="S266" s="2"/>
      <c r="V266" s="2"/>
      <c r="W266" s="2"/>
      <c r="Y266" s="2"/>
      <c r="AB266" s="2"/>
    </row>
    <row r="267" spans="5:31" ht="20.100000000000001" customHeight="1" x14ac:dyDescent="0.2">
      <c r="E267" s="4" t="s">
        <v>1925</v>
      </c>
      <c r="F267" s="337" t="str">
        <f>mgmt_az1_en1_fqdn</f>
        <v>Value Missing</v>
      </c>
      <c r="H267" s="4" t="s">
        <v>1925</v>
      </c>
      <c r="I267" s="337" t="str">
        <f>wld_az1_en2_fqdn</f>
        <v>Value Missing</v>
      </c>
      <c r="L267" s="19"/>
      <c r="M267" s="2"/>
      <c r="P267" s="2"/>
      <c r="S267" s="2"/>
      <c r="V267" s="2"/>
      <c r="W267" s="2"/>
      <c r="Y267" s="2"/>
      <c r="AB267" s="2"/>
    </row>
    <row r="268" spans="5:31" ht="20.100000000000001" customHeight="1" x14ac:dyDescent="0.2">
      <c r="E268" s="4" t="s">
        <v>1926</v>
      </c>
      <c r="F268" s="337" t="str">
        <f>IF(mgmt_az1_en2_mgmt_cidr="Value Missing","Value Missing",(_xlfn.TEXTBEFORE(mgmt_az1_en2_mgmt_cidr,"/",1)))</f>
        <v>Value Missing</v>
      </c>
      <c r="H268" s="4" t="s">
        <v>1926</v>
      </c>
      <c r="I268" s="337" t="str">
        <f>IF(wld_az1_en2_mgmt_cidr="Value Missing","Value Missing",(_xlfn.TEXTBEFORE(wld_az1_en2_mgmt_cidr,"/",1)))</f>
        <v>Value Missing</v>
      </c>
      <c r="L268" s="19"/>
      <c r="M268" s="2"/>
      <c r="P268" s="2"/>
      <c r="S268" s="2"/>
      <c r="V268" s="2"/>
      <c r="W268" s="2"/>
      <c r="Y268" s="2"/>
      <c r="AB268" s="2"/>
    </row>
    <row r="269" spans="5:31" ht="20.100000000000001" customHeight="1" x14ac:dyDescent="0.2">
      <c r="E269" s="4" t="s">
        <v>1933</v>
      </c>
      <c r="F269" s="337" t="str">
        <f>IF(ISBLANK('Configure Management Domain'!D133),"Value Missing",'Configure Management Domain'!D133)</f>
        <v>Value Missing</v>
      </c>
      <c r="H269" s="4" t="s">
        <v>1933</v>
      </c>
      <c r="I269" s="337" t="str">
        <f>IF(ISBLANK('Configure Workload Domain'!D76),"Value Missing",'Configure Workload Domain'!D76)</f>
        <v>Value Missing</v>
      </c>
      <c r="L269" s="19"/>
      <c r="P269" s="2"/>
      <c r="S269" s="2"/>
      <c r="V269" s="2"/>
      <c r="W269" s="2"/>
      <c r="Y269" s="2"/>
      <c r="AB269" s="2"/>
    </row>
    <row r="270" spans="5:31" ht="20.100000000000001" customHeight="1" x14ac:dyDescent="0.2">
      <c r="E270" s="4" t="s">
        <v>1927</v>
      </c>
      <c r="F270" s="337" t="str">
        <f>IF(ISBLANK('Configure Management Domain'!D174),"Value Missing",'Configure Management Domain'!D174)</f>
        <v>Value Missing</v>
      </c>
      <c r="H270" s="4" t="s">
        <v>1927</v>
      </c>
      <c r="I270" s="337" t="str">
        <f>IF(ISBLANK('Configure Workload Domain'!D117),"Value Missing",'Configure Workload Domain'!D117)</f>
        <v>Value Missing</v>
      </c>
      <c r="L270" s="19"/>
      <c r="P270" s="2"/>
      <c r="S270" s="2"/>
      <c r="V270" s="2"/>
      <c r="W270" s="2"/>
      <c r="Y270" s="2"/>
      <c r="AB270" s="2"/>
    </row>
    <row r="271" spans="5:31" ht="20.100000000000001" customHeight="1" x14ac:dyDescent="0.2">
      <c r="E271" s="4" t="s">
        <v>1928</v>
      </c>
      <c r="F271" s="337" t="str">
        <f>IF(ISBLANK('Configure Management Domain'!D181),"Value Missing",'Configure Management Domain'!D181)</f>
        <v>Value Missing</v>
      </c>
      <c r="H271" s="4" t="s">
        <v>1928</v>
      </c>
      <c r="I271" s="337" t="str">
        <f>IF(ISBLANK('Configure Workload Domain'!D124),"Value Missing",'Configure Workload Domain'!D124)</f>
        <v>Value Missing</v>
      </c>
      <c r="L271" s="19"/>
      <c r="P271" s="2"/>
      <c r="S271" s="2"/>
      <c r="V271" s="2"/>
      <c r="W271" s="2"/>
      <c r="Y271" s="2"/>
      <c r="AB271" s="2"/>
    </row>
    <row r="272" spans="5:31" ht="20.100000000000001" customHeight="1" x14ac:dyDescent="0.2">
      <c r="E272" s="4" t="s">
        <v>1929</v>
      </c>
      <c r="F272" s="337" t="str">
        <f>IF(ISBLANK('Configure Management Domain'!D144),"Value Missing",'Configure Management Domain'!D144)</f>
        <v>Value Missing</v>
      </c>
      <c r="H272" s="4" t="s">
        <v>1929</v>
      </c>
      <c r="I272" s="337" t="str">
        <f>IF(ISBLANK('Configure Workload Domain'!D87),"Value Missing",'Configure Workload Domain'!D87)</f>
        <v>Value Missing</v>
      </c>
      <c r="L272" s="19"/>
      <c r="S272" s="2"/>
      <c r="V272" s="2"/>
      <c r="W272" s="2"/>
      <c r="Y272" s="2"/>
      <c r="AB272" s="2"/>
    </row>
    <row r="273" spans="5:28" ht="20.100000000000001" customHeight="1" x14ac:dyDescent="0.2">
      <c r="E273" s="4" t="s">
        <v>1930</v>
      </c>
      <c r="F273" s="337" t="str">
        <f>IF(ISBLANK('Configure Management Domain'!D145),"Value Missing",'Configure Management Domain'!D145)</f>
        <v>Value Missing</v>
      </c>
      <c r="H273" s="4" t="s">
        <v>1930</v>
      </c>
      <c r="I273" s="337" t="str">
        <f>IF(ISBLANK('Configure Workload Domain'!D88),"Value Missing",'Configure Workload Domain'!D88)</f>
        <v>Value Missing</v>
      </c>
      <c r="L273" s="19"/>
      <c r="S273" s="2"/>
      <c r="V273" s="2"/>
      <c r="W273" s="2"/>
      <c r="Y273" s="2"/>
      <c r="AB273" s="2"/>
    </row>
    <row r="274" spans="5:28" ht="20.100000000000001" customHeight="1" x14ac:dyDescent="0.2">
      <c r="E274" s="4" t="s">
        <v>1934</v>
      </c>
      <c r="F274" s="337" t="str">
        <f>IF(ISBLANK(mgmt_en02_bfd_chosen),"Value Missing",mgmt_en02_bfd_chosen)</f>
        <v>Selected</v>
      </c>
      <c r="H274" s="6"/>
      <c r="I274" s="2"/>
    </row>
    <row r="276" spans="5:28" ht="20.100000000000001" customHeight="1" x14ac:dyDescent="0.2">
      <c r="E276" s="379" t="s">
        <v>1937</v>
      </c>
      <c r="F276" s="381"/>
      <c r="H276" s="379" t="s">
        <v>1938</v>
      </c>
      <c r="I276" s="381"/>
    </row>
    <row r="277" spans="5:28" ht="20.100000000000001" customHeight="1" x14ac:dyDescent="0.2">
      <c r="E277" s="11" t="s">
        <v>259</v>
      </c>
      <c r="F277" s="14" t="s">
        <v>1939</v>
      </c>
      <c r="H277" s="11" t="s">
        <v>259</v>
      </c>
      <c r="I277" s="12" t="s">
        <v>1939</v>
      </c>
    </row>
    <row r="278" spans="5:28" ht="20.100000000000001" customHeight="1" x14ac:dyDescent="0.2">
      <c r="E278" s="4" t="s">
        <v>1655</v>
      </c>
      <c r="F278" s="337"/>
      <c r="H278" s="4" t="s">
        <v>1655</v>
      </c>
      <c r="I278" s="337"/>
    </row>
    <row r="279" spans="5:28" ht="20.100000000000001" customHeight="1" x14ac:dyDescent="0.2">
      <c r="E279" s="4" t="s">
        <v>1657</v>
      </c>
      <c r="F279" s="337" t="str">
        <f>IF(ISBLANK('Configure Management Domain'!D225),"Value Missing",'Configure Management Domain'!D225)</f>
        <v>Value Missing</v>
      </c>
      <c r="G279" s="24"/>
      <c r="H279" s="4" t="s">
        <v>1657</v>
      </c>
      <c r="I279" s="337" t="str">
        <f>IF(ISBLANK('Configure Workload Domain'!D169),"Value Missing",'Configure Workload Domain'!D169)</f>
        <v>Value Missing</v>
      </c>
    </row>
    <row r="280" spans="5:28" ht="20.100000000000001" customHeight="1" x14ac:dyDescent="0.2">
      <c r="E280" s="4" t="s">
        <v>404</v>
      </c>
      <c r="F280" s="337" t="str">
        <f>IF(ISBLANK('Configure Management Domain'!D252),"Value Missing",'Configure Management Domain'!D252)</f>
        <v>Value Missing</v>
      </c>
      <c r="H280" s="4" t="s">
        <v>404</v>
      </c>
      <c r="I280" s="337" t="str">
        <f>IF(ISBLANK(input_wld_az2_vmotion_vlan),"Value Missing",input_wld_az2_vmotion_vlan)</f>
        <v>Value Missing</v>
      </c>
    </row>
    <row r="281" spans="5:28" ht="20.100000000000001" customHeight="1" x14ac:dyDescent="0.2">
      <c r="E281" s="17" t="str">
        <f>CONCATENATE("Principal Storage Network ",wld_principal_storage_chosen)</f>
        <v>Principal Storage Network vSAN-ESA</v>
      </c>
      <c r="F281" s="337" t="str">
        <f>IF(ISBLANK('Configure Management Domain'!D260),"Value Missing",'Configure Management Domain'!D260)</f>
        <v>Value Missing</v>
      </c>
      <c r="H281" s="17" t="s">
        <v>1940</v>
      </c>
      <c r="I281" s="337" t="str">
        <f>IF(ISBLANK(input_wld_az2_principal_storage_vlan),"Value Missing",input_wld_az2_principal_storage_vlan)</f>
        <v>Value Missing</v>
      </c>
    </row>
    <row r="282" spans="5:28" ht="20.100000000000001" customHeight="1" x14ac:dyDescent="0.2">
      <c r="E282" s="4" t="s">
        <v>1661</v>
      </c>
      <c r="F282" s="337" t="str">
        <f>IF(ISBLANK('Configure Management Domain'!D365),"Value Missing",'Configure Management Domain'!D365)</f>
        <v>Value Missing</v>
      </c>
      <c r="H282" s="4" t="s">
        <v>1661</v>
      </c>
      <c r="I282" s="337" t="str">
        <f>IF(ISBLANK('Configure Workload Domain'!D323),"Value Missing",'Configure Workload Domain'!D323)</f>
        <v>Value Missing</v>
      </c>
    </row>
    <row r="283" spans="5:28" ht="20.100000000000001" customHeight="1" x14ac:dyDescent="0.2">
      <c r="E283" s="4" t="s">
        <v>1662</v>
      </c>
      <c r="F283" s="337" t="str">
        <f>IF(ISBLANK(input_mgmt_az2_secondary_storage_vlan),"Value Missing",input_mgmt_az2_secondary_storage_vlan)</f>
        <v>Value Missing</v>
      </c>
      <c r="H283" s="4" t="s">
        <v>1662</v>
      </c>
      <c r="I283" s="337" t="str">
        <f>IF(ISBLANK('Configure Workload Domain'!D213),"Value Missing",'Configure Workload Domain'!D213)</f>
        <v>Value Missing</v>
      </c>
    </row>
    <row r="284" spans="5:28" ht="20.100000000000001" customHeight="1" x14ac:dyDescent="0.2">
      <c r="E284" s="4" t="s">
        <v>1664</v>
      </c>
      <c r="F284" s="337" t="str">
        <f>IF(ISBLANK(input_mgmt_az1_uplink01_vlan),"Value Missing",input_mgmt_az1_uplink01_vlan)</f>
        <v>Value Missing</v>
      </c>
      <c r="H284" s="4" t="s">
        <v>1231</v>
      </c>
      <c r="I284" s="337" t="str">
        <f>IF(ISBLANK(input_wld_az2_storage_cluster_vlan),"Value Missing",input_wld_az2_storage_cluster_vlan)</f>
        <v>Value Missing</v>
      </c>
    </row>
    <row r="285" spans="5:28" ht="20.100000000000001" customHeight="1" x14ac:dyDescent="0.2">
      <c r="E285" s="4" t="s">
        <v>1665</v>
      </c>
      <c r="F285" s="337" t="str">
        <f>IF(ISBLANK(input_mgmt_az1_uplink02_vlan),"Value Missing",input_mgmt_az1_uplink02_vlan)</f>
        <v>Value Missing</v>
      </c>
      <c r="H285" s="4" t="s">
        <v>1664</v>
      </c>
      <c r="I285" s="337" t="str">
        <f>IF(ISBLANK(input_wld_az1_uplink01_vlan),"Value Missing",input_wld_az1_uplink01_vlan)</f>
        <v>Value Missing</v>
      </c>
    </row>
    <row r="286" spans="5:28" ht="20.100000000000001" customHeight="1" x14ac:dyDescent="0.2">
      <c r="E286" s="4" t="s">
        <v>1667</v>
      </c>
      <c r="F286" s="337" t="str">
        <f>IF(ISBLANK(input_mgmt_az1_edge_overlay_vlan),"Value Missing",input_mgmt_az1_edge_overlay_vlan)</f>
        <v>Value Missing</v>
      </c>
      <c r="H286" s="4" t="s">
        <v>1665</v>
      </c>
      <c r="I286" s="337" t="str">
        <f>IF(ISBLANK(input_wld_az1_uplink02_vlan),"Value Missing",input_wld_az1_uplink02_vlan)</f>
        <v>Value Missing</v>
      </c>
    </row>
    <row r="287" spans="5:28" ht="20.100000000000001" customHeight="1" x14ac:dyDescent="0.2">
      <c r="E287" s="4" t="s">
        <v>1669</v>
      </c>
      <c r="F287" s="337" t="str">
        <f>IF(ISBLANK(input_mgmt_az1_rtep_overlay_vlan),"Value Missing",input_mgmt_az1_rtep_overlay_vlan)</f>
        <v>Value Missing</v>
      </c>
      <c r="H287" s="4" t="s">
        <v>1667</v>
      </c>
      <c r="I287" s="337" t="str">
        <f>IF(ISBLANK(input_wld_az1_edge_overlay_vlan),"Value Missing",input_wld_az1_edge_overlay_vlan)</f>
        <v>Value Missing</v>
      </c>
    </row>
    <row r="288" spans="5:28" ht="20.100000000000001" customHeight="1" x14ac:dyDescent="0.2">
      <c r="E288" s="4" t="s">
        <v>1671</v>
      </c>
      <c r="F288" s="337" t="str">
        <f>IF(ISBLANK(input_mgmt_az1_vrms_vlan),"Value Missing",input_mgmt_az1_vrms_vlan)</f>
        <v>Value Missing</v>
      </c>
      <c r="H288" s="4" t="s">
        <v>1669</v>
      </c>
      <c r="I288" s="337" t="str">
        <f>IF(ISBLANK(input_wld_az1_rtep_overlay_vlan),"Value Missing",input_wld_az1_rtep_overlay_vlan)</f>
        <v>Value Missing</v>
      </c>
    </row>
    <row r="289" spans="5:9" ht="20.100000000000001" customHeight="1" x14ac:dyDescent="0.2">
      <c r="E289" s="2"/>
      <c r="F289" s="2"/>
      <c r="H289" s="4" t="s">
        <v>1671</v>
      </c>
      <c r="I289" s="337" t="str">
        <f>IF(ISBLANK(input_wld_az1_vrms_vlan),"Value Missing",input_wld_az1_vrms_vlan)</f>
        <v>Value Missing</v>
      </c>
    </row>
    <row r="290" spans="5:9" ht="20.100000000000001" customHeight="1" x14ac:dyDescent="0.2">
      <c r="E290" s="379" t="s">
        <v>1941</v>
      </c>
      <c r="F290" s="381"/>
    </row>
    <row r="291" spans="5:9" ht="20.100000000000001" customHeight="1" x14ac:dyDescent="0.2">
      <c r="E291" s="11" t="s">
        <v>259</v>
      </c>
      <c r="F291" s="14" t="s">
        <v>1939</v>
      </c>
      <c r="H291" s="379" t="s">
        <v>1942</v>
      </c>
      <c r="I291" s="381"/>
    </row>
    <row r="292" spans="5:9" ht="20.100000000000001" customHeight="1" x14ac:dyDescent="0.2">
      <c r="E292" s="4" t="s">
        <v>1655</v>
      </c>
      <c r="F292" s="337"/>
      <c r="H292" s="11" t="s">
        <v>259</v>
      </c>
      <c r="I292" s="12" t="s">
        <v>1943</v>
      </c>
    </row>
    <row r="293" spans="5:9" ht="20.100000000000001" customHeight="1" x14ac:dyDescent="0.2">
      <c r="E293" s="4" t="s">
        <v>1657</v>
      </c>
      <c r="F293" s="337" t="str">
        <f>IF(ISBLANK('Configure Management Domain'!D227),"Value Missing",'Configure Management Domain'!D227)</f>
        <v>Value Missing</v>
      </c>
      <c r="G293" s="24"/>
      <c r="H293" s="4" t="s">
        <v>1655</v>
      </c>
      <c r="I293" s="337"/>
    </row>
    <row r="294" spans="5:9" ht="20.100000000000001" customHeight="1" x14ac:dyDescent="0.2">
      <c r="E294" s="4" t="s">
        <v>404</v>
      </c>
      <c r="F294" s="337" t="str">
        <f>IF(OR(mgmt_az2_vmotion_network="Value Missing",mgmt_az2_vmotion_network="Value Missing"),"Value Missing",(CONCATENATE(mgmt_az2_vmotion_network,"/",VLOOKUP(mgmt_az2_vmotion_mask,table_mask_to_cidr,2,FALSE))))</f>
        <v>Value Missing</v>
      </c>
      <c r="H294" s="4" t="s">
        <v>1657</v>
      </c>
      <c r="I294" s="337" t="str">
        <f>IF(ISBLANK('Configure Workload Domain'!D171),"Value Missing",'Configure Workload Domain'!D171)</f>
        <v>Value Missing</v>
      </c>
    </row>
    <row r="295" spans="5:9" ht="20.100000000000001" customHeight="1" x14ac:dyDescent="0.2">
      <c r="E295" s="17" t="str">
        <f>CONCATENATE("Principal Storage Network ",wld_principal_storage_chosen)</f>
        <v>Principal Storage Network vSAN-ESA</v>
      </c>
      <c r="F295" s="337" t="str">
        <f>IF(OR(mgmt_az2_vsan_network="Value Missing",mgmt_az2_vsan_network="Value Missing"),"Value Missing",(CONCATENATE(mgmt_az2_vsan_network,"/",VLOOKUP(mgmt_az2_vsan_mask,table_mask_to_cidr,2,FALSE))))</f>
        <v>Value Missing</v>
      </c>
      <c r="H295" s="4" t="s">
        <v>404</v>
      </c>
      <c r="I295" s="337" t="str">
        <f>IF(OR(ISBLANK(input_wld_az2_vmotion_network),input_wld_az2_vmotion_network="Value Missing"),"Value Missing",(CONCATENATE(input_wld_az2_vmotion_network,"/",VLOOKUP(input_wld_az2_vmotion_mask,table_mask_to_cidr,2,FALSE))))</f>
        <v>Value Missing</v>
      </c>
    </row>
    <row r="296" spans="5:9" ht="20.100000000000001" customHeight="1" x14ac:dyDescent="0.2">
      <c r="E296" s="4" t="s">
        <v>1661</v>
      </c>
      <c r="F296" s="337" t="str">
        <f>IF(ISBLANK(input_mgmt_az2_host_overlay_cidr),"Value Missing",input_mgmt_az2_host_overlay_cidr)</f>
        <v>Value Missing</v>
      </c>
      <c r="H296" s="17" t="s">
        <v>1940</v>
      </c>
      <c r="I296" s="337" t="str">
        <f>IF(OR(ISBLANK(input_wld_az2_principal_storage_network),input_wld_az2_principal_storage_network="Value Missing"),"Value Missing",(CONCATENATE(input_wld_az2_principal_storage_network,"/",VLOOKUP(input_wld_az2_principal_storage_mask,table_mask_to_cidr,2,FALSE))))</f>
        <v>Value Missing</v>
      </c>
    </row>
    <row r="297" spans="5:9" ht="20.100000000000001" customHeight="1" x14ac:dyDescent="0.2">
      <c r="E297" s="4" t="s">
        <v>1662</v>
      </c>
      <c r="F297" s="337" t="str">
        <f>IF(OR(mgmt_az2_secondary_storage_network="Value Missing",mgmt_az2_secondary_storage_network="Value Missing"),"Value Missing",(CONCATENATE(mgmt_az2_secondary_storage_network,"/",VLOOKUP(mgmt_az2_vmotion_mask,table_mask_to_cidr,2,FALSE))))</f>
        <v>Value Missing</v>
      </c>
      <c r="H297" s="4" t="s">
        <v>1661</v>
      </c>
      <c r="I297" s="337" t="str">
        <f>IF(ISBLANK(input_wld_az2_host_overlay_cidr),"Value Missing",input_wld_az2_host_overlay_cidr)</f>
        <v>Value Missing</v>
      </c>
    </row>
    <row r="298" spans="5:9" ht="20.100000000000001" customHeight="1" x14ac:dyDescent="0.2">
      <c r="E298" s="4" t="s">
        <v>1664</v>
      </c>
      <c r="F298" s="337" t="str">
        <f>IF(ISBLANK(input_mgmt_az1_uplink01_cidr),"Value Missing",input_mgmt_az1_uplink01_cidr)</f>
        <v>Value Missing</v>
      </c>
      <c r="H298" s="4" t="s">
        <v>1662</v>
      </c>
      <c r="I298" s="337" t="e">
        <f>IF(OR(wld_az2_secondary_storage_network="Value Missing",wld_az2_secondary_storage_mask="Value Missing"),"Value Missing",(CONCATENATE(wld_az2_secondary_storage_network,"/",VLOOKUP(wld_az2_secondary_storage_mask,table_mask_to_cidr,2,FALSE))))</f>
        <v>#N/A</v>
      </c>
    </row>
    <row r="299" spans="5:9" ht="20.100000000000001" customHeight="1" x14ac:dyDescent="0.2">
      <c r="E299" s="4" t="s">
        <v>1665</v>
      </c>
      <c r="F299" s="337" t="str">
        <f>IF(ISBLANK(input_mgmt_az1_uplink02_cidr),"Value Missing",input_mgmt_az1_uplink02_cidr)</f>
        <v>Value Missing</v>
      </c>
      <c r="H299" s="4" t="s">
        <v>1231</v>
      </c>
      <c r="I299" s="337" t="str">
        <f>IF(OR(ISBLANK(wld_az2_storage_cluster_network),wld_az2_storage_cluster_mask="Value Missing"),"Value Missing",(CONCATENATE(wld_az2_storage_cluster_network,"/",VLOOKUP(wld_az2_storage_cluster_mask,table_mask_to_cidr,2,FALSE))))</f>
        <v>Value Missing</v>
      </c>
    </row>
    <row r="300" spans="5:9" ht="20.100000000000001" customHeight="1" x14ac:dyDescent="0.2">
      <c r="E300" s="4" t="s">
        <v>1667</v>
      </c>
      <c r="F300" s="337" t="str">
        <f>IF(ISBLANK(input_mgmt_az1_edge_overlay_cidr),"Value Missing",input_mgmt_az1_edge_overlay_cidr)</f>
        <v>Value Missing</v>
      </c>
      <c r="H300" s="4" t="s">
        <v>1664</v>
      </c>
      <c r="I300" s="337" t="str">
        <f>IF(ISBLANK(input_wld_az1_uplink01_cidr),"Value Missing",input_wld_az1_uplink01_cidr)</f>
        <v>Value Missing</v>
      </c>
    </row>
    <row r="301" spans="5:9" ht="20.100000000000001" customHeight="1" x14ac:dyDescent="0.2">
      <c r="E301" s="4" t="s">
        <v>1669</v>
      </c>
      <c r="F301" s="337" t="str">
        <f>IF(ISBLANK(input_mgmt_az1_rtep_overlay_cidr),"Value Missing",input_mgmt_az1_rtep_overlay_cidr)</f>
        <v>Value Missing</v>
      </c>
      <c r="H301" s="4" t="s">
        <v>1665</v>
      </c>
      <c r="I301" s="337" t="str">
        <f>IF(ISBLANK(input_wld_az1_uplink02_cidr),"Value Missing",input_wld_az1_uplink02_cidr)</f>
        <v>Value Missing</v>
      </c>
    </row>
    <row r="302" spans="5:9" ht="20.100000000000001" customHeight="1" x14ac:dyDescent="0.2">
      <c r="E302" s="4" t="s">
        <v>1671</v>
      </c>
      <c r="F302" s="337"/>
      <c r="H302" s="4" t="s">
        <v>1667</v>
      </c>
      <c r="I302" s="337" t="str">
        <f>IF(ISBLANK(input_wld_az1_edge_overlay_cidr),"Value Missing",input_wld_az1_edge_overlay_cidr)</f>
        <v>Value Missing</v>
      </c>
    </row>
    <row r="303" spans="5:9" ht="20.100000000000001" customHeight="1" x14ac:dyDescent="0.2">
      <c r="E303" s="6"/>
      <c r="F303" s="6"/>
      <c r="H303" s="4" t="s">
        <v>1669</v>
      </c>
      <c r="I303" s="337" t="str">
        <f>IF(ISBLANK(input_wld_az1_rtep_overlay_cidr),"Value Missing",input_wld_az1_rtep_overlay_cidr)</f>
        <v>Value Missing</v>
      </c>
    </row>
    <row r="304" spans="5:9" ht="20.100000000000001" customHeight="1" x14ac:dyDescent="0.2">
      <c r="E304" s="379" t="s">
        <v>1944</v>
      </c>
      <c r="F304" s="381"/>
      <c r="H304" s="4" t="s">
        <v>1671</v>
      </c>
      <c r="I304" s="337" t="str">
        <f>IF(ISBLANK(input_wld_az1_vrms_cidr),"Value Missing",input_wld_az1_vrms_cidr)</f>
        <v>Value Missing</v>
      </c>
    </row>
    <row r="305" spans="5:9" ht="20.100000000000001" customHeight="1" x14ac:dyDescent="0.2">
      <c r="E305" s="11" t="s">
        <v>259</v>
      </c>
      <c r="F305" s="14" t="s">
        <v>1939</v>
      </c>
      <c r="H305" s="6"/>
      <c r="I305" s="6"/>
    </row>
    <row r="306" spans="5:9" ht="20.100000000000001" customHeight="1" x14ac:dyDescent="0.2">
      <c r="E306" s="4" t="s">
        <v>1655</v>
      </c>
      <c r="F306" s="337"/>
      <c r="G306" s="24"/>
      <c r="H306" s="379" t="s">
        <v>1945</v>
      </c>
      <c r="I306" s="381"/>
    </row>
    <row r="307" spans="5:9" ht="20.100000000000001" customHeight="1" x14ac:dyDescent="0.2">
      <c r="E307" s="4" t="s">
        <v>1657</v>
      </c>
      <c r="F307" s="337" t="str">
        <f>IF(ISBLANK(input_mgmt_az2_mgmt_cidr),"Value Missing",LEFT(mgmt_az2_mgmt_cidr,(FIND("/",mgmt_az2_mgmt_cidr)-1)))</f>
        <v>Value Missing</v>
      </c>
      <c r="G307" s="24"/>
      <c r="H307" s="11" t="s">
        <v>259</v>
      </c>
      <c r="I307" s="12" t="s">
        <v>1943</v>
      </c>
    </row>
    <row r="308" spans="5:9" ht="20.100000000000001" customHeight="1" x14ac:dyDescent="0.2">
      <c r="E308" s="4" t="s">
        <v>404</v>
      </c>
      <c r="F308" s="337" t="str">
        <f>IF(ISBLANK(input_mgmt_az2_vmotion_network),"Value Missing",input_mgmt_az2_vmotion_network)</f>
        <v>Value Missing</v>
      </c>
      <c r="H308" s="4" t="s">
        <v>1655</v>
      </c>
      <c r="I308" s="337" t="s">
        <v>496</v>
      </c>
    </row>
    <row r="309" spans="5:9" ht="20.100000000000001" customHeight="1" x14ac:dyDescent="0.2">
      <c r="E309" s="17" t="str">
        <f>CONCATENATE("Principal Storage Network ",wld_principal_storage_chosen)</f>
        <v>Principal Storage Network vSAN-ESA</v>
      </c>
      <c r="F309" s="337" t="str">
        <f>IF(ISBLANK(input_mgmt_az2_vsan_network),"Value Missing",input_mgmt_az2_vsan_network)</f>
        <v>Value Missing</v>
      </c>
      <c r="H309" s="4" t="s">
        <v>1657</v>
      </c>
      <c r="I309" s="337" t="str">
        <f>IF(OR(ISBLANK(wld_az2_mgmt_cidr),wld_az2_mgmt_cidr="Value Missing"),"Value Missing",LEFT(wld_az2_mgmt_cidr,(FIND("/",wld_az2_mgmt_cidr)-1)))</f>
        <v>Value Missing</v>
      </c>
    </row>
    <row r="310" spans="5:9" ht="20.100000000000001" customHeight="1" x14ac:dyDescent="0.2">
      <c r="E310" s="4" t="s">
        <v>1661</v>
      </c>
      <c r="F310" s="337" t="str">
        <f>IF(OR(ISBLANK(mgmt_az2_host_overlay_cidr),mgmt_az2_host_overlay_cidr="Value Missing"),"Value Missing",LEFT(mgmt_az2_host_overlay_cidr,(FIND("/",mgmt_az2_host_overlay_cidr)-1)))</f>
        <v>Value Missing</v>
      </c>
      <c r="H310" s="4" t="s">
        <v>404</v>
      </c>
      <c r="I310" s="337" t="str">
        <f>IF(ISBLANK(input_wld_az2_vmotion_network),"Value Missing",input_wld_az2_vmotion_network)</f>
        <v>Value Missing</v>
      </c>
    </row>
    <row r="311" spans="5:9" ht="20.100000000000001" customHeight="1" x14ac:dyDescent="0.2">
      <c r="E311" s="4" t="s">
        <v>1662</v>
      </c>
      <c r="F311" s="337" t="str">
        <f>IF(ISBLANK(input_mgmt_az2_secondary_storage_network),"Value Missing",input_mgmt_az2_secondary_storage_network)</f>
        <v>Value Missing</v>
      </c>
      <c r="H311" s="17" t="s">
        <v>1940</v>
      </c>
      <c r="I311" s="337" t="str">
        <f>IF(ISBLANK(input_wld_az2_principal_storage_network),"Value Missing",input_wld_az2_principal_storage_network)</f>
        <v>Value Missing</v>
      </c>
    </row>
    <row r="312" spans="5:9" ht="20.100000000000001" customHeight="1" x14ac:dyDescent="0.2">
      <c r="E312" s="4" t="s">
        <v>1664</v>
      </c>
      <c r="F312" s="337" t="str">
        <f>IF(mgmt_az1_uplink01_cidr="Value Missing",mgmt_az1_uplink01_cidr,LEFT(mgmt_az1_uplink01_cidr,(FIND("/",mgmt_az1_uplink01_cidr)-1)))</f>
        <v>Value Missing</v>
      </c>
      <c r="H312" s="4" t="s">
        <v>1661</v>
      </c>
      <c r="I312" s="337" t="str">
        <f>IF(OR(ISBLANK(wld_az2_host_overlay_cidr),wld_az2_host_overlay_cidr="Value Missing"),"Value Missing",LEFT(wld_az2_host_overlay_cidr,(FIND("/",wld_az2_host_overlay_cidr)-1)))</f>
        <v>Value Missing</v>
      </c>
    </row>
    <row r="313" spans="5:9" ht="20.100000000000001" customHeight="1" x14ac:dyDescent="0.2">
      <c r="E313" s="4" t="s">
        <v>1665</v>
      </c>
      <c r="F313" s="337" t="str">
        <f>IF(mgmt_az1_uplink02_cidr="Value Missing",mgmt_az1_uplink02_cidr,LEFT(mgmt_az1_uplink02_cidr,(FIND("/",mgmt_az1_uplink02_cidr)-1)))</f>
        <v>Value Missing</v>
      </c>
      <c r="H313" s="4" t="s">
        <v>1662</v>
      </c>
      <c r="I313" s="2">
        <f>input_wld_az2_secondary_storage_network</f>
        <v>0</v>
      </c>
    </row>
    <row r="314" spans="5:9" ht="20.100000000000001" customHeight="1" x14ac:dyDescent="0.2">
      <c r="E314" s="4" t="s">
        <v>1667</v>
      </c>
      <c r="F314" s="337" t="str">
        <f>IF(mgmt_az1_edge_overlay_cidr="Value Missing",mgmt_az1_edge_overlay_cidr,(LEFT(mgmt_az1_edge_overlay_cidr,(FIND("/",mgmt_az1_edge_overlay_cidr)-1))))</f>
        <v>Value Missing</v>
      </c>
      <c r="H314" s="4" t="s">
        <v>1231</v>
      </c>
      <c r="I314" s="2" t="str">
        <f>IF(ISBLANK(input_wld_az2_storage_cluster_network),"Value Missing",input_wld_az2_storage_cluster_network)</f>
        <v>Value Missing</v>
      </c>
    </row>
    <row r="315" spans="5:9" ht="20.100000000000001" customHeight="1" x14ac:dyDescent="0.2">
      <c r="E315" s="4" t="s">
        <v>1669</v>
      </c>
      <c r="F315" s="337" t="str">
        <f>mgmt_az1_rtep_overlay_cidr</f>
        <v>Value Missing</v>
      </c>
      <c r="H315" s="4" t="s">
        <v>1664</v>
      </c>
      <c r="I315" s="337" t="str">
        <f>wld_az1_uplink01_network</f>
        <v>Value Missing</v>
      </c>
    </row>
    <row r="316" spans="5:9" ht="20.100000000000001" customHeight="1" x14ac:dyDescent="0.2">
      <c r="E316" s="4" t="s">
        <v>1671</v>
      </c>
      <c r="F316" s="337"/>
      <c r="H316" s="4" t="s">
        <v>1665</v>
      </c>
      <c r="I316" s="337" t="str">
        <f>wld_az1_uplink02_network</f>
        <v>Value Missing</v>
      </c>
    </row>
    <row r="317" spans="5:9" ht="20.100000000000001" customHeight="1" x14ac:dyDescent="0.2">
      <c r="E317" s="2"/>
      <c r="F317" s="2"/>
      <c r="H317" s="4" t="s">
        <v>1667</v>
      </c>
      <c r="I317" s="337" t="str">
        <f>wld_az1_edge_overlay_network</f>
        <v>Value Missing</v>
      </c>
    </row>
    <row r="318" spans="5:9" ht="20.100000000000001" customHeight="1" x14ac:dyDescent="0.2">
      <c r="E318" s="379" t="s">
        <v>1946</v>
      </c>
      <c r="F318" s="381"/>
      <c r="H318" s="4" t="s">
        <v>1669</v>
      </c>
      <c r="I318" s="337" t="str">
        <f>IF(ISBLANK(input_wld_az1_rtep_overlay_cidr),"Value Missing",input_wld_az1_rtep_overlay_cidr)</f>
        <v>Value Missing</v>
      </c>
    </row>
    <row r="319" spans="5:9" ht="20.100000000000001" customHeight="1" x14ac:dyDescent="0.2">
      <c r="E319" s="11" t="s">
        <v>259</v>
      </c>
      <c r="F319" s="14" t="s">
        <v>1939</v>
      </c>
      <c r="H319" s="4" t="s">
        <v>1671</v>
      </c>
      <c r="I319" s="337" t="str">
        <f>IF(ISBLANK(input_wld_az1_vrms_cidr),"Value Missing",input_wld_az1_vrms_cidr)</f>
        <v>Value Missing</v>
      </c>
    </row>
    <row r="320" spans="5:9" ht="20.100000000000001" customHeight="1" x14ac:dyDescent="0.2">
      <c r="E320" s="4" t="s">
        <v>1655</v>
      </c>
      <c r="F320" s="337"/>
    </row>
    <row r="321" spans="5:9" ht="20.100000000000001" customHeight="1" x14ac:dyDescent="0.2">
      <c r="E321" s="4" t="s">
        <v>1657</v>
      </c>
      <c r="F321" s="337" t="str">
        <f>IF(mgmt_az2_mgmt_cidr="Value Missing","Value Missing",VLOOKUP(INT(RIGHT(mgmt_az2_mgmt_cidr,LEN(mgmt_az2_mgmt_cidr)-FIND("/",mgmt_az2_mgmt_cidr))),table_cidr_to_mask,2,FALSE))</f>
        <v>Value Missing</v>
      </c>
      <c r="G321" s="24"/>
      <c r="H321" s="379" t="s">
        <v>1947</v>
      </c>
      <c r="I321" s="381"/>
    </row>
    <row r="322" spans="5:9" ht="20.100000000000001" customHeight="1" x14ac:dyDescent="0.2">
      <c r="E322" s="4" t="s">
        <v>404</v>
      </c>
      <c r="F322" s="337" t="str">
        <f>IF(ISBLANK(input_mgmt_az2_vmotion_mask),"Value Missing",input_mgmt_az2_vmotion_mask)</f>
        <v>Value Missing</v>
      </c>
      <c r="H322" s="11" t="s">
        <v>259</v>
      </c>
      <c r="I322" s="12" t="s">
        <v>1943</v>
      </c>
    </row>
    <row r="323" spans="5:9" ht="20.100000000000001" customHeight="1" x14ac:dyDescent="0.2">
      <c r="E323" s="17" t="str">
        <f>CONCATENATE("Principal Storage Network ",wld_principal_storage_chosen)</f>
        <v>Principal Storage Network vSAN-ESA</v>
      </c>
      <c r="F323" s="337" t="str">
        <f>IF(ISBLANK(input_mgmt_az2_vsan_mask),"Value Missing",input_mgmt_az2_vsan_mask)</f>
        <v>Value Missing</v>
      </c>
      <c r="H323" s="4" t="s">
        <v>1655</v>
      </c>
      <c r="I323" s="337" t="s">
        <v>496</v>
      </c>
    </row>
    <row r="324" spans="5:9" ht="20.100000000000001" customHeight="1" x14ac:dyDescent="0.2">
      <c r="E324" s="4" t="s">
        <v>1661</v>
      </c>
      <c r="F324" s="337" t="str">
        <f>IF(mgmt_az2_host_overlay_cidr="Value Missing","Value Missing",(VLOOKUP(INT(RIGHT(mgmt_az2_host_overlay_cidr,LEN(mgmt_az2_host_overlay_cidr)-FIND("/",mgmt_az2_host_overlay_cidr))),table_cidr_to_mask,2,FALSE)))</f>
        <v>Value Missing</v>
      </c>
      <c r="H324" s="4" t="s">
        <v>1657</v>
      </c>
      <c r="I324" s="337" t="str">
        <f>IF(wld_az2_mgmt_cidr="Value Missing","Value Missing",VLOOKUP(INT(RIGHT(wld_az2_mgmt_cidr,LEN(wld_az2_mgmt_cidr)-FIND("/",wld_az2_mgmt_cidr))),table_cidr_to_mask,2,FALSE))</f>
        <v>Value Missing</v>
      </c>
    </row>
    <row r="325" spans="5:9" ht="20.100000000000001" customHeight="1" x14ac:dyDescent="0.2">
      <c r="E325" s="4" t="s">
        <v>1662</v>
      </c>
      <c r="F325" s="337" t="str">
        <f>IF(ISBLANK(input_mgmt_az2_secondary_storage_mask),"Value Missing",input_mgmt_az2_secondary_storage_mask)</f>
        <v>Value Missing</v>
      </c>
      <c r="H325" s="4" t="s">
        <v>404</v>
      </c>
      <c r="I325" s="337" t="str">
        <f>IF(ISBLANK(input_wld_az2_vmotion_mask),"Value Missing",input_wld_az2_vmotion_mask)</f>
        <v>Value Missing</v>
      </c>
    </row>
    <row r="326" spans="5:9" ht="20.100000000000001" customHeight="1" x14ac:dyDescent="0.2">
      <c r="E326" s="4" t="s">
        <v>1664</v>
      </c>
      <c r="F326" s="337" t="str">
        <f>mgmt_az1_uplink01_mask</f>
        <v>Value Missing</v>
      </c>
      <c r="H326" s="17" t="s">
        <v>1940</v>
      </c>
      <c r="I326" s="337" t="str">
        <f>IF(ISBLANK(input_wld_az2_principal_storage_mask),"Value Missing",input_wld_az2_principal_storage_mask)</f>
        <v>Value Missing</v>
      </c>
    </row>
    <row r="327" spans="5:9" ht="20.100000000000001" customHeight="1" x14ac:dyDescent="0.2">
      <c r="E327" s="4" t="s">
        <v>1665</v>
      </c>
      <c r="F327" s="337" t="str">
        <f>mgmt_az1_uplink02_mask</f>
        <v>Value Missing</v>
      </c>
      <c r="H327" s="4" t="s">
        <v>1661</v>
      </c>
      <c r="I327" s="337" t="str">
        <f>IF(wld_az2_host_overlay_cidr="Value Missing","Value Missing",(VLOOKUP(INT(RIGHT(wld_az2_host_overlay_cidr,LEN(wld_az2_host_overlay_cidr)-FIND("/",wld_az2_host_overlay_cidr))),table_cidr_to_mask,2,FALSE)))</f>
        <v>Value Missing</v>
      </c>
    </row>
    <row r="328" spans="5:9" ht="20.100000000000001" customHeight="1" x14ac:dyDescent="0.2">
      <c r="E328" s="4" t="s">
        <v>1667</v>
      </c>
      <c r="F328" s="337" t="str">
        <f>mgmt_az1_edge_overlay_mask</f>
        <v>Value Missing</v>
      </c>
      <c r="H328" s="4" t="s">
        <v>1662</v>
      </c>
      <c r="I328" s="2">
        <f>input_wld_az2_secondary_storage_mask</f>
        <v>0</v>
      </c>
    </row>
    <row r="329" spans="5:9" ht="20.100000000000001" customHeight="1" x14ac:dyDescent="0.2">
      <c r="E329" s="4" t="s">
        <v>1669</v>
      </c>
      <c r="F329" s="337"/>
      <c r="H329" s="4" t="s">
        <v>1231</v>
      </c>
      <c r="I329" s="2" t="str">
        <f>IF(ISBLANK(input_wld_az2_storage_cluster_mask),"Value Missing",input_wld_az2_storage_cluster_mask)</f>
        <v>Value Missing</v>
      </c>
    </row>
    <row r="330" spans="5:9" ht="20.100000000000001" customHeight="1" x14ac:dyDescent="0.2">
      <c r="E330" s="4" t="s">
        <v>1671</v>
      </c>
      <c r="F330" s="337" t="str">
        <f>IF(mgmt_az2_mgmt_cidr="Value Missing","Value Missing",VLOOKUP(INT(RIGHT(mgmt_az2_mgmt_cidr,LEN(mgmt_az2_mgmt_cidr)-FIND("/",mgmt_az2_mgmt_cidr))),table_cidr_to_mask,2,FALSE))</f>
        <v>Value Missing</v>
      </c>
      <c r="H330" s="4" t="s">
        <v>1664</v>
      </c>
      <c r="I330" s="337" t="str">
        <f>wld_az1_uplink01_mask</f>
        <v>Value Missing</v>
      </c>
    </row>
    <row r="331" spans="5:9" ht="20.100000000000001" customHeight="1" x14ac:dyDescent="0.2">
      <c r="E331" s="2"/>
      <c r="F331" s="2"/>
      <c r="H331" s="4" t="s">
        <v>1665</v>
      </c>
      <c r="I331" s="337" t="str">
        <f>wld_az1_uplink02_mask</f>
        <v>Value Missing</v>
      </c>
    </row>
    <row r="332" spans="5:9" ht="20.100000000000001" customHeight="1" x14ac:dyDescent="0.2">
      <c r="E332" s="379" t="s">
        <v>1948</v>
      </c>
      <c r="F332" s="381"/>
      <c r="H332" s="4" t="s">
        <v>1667</v>
      </c>
      <c r="I332" s="337" t="str">
        <f>wld_az1_edge_overlay_mask</f>
        <v>Value Missing</v>
      </c>
    </row>
    <row r="333" spans="5:9" ht="20.100000000000001" customHeight="1" x14ac:dyDescent="0.2">
      <c r="E333" s="11" t="s">
        <v>259</v>
      </c>
      <c r="F333" s="12" t="s">
        <v>1939</v>
      </c>
      <c r="H333" s="4" t="s">
        <v>1669</v>
      </c>
      <c r="I333" s="337" t="str">
        <f>IF(ISBLANK(input_wld_az1_rtep_overlay_cidr),"Value Missing",input_wld_az1_rtep_overlay_cidr)</f>
        <v>Value Missing</v>
      </c>
    </row>
    <row r="334" spans="5:9" ht="20.100000000000001" customHeight="1" x14ac:dyDescent="0.2">
      <c r="E334" s="4" t="s">
        <v>1655</v>
      </c>
      <c r="F334" s="337"/>
      <c r="H334" s="4" t="s">
        <v>1671</v>
      </c>
      <c r="I334" s="337" t="str">
        <f>IF(ISBLANK(input_wld_az1_vrms_cidr),"Value Missing",input_wld_az1_vrms_cidr)</f>
        <v>Value Missing</v>
      </c>
    </row>
    <row r="335" spans="5:9" ht="20.100000000000001" customHeight="1" x14ac:dyDescent="0.2">
      <c r="E335" s="4" t="s">
        <v>1657</v>
      </c>
      <c r="F335" s="337" t="str">
        <f>IF(ISBLANK('Configure Management Domain'!D226),"Value Missing",'Configure Management Domain'!D226)</f>
        <v>Value Missing</v>
      </c>
      <c r="G335" s="24"/>
    </row>
    <row r="336" spans="5:9" ht="20.100000000000001" customHeight="1" x14ac:dyDescent="0.2">
      <c r="E336" s="4" t="s">
        <v>404</v>
      </c>
      <c r="F336" s="337" t="str">
        <f>IF(ISBLANK('Configure Management Domain'!D256),"Value Missing",'Configure Management Domain'!D256)</f>
        <v>Value Missing</v>
      </c>
      <c r="H336" s="379" t="s">
        <v>1949</v>
      </c>
      <c r="I336" s="381"/>
    </row>
    <row r="337" spans="2:37" ht="20.100000000000001" customHeight="1" x14ac:dyDescent="0.2">
      <c r="E337" s="17" t="str">
        <f>CONCATENATE("Principal Storage Network ",wld_principal_storage_chosen)</f>
        <v>Principal Storage Network vSAN-ESA</v>
      </c>
      <c r="F337" s="337" t="str">
        <f>IF(ISBLANK('Configure Management Domain'!D264),"Value Missing",'Configure Management Domain'!D264)</f>
        <v>Value Missing</v>
      </c>
      <c r="H337" s="11" t="s">
        <v>259</v>
      </c>
      <c r="I337" s="12" t="s">
        <v>1943</v>
      </c>
    </row>
    <row r="338" spans="2:37" ht="20.100000000000001" customHeight="1" x14ac:dyDescent="0.2">
      <c r="E338" s="4" t="s">
        <v>1661</v>
      </c>
      <c r="F338" s="337" t="str">
        <f>IF(ISBLANK('Configure Management Domain'!D366),"Value Missing",'Configure Management Domain'!D366)</f>
        <v>Value Missing</v>
      </c>
      <c r="H338" s="4" t="s">
        <v>1655</v>
      </c>
      <c r="I338" s="337" t="s">
        <v>496</v>
      </c>
    </row>
    <row r="339" spans="2:37" ht="20.100000000000001" customHeight="1" x14ac:dyDescent="0.2">
      <c r="B339" s="2"/>
      <c r="C339" s="2"/>
      <c r="E339" s="4" t="s">
        <v>1662</v>
      </c>
      <c r="F339" s="337" t="str">
        <f>IF(ISBLANK(input_mgmt_az2_secondary_storage_gateway_ip),"Value Missing",input_mgmt_az2_secondary_storage_gateway_ip)</f>
        <v>Value Missing</v>
      </c>
      <c r="H339" s="4" t="s">
        <v>1657</v>
      </c>
      <c r="I339" s="337" t="str">
        <f>IF(ISBLANK('Configure Workload Domain'!D170),"Value Missing",'Configure Workload Domain'!D170)</f>
        <v>Value Missing</v>
      </c>
    </row>
    <row r="340" spans="2:37" ht="20.100000000000001" customHeight="1" x14ac:dyDescent="0.2">
      <c r="B340" s="2"/>
      <c r="C340" s="2"/>
      <c r="E340" s="4" t="s">
        <v>1664</v>
      </c>
      <c r="F340" s="337" t="str">
        <f>IF(ISBLANK(mgmt_az1_uplink01_gateway_ip),"Value Missing",mgmt_az1_uplink01_gateway_ip)</f>
        <v>Value Missing</v>
      </c>
      <c r="H340" s="4" t="s">
        <v>404</v>
      </c>
      <c r="I340" s="337" t="str">
        <f>IF(ISBLANK(input_wld_az2_vmotion_gateway_ip),"Value Missing",input_wld_az2_vmotion_gateway_ip)</f>
        <v>Value Missing</v>
      </c>
    </row>
    <row r="341" spans="2:37" ht="20.100000000000001" customHeight="1" x14ac:dyDescent="0.2">
      <c r="B341" s="2"/>
      <c r="C341" s="2"/>
      <c r="E341" s="4" t="s">
        <v>1665</v>
      </c>
      <c r="F341" s="337" t="str">
        <f>IF(ISBLANK(input_mgmt_az1_uplink02_gateway_ip),"Value Missing",mgmt_az1_uplink02_gateway_ip)</f>
        <v>Value Missing</v>
      </c>
      <c r="H341" s="17" t="s">
        <v>1940</v>
      </c>
      <c r="I341" s="337" t="str">
        <f>IF(ISBLANK(input_wld_az2_principal_storage_gateway_ip),"Value Missing",input_wld_az2_principal_storage_gateway_ip)</f>
        <v>Value Missing</v>
      </c>
    </row>
    <row r="342" spans="2:37" ht="20.100000000000001" customHeight="1" x14ac:dyDescent="0.2">
      <c r="B342" s="2"/>
      <c r="C342" s="2"/>
      <c r="E342" s="4" t="s">
        <v>1667</v>
      </c>
      <c r="F342" s="337" t="str">
        <f>IF(ISBLANK(input_mgmt_az1_edge_overlay_gateway_ip),"Value Missing",input_mgmt_az1_edge_overlay_gateway_ip)</f>
        <v>Value Missing</v>
      </c>
      <c r="H342" s="4" t="s">
        <v>1661</v>
      </c>
      <c r="I342" s="337" t="str">
        <f>IF(ISBLANK(input_wld_az2_host_overlay_gateway_ip),"Value Missing",input_wld_az2_host_overlay_gateway_ip)</f>
        <v>Value Missing</v>
      </c>
    </row>
    <row r="343" spans="2:37" ht="20.100000000000001" customHeight="1" x14ac:dyDescent="0.2">
      <c r="B343" s="2"/>
      <c r="C343" s="2"/>
      <c r="E343" s="4" t="s">
        <v>1669</v>
      </c>
      <c r="F343" s="337" t="str">
        <f>IF(ISBLANK(input_mgmt_az1_rtep_overlay_gateway_ip),"Value Missing",input_mgmt_az1_rtep_overlay_gateway_ip)</f>
        <v>Value Missing</v>
      </c>
      <c r="H343" s="4" t="s">
        <v>1662</v>
      </c>
      <c r="I343" s="337" t="str">
        <f>IF(ISBLANK(input_wld_az2_secondary_storage_gateway_ip),"Value Missing",input_wld_az2_secondary_storage_gateway_ip)</f>
        <v>Value Missing</v>
      </c>
    </row>
    <row r="344" spans="2:37" ht="20.100000000000001" customHeight="1" x14ac:dyDescent="0.2">
      <c r="B344" s="2"/>
      <c r="C344" s="2"/>
      <c r="E344" s="4" t="s">
        <v>1671</v>
      </c>
      <c r="F344" s="337"/>
      <c r="H344" s="4" t="s">
        <v>1231</v>
      </c>
      <c r="I344" s="337" t="str">
        <f>IF(ISBLANK(input_wld_az2_storage_cluster_gateway_ip),"Value Missing",input_wld_az2_storage_cluster_gateway_ip)</f>
        <v>Value Missing</v>
      </c>
    </row>
    <row r="345" spans="2:37" ht="20.100000000000001" customHeight="1" x14ac:dyDescent="0.2">
      <c r="B345" s="2"/>
      <c r="C345" s="2"/>
      <c r="E345" s="2"/>
      <c r="F345" s="2"/>
      <c r="G345" s="24"/>
      <c r="H345" s="4" t="s">
        <v>1664</v>
      </c>
      <c r="I345" s="337" t="str">
        <f>wld_az1_uplink01_gateway_ip</f>
        <v>Value Missing</v>
      </c>
    </row>
    <row r="346" spans="2:37" ht="20.100000000000001" customHeight="1" x14ac:dyDescent="0.2">
      <c r="B346" s="2"/>
      <c r="C346" s="2"/>
      <c r="E346" s="379" t="s">
        <v>1950</v>
      </c>
      <c r="F346" s="381"/>
      <c r="H346" s="4" t="s">
        <v>1665</v>
      </c>
      <c r="I346" s="337" t="str">
        <f>wld_az1_uplink02_gateway_ip</f>
        <v>Value Missing</v>
      </c>
    </row>
    <row r="347" spans="2:37" ht="20.100000000000001" customHeight="1" x14ac:dyDescent="0.2">
      <c r="B347" s="2"/>
      <c r="C347" s="2"/>
      <c r="E347" s="11" t="s">
        <v>259</v>
      </c>
      <c r="F347" s="12" t="s">
        <v>1939</v>
      </c>
      <c r="H347" s="4" t="s">
        <v>1667</v>
      </c>
      <c r="I347" s="337" t="str">
        <f>wld_az1_edge_overlay_gateway_ip</f>
        <v>Value Missing</v>
      </c>
    </row>
    <row r="348" spans="2:37" ht="20.100000000000001" customHeight="1" x14ac:dyDescent="0.2">
      <c r="B348" s="2"/>
      <c r="C348" s="2"/>
      <c r="E348" s="4" t="s">
        <v>1655</v>
      </c>
      <c r="F348" s="337"/>
      <c r="H348" s="4" t="s">
        <v>1669</v>
      </c>
      <c r="I348" s="337" t="str">
        <f>wld_az1_rtep_overlay_gateway_ip</f>
        <v>Value Missing</v>
      </c>
    </row>
    <row r="349" spans="2:37" ht="20.100000000000001" customHeight="1" x14ac:dyDescent="0.2">
      <c r="B349" s="2"/>
      <c r="C349" s="2"/>
      <c r="E349" s="4" t="s">
        <v>1657</v>
      </c>
      <c r="F349" s="337" t="str">
        <f>IF(ISBLANK('Configure Management Domain'!D228),"Value Missing",'Configure Management Domain'!D228)</f>
        <v>Value Missing</v>
      </c>
      <c r="H349" s="4" t="s">
        <v>1671</v>
      </c>
      <c r="I349" s="337" t="str">
        <f>wld_az1_vrms_gateway_ip</f>
        <v>Value Missing</v>
      </c>
    </row>
    <row r="350" spans="2:37" ht="20.100000000000001" customHeight="1" x14ac:dyDescent="0.2">
      <c r="B350" s="2"/>
      <c r="C350" s="2"/>
      <c r="E350" s="4" t="s">
        <v>404</v>
      </c>
      <c r="F350" s="337" t="str">
        <f>IF(ISBLANK('Configure Management Domain'!D253),"Value Missing",'Configure Management Domain'!D253)</f>
        <v>Value Missing</v>
      </c>
    </row>
    <row r="351" spans="2:37" ht="20.100000000000001" customHeight="1" x14ac:dyDescent="0.2">
      <c r="B351" s="2"/>
      <c r="C351" s="2"/>
      <c r="E351" s="17" t="str">
        <f>CONCATENATE("Principal Storage Network ",wld_principal_storage_chosen)</f>
        <v>Principal Storage Network vSAN-ESA</v>
      </c>
      <c r="F351" s="337" t="str">
        <f>IF(ISBLANK('Configure Management Domain'!D261),"Value Missing",'Configure Management Domain'!D261)</f>
        <v>Value Missing</v>
      </c>
      <c r="H351" s="379" t="s">
        <v>1951</v>
      </c>
      <c r="I351" s="381"/>
    </row>
    <row r="352" spans="2:37" s="2" customFormat="1" ht="20.100000000000001" customHeight="1" x14ac:dyDescent="0.2">
      <c r="E352" s="4" t="s">
        <v>1661</v>
      </c>
      <c r="F352" s="337" t="str">
        <f>IF(ISBLANK(input_mgmt_az2_host_overlay_mtu),"Value Missing",input_mgmt_az2_host_overlay_mtu)</f>
        <v>Value Missing</v>
      </c>
      <c r="G352" s="8"/>
      <c r="H352" s="11" t="s">
        <v>259</v>
      </c>
      <c r="I352" s="12" t="s">
        <v>1943</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spans="5:37" s="2" customFormat="1" ht="20.100000000000001" customHeight="1" x14ac:dyDescent="0.2">
      <c r="E353" s="4" t="s">
        <v>1662</v>
      </c>
      <c r="F353" s="337" t="str">
        <f>IF(ISBLANK(input_mgmt_az2_secondary_storage_mtu),"Value Missing",input_mgmt_az2_secondary_storage_mtu)</f>
        <v>Value Missing</v>
      </c>
      <c r="G353" s="8"/>
      <c r="H353" s="4" t="s">
        <v>1655</v>
      </c>
      <c r="I353" s="337"/>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spans="5:37" s="2" customFormat="1" ht="20.100000000000001" customHeight="1" x14ac:dyDescent="0.2">
      <c r="E354" s="4" t="s">
        <v>1664</v>
      </c>
      <c r="F354" s="337" t="str">
        <f>IF(ISBLANK(input_mgmt_az1_uplink01_mtu),"Value Missing",input_mgmt_az1_uplink01_mtu)</f>
        <v>Value Missing</v>
      </c>
      <c r="G354" s="8"/>
      <c r="H354" s="4" t="s">
        <v>1657</v>
      </c>
      <c r="I354" s="337" t="str">
        <f>IF(ISBLANK('Configure Workload Domain'!D172),"Value Missing",'Configure Workload Domain'!D172)</f>
        <v>Value Missing</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spans="5:37" s="2" customFormat="1" ht="20.100000000000001" customHeight="1" x14ac:dyDescent="0.2">
      <c r="E355" s="4" t="s">
        <v>1665</v>
      </c>
      <c r="F355" s="337" t="str">
        <f>IF(ISBLANK(input_mgmt_az1_uplink02_mtu),"Value Missing",input_mgmt_az1_uplink02_mtu)</f>
        <v>Value Missing</v>
      </c>
      <c r="G355" s="8"/>
      <c r="H355" s="4" t="s">
        <v>404</v>
      </c>
      <c r="I355" s="337" t="str">
        <f>IF(ISBLANK(input_wld_az2_vmotion_mtu),"Value Missing",input_wld_az2_vmotion_mtu)</f>
        <v>Value Missing</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spans="5:37" s="2" customFormat="1" ht="20.100000000000001" customHeight="1" x14ac:dyDescent="0.2">
      <c r="E356" s="4" t="s">
        <v>1667</v>
      </c>
      <c r="F356" s="337" t="s">
        <v>496</v>
      </c>
      <c r="G356" s="8"/>
      <c r="H356" s="17" t="s">
        <v>1940</v>
      </c>
      <c r="I356" s="337" t="str">
        <f>IF(ISBLANK(input_wld_az2_principal_storage_mtu),"Value Missing",input_wld_az2_principal_storage_mtu)</f>
        <v>Value Missing</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spans="5:37" s="2" customFormat="1" ht="20.100000000000001" customHeight="1" x14ac:dyDescent="0.2">
      <c r="E357" s="4" t="s">
        <v>1669</v>
      </c>
      <c r="F357" s="337"/>
      <c r="G357" s="8"/>
      <c r="H357" s="4" t="s">
        <v>1661</v>
      </c>
      <c r="I357" s="337" t="str">
        <f>IF(ISBLANK(input_wld_az2_host_overlay_mtu),"Value Missing",input_wld_az2_host_overlay_mtu)</f>
        <v>Value Missing</v>
      </c>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spans="5:37" s="2" customFormat="1" ht="20.100000000000001" customHeight="1" x14ac:dyDescent="0.2">
      <c r="E358" s="4" t="s">
        <v>1671</v>
      </c>
      <c r="F358" s="337"/>
      <c r="G358" s="24"/>
      <c r="H358" s="4" t="s">
        <v>1662</v>
      </c>
      <c r="I358" s="337" t="str">
        <f>IF(ISBLANK('Configure Workload Domain'!D214),"Value Missing",'Configure Workload Domain'!D214)</f>
        <v>Value Missing</v>
      </c>
      <c r="J358" s="15"/>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spans="5:37" s="2" customFormat="1" ht="20.100000000000001" customHeight="1" x14ac:dyDescent="0.2">
      <c r="G359" s="8"/>
      <c r="H359" s="4" t="s">
        <v>1231</v>
      </c>
      <c r="I359" s="337" t="str">
        <f>IF(ISBLANK(input_wld_az2_storage_cluster_mtu),"Value Missing",input_wld_az2_storage_cluster_mtu)</f>
        <v>Value Missing</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spans="5:37" s="2" customFormat="1" ht="20.100000000000001" customHeight="1" x14ac:dyDescent="0.2">
      <c r="E360" s="379" t="s">
        <v>1952</v>
      </c>
      <c r="F360" s="381"/>
      <c r="G360" s="8"/>
      <c r="H360" s="4" t="s">
        <v>1664</v>
      </c>
      <c r="I360" s="337" t="str">
        <f>IF(ISBLANK(input_wld_az1_uplink01_mtu),"Value Missing",input_wld_az1_uplink01_mtu)</f>
        <v>Value Missing</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spans="5:37" s="2" customFormat="1" ht="20.100000000000001" customHeight="1" x14ac:dyDescent="0.2">
      <c r="E361" s="11" t="s">
        <v>259</v>
      </c>
      <c r="F361" s="14" t="s">
        <v>1939</v>
      </c>
      <c r="G361" s="8"/>
      <c r="H361" s="4" t="s">
        <v>1665</v>
      </c>
      <c r="I361" s="337" t="str">
        <f>IF(ISBLANK(input_wld_az1_uplink02_mtu),"Value Missing",input_wld_az1_uplink02_mtu)</f>
        <v>Value Missing</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spans="5:37" s="2" customFormat="1" ht="20.100000000000001" customHeight="1" x14ac:dyDescent="0.2">
      <c r="E362" s="4" t="s">
        <v>1411</v>
      </c>
      <c r="F362" s="337" t="str">
        <f>mgmt_en_asn</f>
        <v>Value Missing</v>
      </c>
      <c r="G362" s="8"/>
      <c r="H362" s="4" t="s">
        <v>1667</v>
      </c>
      <c r="I362" s="337" t="str">
        <f>wld_az1_edge_overlay_mtu</f>
        <v>N/A</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spans="5:37" s="2" customFormat="1" ht="20.100000000000001" customHeight="1" x14ac:dyDescent="0.2">
      <c r="E363" s="4" t="s">
        <v>648</v>
      </c>
      <c r="F363" s="337" t="str">
        <f>IF(ISBLANK('Configure Management Domain'!D384),"Value Missing",'Configure Management Domain'!D384)</f>
        <v>Value Missing</v>
      </c>
      <c r="G363" s="8"/>
      <c r="H363" s="4" t="s">
        <v>1669</v>
      </c>
      <c r="I363" s="337">
        <f>wld_az1_rtep_overlay_mtu</f>
        <v>0</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spans="5:37" s="2" customFormat="1" ht="20.100000000000001" customHeight="1" x14ac:dyDescent="0.2">
      <c r="E364" s="4" t="s">
        <v>649</v>
      </c>
      <c r="F364" s="337" t="str">
        <f>IF(ISBLANK('Configure Management Domain'!D385),"Value Missing",'Configure Management Domain'!D385)</f>
        <v>Value Missing</v>
      </c>
      <c r="G364" s="8"/>
      <c r="H364" s="4" t="s">
        <v>1671</v>
      </c>
      <c r="I364" s="337" t="str">
        <f>wld_az1_vrms_mtu</f>
        <v>Value Missing</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spans="5:37" s="2" customFormat="1" ht="20.100000000000001" customHeight="1" x14ac:dyDescent="0.2">
      <c r="E365" s="4" t="s">
        <v>650</v>
      </c>
      <c r="F365" s="337" t="str">
        <f>IF(ISBLANK(input_mgmt_az2_tor1_peer_bgp_password),"Value Missing",input_mgmt_az2_tor1_peer_bgp_password)</f>
        <v>Value Missing</v>
      </c>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spans="5:37" s="2" customFormat="1" ht="20.100000000000001" customHeight="1" x14ac:dyDescent="0.2">
      <c r="E366" s="4" t="s">
        <v>651</v>
      </c>
      <c r="F366" s="337" t="str">
        <f>IF(ISBLANK('Configure Management Domain'!D389),"Value Missing",'Configure Management Domain'!D389)</f>
        <v>Value Missing</v>
      </c>
      <c r="G366" s="8"/>
      <c r="H366" s="379" t="s">
        <v>1953</v>
      </c>
      <c r="I366" s="381"/>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spans="5:37" s="2" customFormat="1" ht="20.100000000000001" customHeight="1" x14ac:dyDescent="0.2">
      <c r="E367" s="4" t="s">
        <v>652</v>
      </c>
      <c r="F367" s="337" t="str">
        <f>IF(ISBLANK('Configure Management Domain'!D392),"Value Missing",'Configure Management Domain'!D392)</f>
        <v>Value Missing</v>
      </c>
      <c r="G367" s="8"/>
      <c r="H367" s="11" t="s">
        <v>259</v>
      </c>
      <c r="I367" s="14" t="s">
        <v>1939</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spans="5:37" s="2" customFormat="1" ht="20.100000000000001" customHeight="1" x14ac:dyDescent="0.2">
      <c r="E368" s="4" t="s">
        <v>653</v>
      </c>
      <c r="F368" s="337" t="str">
        <f>IF(ISBLANK('Configure Management Domain'!D393),"Value Missing",'Configure Management Domain'!D393)</f>
        <v>Value Missing</v>
      </c>
      <c r="G368" s="8"/>
      <c r="H368" s="4" t="s">
        <v>1411</v>
      </c>
      <c r="I368" s="337" t="str">
        <f>wld_en_asn</f>
        <v>Value Missing</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spans="5:37" s="2" customFormat="1" ht="20.100000000000001" customHeight="1" x14ac:dyDescent="0.2">
      <c r="E369" s="7"/>
      <c r="F369" s="7"/>
      <c r="G369" s="8"/>
      <c r="H369" s="4" t="s">
        <v>648</v>
      </c>
      <c r="I369" s="337" t="str">
        <f>IF(ISBLANK('Configure Workload Domain'!D345),"Value Missing",'Configure Workload Domain'!D345)</f>
        <v>Value Missing</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spans="5:37" s="2" customFormat="1" ht="20.100000000000001" customHeight="1" x14ac:dyDescent="0.2">
      <c r="E370" s="379" t="s">
        <v>1954</v>
      </c>
      <c r="F370" s="381"/>
      <c r="G370" s="8"/>
      <c r="H370" s="4" t="s">
        <v>649</v>
      </c>
      <c r="I370" s="337" t="str">
        <f>IF(ISBLANK('Configure Workload Domain'!D346),"Value Missing",'Configure Workload Domain'!D346)</f>
        <v>Value Missing</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spans="5:37" s="2" customFormat="1" ht="20.100000000000001" customHeight="1" x14ac:dyDescent="0.2">
      <c r="E371" s="11" t="s">
        <v>259</v>
      </c>
      <c r="F371" s="14" t="s">
        <v>1943</v>
      </c>
      <c r="G371" s="24"/>
      <c r="H371" s="4" t="s">
        <v>650</v>
      </c>
      <c r="I371" s="337" t="str">
        <f>IF(ISBLANK('Configure Workload Domain'!D349),"Value Missing",'Configure Workload Domain'!D349)</f>
        <v>Value Missing</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spans="5:37" s="2" customFormat="1" ht="20.100000000000001" customHeight="1" x14ac:dyDescent="0.2">
      <c r="E372" s="4" t="s">
        <v>1655</v>
      </c>
      <c r="F372" s="337"/>
      <c r="G372" s="8"/>
      <c r="H372" s="4" t="s">
        <v>651</v>
      </c>
      <c r="I372" s="337" t="str">
        <f>IF(ISBLANK('Configure Workload Domain'!D350),"Value Missing",'Configure Workload Domain'!D350)</f>
        <v>Value Missing</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spans="5:37" s="2" customFormat="1" ht="20.100000000000001" customHeight="1" x14ac:dyDescent="0.2">
      <c r="E373" s="4" t="s">
        <v>1657</v>
      </c>
      <c r="F373" s="337" t="str">
        <f>IF('Value Reference Tables - MR'!$F111="Value Missing","Value Missing",CONCATENATE("az2_",'Value Reference Tables - MR'!$F111))</f>
        <v>az2_VLAN_251_ESX_Mgmt</v>
      </c>
      <c r="G373" s="8"/>
      <c r="H373" s="4" t="s">
        <v>652</v>
      </c>
      <c r="I373" s="337" t="str">
        <f>IF(ISBLANK('Configure Workload Domain'!D351),"Value Missing",'Configure Workload Domain'!D351)</f>
        <v>Value Missing</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spans="5:37" s="2" customFormat="1" ht="20.100000000000001" customHeight="1" x14ac:dyDescent="0.2">
      <c r="E374" s="4" t="s">
        <v>404</v>
      </c>
      <c r="F374" s="337" t="str">
        <f>IF('Value Reference Tables - MR'!$F112="Value Missing","Value Missing",CONCATENATE("az2_",'Value Reference Tables - MR'!$F112))</f>
        <v>az2_VLAN_021_Vmotion</v>
      </c>
      <c r="G374" s="8"/>
      <c r="H374" s="4" t="s">
        <v>653</v>
      </c>
      <c r="I374" s="337" t="str">
        <f>IF(ISBLANK('Configure Workload Domain'!D354),"Value Missing",'Configure Workload Domain'!D354)</f>
        <v>Value Missing</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spans="5:37" s="2" customFormat="1" ht="20.100000000000001" customHeight="1" x14ac:dyDescent="0.2">
      <c r="E375" s="4" t="s">
        <v>407</v>
      </c>
      <c r="F375" s="337" t="str">
        <f>IF('Value Reference Tables - MR'!$F113="Value Missing","Value Missing",CONCATENATE("az2_",'Value Reference Tables - MR'!$F113))</f>
        <v>az2_VLAN_020_vSAN</v>
      </c>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spans="5:37" s="2" customFormat="1" ht="20.100000000000001" customHeight="1" x14ac:dyDescent="0.2">
      <c r="E376" s="4" t="s">
        <v>1661</v>
      </c>
      <c r="F376" s="337" t="str">
        <f>mgmt_az1_host_overlay_pg</f>
        <v>N/A</v>
      </c>
      <c r="G376" s="8"/>
      <c r="H376" s="379" t="s">
        <v>1955</v>
      </c>
      <c r="I376" s="381"/>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spans="5:37" s="2" customFormat="1" ht="20.100000000000001" customHeight="1" x14ac:dyDescent="0.2">
      <c r="E377" s="4" t="s">
        <v>1671</v>
      </c>
      <c r="F377" s="337"/>
      <c r="G377" s="8"/>
      <c r="H377" s="11" t="s">
        <v>259</v>
      </c>
      <c r="I377" s="14" t="s">
        <v>1943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spans="5:37" s="2" customFormat="1" ht="20.100000000000001" customHeight="1" x14ac:dyDescent="0.2">
      <c r="E378" s="4" t="s">
        <v>1664</v>
      </c>
      <c r="F378" s="337" t="str">
        <f>mgmt_cl01_az1_uplink01_pg</f>
        <v>Value Missing</v>
      </c>
      <c r="G378" s="24"/>
      <c r="H378" s="4" t="s">
        <v>1655</v>
      </c>
      <c r="I378" s="31"/>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spans="5:37" s="2" customFormat="1" ht="20.100000000000001" customHeight="1" x14ac:dyDescent="0.2">
      <c r="E379" s="4" t="s">
        <v>1665</v>
      </c>
      <c r="F379" s="337" t="str">
        <f>mgmt_cl01_az1_uplink02_pg</f>
        <v>Value Missing</v>
      </c>
      <c r="G379" s="24"/>
      <c r="H379" s="4" t="s">
        <v>1657</v>
      </c>
      <c r="I379" s="337" t="str">
        <f>IF('Value Reference Tables - MR'!$I111="Value Missing","Value Missing",CONCATENATE("az2_",'Value Reference Tables - MR'!$I111))</f>
        <v>Value Missing</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spans="5:37" s="2" customFormat="1" ht="20.100000000000001" customHeight="1" x14ac:dyDescent="0.2">
      <c r="E380" s="17" t="s">
        <v>1667</v>
      </c>
      <c r="F380" s="337" t="str">
        <f>mgmt_az1_edge_overlay_pg</f>
        <v>N/A</v>
      </c>
      <c r="G380" s="8"/>
      <c r="H380" s="4" t="s">
        <v>404</v>
      </c>
      <c r="I380" s="337" t="str">
        <f>IF('Value Reference Tables - MR'!$I112="Value Missing","Value Missing",CONCATENATE("az2_",'Value Reference Tables - MR'!$I112))</f>
        <v>Value Missing</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spans="5:37" s="2" customFormat="1" ht="20.100000000000001" customHeight="1" x14ac:dyDescent="0.2">
      <c r="E381" s="4" t="s">
        <v>1752</v>
      </c>
      <c r="F381" s="337" t="str">
        <f>mgmt_az1_rtep_overlay_pg</f>
        <v>N/A</v>
      </c>
      <c r="G381" s="8"/>
      <c r="H381" s="4" t="s">
        <v>407</v>
      </c>
      <c r="I381" s="337" t="str">
        <f>IF('Value Reference Tables - MR'!$I113="Value Missing","Value Missing",CONCATENATE("az2_",'Value Reference Tables - MR'!$I113))</f>
        <v>Value Missing</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spans="5:37" s="2" customFormat="1" ht="20.100000000000001" customHeight="1" x14ac:dyDescent="0.2">
      <c r="G382" s="8"/>
      <c r="H382" s="4" t="s">
        <v>1661</v>
      </c>
      <c r="I382" s="337" t="str">
        <f>mgmt_az2_host_overlay_pg</f>
        <v>N/A</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spans="5:37" s="2" customFormat="1" ht="20.100000000000001" customHeight="1" x14ac:dyDescent="0.2">
      <c r="E383" s="20" t="s">
        <v>1956</v>
      </c>
      <c r="F383" s="381"/>
      <c r="G383" s="8"/>
      <c r="H383" s="4" t="s">
        <v>1671</v>
      </c>
      <c r="I383" s="337"/>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spans="5:37" s="2" customFormat="1" ht="20.100000000000001" customHeight="1" x14ac:dyDescent="0.2">
      <c r="E384" s="11" t="s">
        <v>259</v>
      </c>
      <c r="F384" s="14" t="s">
        <v>1943</v>
      </c>
      <c r="G384" s="8"/>
      <c r="H384" s="4" t="s">
        <v>1664</v>
      </c>
      <c r="I384" s="337" t="str">
        <f>wld_cl01_az1_uplink01_pg</f>
        <v>Value Missing</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spans="2:37" s="2" customFormat="1" ht="20.100000000000001" customHeight="1" x14ac:dyDescent="0.2">
      <c r="B385" s="8"/>
      <c r="C385" s="8"/>
      <c r="E385" s="361" t="s">
        <v>1787</v>
      </c>
      <c r="F385" s="337" t="str">
        <f>IF(ISBLANK('Configure Management Domain'!D257),"Value Missing",'Configure Management Domain'!D257)</f>
        <v>Value Missing</v>
      </c>
      <c r="G385" s="8"/>
      <c r="H385" s="4" t="s">
        <v>1665</v>
      </c>
      <c r="I385" s="337" t="str">
        <f>wld_cl01_az1_uplink02_pg</f>
        <v>Value Missing</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spans="2:37" s="2" customFormat="1" ht="20.100000000000001" customHeight="1" x14ac:dyDescent="0.2">
      <c r="B386" s="8"/>
      <c r="C386" s="8"/>
      <c r="E386" s="361" t="s">
        <v>1788</v>
      </c>
      <c r="F386" s="337" t="str">
        <f>IF(ISBLANK('Configure Management Domain'!D258),"Value Missing",'Configure Management Domain'!D258)</f>
        <v>Value Missing</v>
      </c>
      <c r="G386" s="8"/>
      <c r="H386" s="17" t="s">
        <v>1667</v>
      </c>
      <c r="I386" s="337" t="str">
        <f>wld_az1_edge_overlay_pg</f>
        <v>N/A</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spans="2:37" s="2" customFormat="1" ht="20.100000000000001" customHeight="1" x14ac:dyDescent="0.2">
      <c r="B387" s="8"/>
      <c r="C387" s="8"/>
      <c r="E387" s="361" t="s">
        <v>1789</v>
      </c>
      <c r="F387" s="337" t="str">
        <f>IF(ISBLANK('Configure Management Domain'!D265),"Value Missing",'Configure Management Domain'!D265)</f>
        <v>Value Missing</v>
      </c>
      <c r="G387" s="8"/>
      <c r="H387" s="4" t="s">
        <v>1752</v>
      </c>
      <c r="I387" s="337" t="str">
        <f>mgmt_az1_rtep_overlay_pg</f>
        <v>N/A</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spans="2:37" s="2" customFormat="1" ht="20.100000000000001" customHeight="1" x14ac:dyDescent="0.2">
      <c r="B388" s="8"/>
      <c r="C388" s="8"/>
      <c r="E388" s="361" t="s">
        <v>1790</v>
      </c>
      <c r="F388" s="337" t="str">
        <f>IF(ISBLANK('Configure Management Domain'!D266),"Value Missing",'Configure Management Domain'!D266)</f>
        <v>Value Missing</v>
      </c>
      <c r="G388" s="24"/>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spans="2:37" s="2" customFormat="1" ht="20.100000000000001" customHeight="1" x14ac:dyDescent="0.2">
      <c r="B389" s="8"/>
      <c r="C389" s="8"/>
      <c r="E389" s="361" t="s">
        <v>1791</v>
      </c>
      <c r="F389" s="337" t="str">
        <f>IF(ISBLANK('Configure Management Domain'!D369),"Value Missing",'Configure Management Domain'!D369)</f>
        <v>Value Missing</v>
      </c>
      <c r="G389" s="8"/>
      <c r="H389" s="20" t="s">
        <v>1957</v>
      </c>
      <c r="I389" s="381"/>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spans="2:37" s="2" customFormat="1" ht="20.100000000000001" customHeight="1" x14ac:dyDescent="0.2">
      <c r="B390" s="8"/>
      <c r="C390" s="8"/>
      <c r="E390" s="361" t="s">
        <v>1792</v>
      </c>
      <c r="F390" s="337" t="str">
        <f>IF(ISBLANK('Configure Management Domain'!D370),"Value Missing",'Configure Management Domain'!D370)</f>
        <v>Value Missing</v>
      </c>
      <c r="G390" s="8"/>
      <c r="H390" s="11" t="s">
        <v>259</v>
      </c>
      <c r="I390" s="14" t="s">
        <v>1943</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spans="2:37" s="2" customFormat="1" ht="20.100000000000001" customHeight="1" x14ac:dyDescent="0.2">
      <c r="B391" s="8"/>
      <c r="C391" s="8"/>
      <c r="E391" s="17" t="s">
        <v>1793</v>
      </c>
      <c r="F391" s="337" t="str">
        <f>IF(ISBLANK(input_mgmt_az2_secondary_storage_pool_start_ip),"Value Missing",input_mgmt_az2_secondary_storage_pool_start_ip)</f>
        <v>Value Missing</v>
      </c>
      <c r="G391" s="8"/>
      <c r="H391" s="361" t="s">
        <v>1787</v>
      </c>
      <c r="I391" s="337" t="str">
        <f>IF(ISBLANK(input_wld_az2_vmotion_pool_start_ip),"Value Missing",input_wld_az2_vmotion_pool_start_ip)</f>
        <v>Value Missing</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spans="2:37" s="2" customFormat="1" ht="20.100000000000001" customHeight="1" x14ac:dyDescent="0.2">
      <c r="B392" s="8"/>
      <c r="C392" s="8"/>
      <c r="E392" s="22" t="s">
        <v>1794</v>
      </c>
      <c r="F392" s="337" t="str">
        <f>IF(ISBLANK(input_mgmt_az2_secondary_storage_pool_end_ip),"Value Missing",input_mgmt_az2_secondary_storage_pool_end_ip)</f>
        <v>Value Missing</v>
      </c>
      <c r="G392" s="8"/>
      <c r="H392" s="361" t="s">
        <v>1788</v>
      </c>
      <c r="I392" s="337" t="str">
        <f>IF(ISBLANK(input_wld_az2_vmotion_pool_end_ip),"Value Missing",input_wld_az2_vmotion_pool_end_ip)</f>
        <v>Value Missing</v>
      </c>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spans="2:37" s="2" customFormat="1" ht="20.100000000000001" customHeight="1" x14ac:dyDescent="0.2">
      <c r="B393" s="8"/>
      <c r="C393" s="8"/>
      <c r="E393" s="361" t="s">
        <v>1797</v>
      </c>
      <c r="F393" s="337"/>
      <c r="G393" s="8"/>
      <c r="H393" s="361" t="s">
        <v>1789</v>
      </c>
      <c r="I393" s="337" t="str">
        <f>IF(ISBLANK(input_wld_az2_principal_storage_pool_start_ip),"Value Missing",input_wld_az2_principal_storage_pool_start_ip)</f>
        <v>Value Missing</v>
      </c>
      <c r="J393" s="15"/>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spans="2:37" s="2" customFormat="1" ht="20.100000000000001" customHeight="1" x14ac:dyDescent="0.2">
      <c r="B394" s="8"/>
      <c r="C394" s="8"/>
      <c r="E394" s="361" t="s">
        <v>1798</v>
      </c>
      <c r="F394" s="337"/>
      <c r="G394" s="8"/>
      <c r="H394" s="361" t="s">
        <v>1790</v>
      </c>
      <c r="I394" s="337" t="str">
        <f>IF(ISBLANK(input_wld_az2_principal_storage_pool_end_ip),"Value Missing",input_wld_az2_principal_storage_pool_end_ip)</f>
        <v>Value Missing</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spans="2:37" s="2" customFormat="1" ht="20.100000000000001" customHeight="1" x14ac:dyDescent="0.2">
      <c r="B395" s="8"/>
      <c r="C395" s="8"/>
      <c r="G395" s="8"/>
      <c r="H395" s="361" t="s">
        <v>1791</v>
      </c>
      <c r="I395" s="337" t="str">
        <f>IF(ISBLANK('Configure Workload Domain'!D327),"Value Missing",'Configure Workload Domain'!D327)</f>
        <v>Value Missing</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spans="2:37" s="2" customFormat="1" ht="20.100000000000001" customHeight="1" x14ac:dyDescent="0.2">
      <c r="B396" s="8"/>
      <c r="C396" s="8"/>
      <c r="E396" s="20" t="s">
        <v>1958</v>
      </c>
      <c r="F396" s="381"/>
      <c r="G396" s="8"/>
      <c r="H396" s="361" t="s">
        <v>1792</v>
      </c>
      <c r="I396" s="337" t="str">
        <f>IF(ISBLANK('Configure Workload Domain'!D328),"Value Missing",'Configure Workload Domain'!D328)</f>
        <v>Value Missing</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spans="2:37" s="2" customFormat="1" ht="20.100000000000001" customHeight="1" x14ac:dyDescent="0.2">
      <c r="B397" s="8"/>
      <c r="C397" s="8"/>
      <c r="E397" s="13" t="s">
        <v>259</v>
      </c>
      <c r="F397" s="14" t="s">
        <v>1943</v>
      </c>
      <c r="G397" s="8"/>
      <c r="H397" s="17" t="s">
        <v>1793</v>
      </c>
      <c r="I397" s="337" t="str">
        <f>IF(ISBLANK(input_wld_az2_secondary_storage_pool_start_ip),"Value Missing",input_wld_az2_secondary_storage_pool_start_ip)</f>
        <v>Value Missing</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spans="2:37" s="2" customFormat="1" ht="20.100000000000001" customHeight="1" x14ac:dyDescent="0.2">
      <c r="B398" s="8"/>
      <c r="C398" s="8"/>
      <c r="E398" s="361" t="s">
        <v>1808</v>
      </c>
      <c r="F398" s="337" t="str">
        <f>IF(ISBLANK(input_mgmt_az2_pool_name),"Value Missing",input_mgmt_az2_pool_name)</f>
        <v>Value Missing</v>
      </c>
      <c r="G398" s="8"/>
      <c r="H398" s="22" t="s">
        <v>1794</v>
      </c>
      <c r="I398" s="337" t="str">
        <f>IF(ISBLANK(input_wld_az2_secondary_storage_pool_end_ip),"Value Missing",input_wld_az2_secondary_storage_pool_end_ip)</f>
        <v>Value Missing</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spans="2:37" s="2" customFormat="1" ht="20.100000000000001" customHeight="1" x14ac:dyDescent="0.2">
      <c r="B399" s="8"/>
      <c r="C399" s="8"/>
      <c r="E399" s="361" t="s">
        <v>1809</v>
      </c>
      <c r="F399" s="337" t="str">
        <f>IF(ISBLANK(input_mgmt_az2_host_overlay_network_profile_name),"Value Missing",input_mgmt_az2_host_overlay_network_profile_name)</f>
        <v>Value Missing</v>
      </c>
      <c r="G399" s="8"/>
      <c r="H399" s="4" t="s">
        <v>1231</v>
      </c>
      <c r="I399" s="337" t="str">
        <f>IF(ISBLANK(input_wld_az2_storage_cluster_pool_start_ip),"Value Missing",input_wld_az2_storage_cluster_pool_start_ip)</f>
        <v>Value Missing</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spans="2:37" ht="20.100000000000001" customHeight="1" x14ac:dyDescent="0.2">
      <c r="E400" s="361" t="s">
        <v>1812</v>
      </c>
      <c r="F400" s="337" t="str">
        <f>IF(ISBLANK(input_mgmt_az2_host_overlay_network_pool_name),"Value Missing",input_mgmt_az2_host_overlay_network_pool_name)</f>
        <v>Value Missing</v>
      </c>
      <c r="H400" s="4" t="s">
        <v>1231</v>
      </c>
      <c r="I400" s="337" t="str">
        <f>IF(ISBLANK(input_wld_az2_storage_cluster_pool_end_ip),"Value Missing",input_wld_az2_storage_cluster_pool_end_ip)</f>
        <v>Value Missing</v>
      </c>
    </row>
    <row r="401" spans="5:10" ht="20.100000000000001" customHeight="1" x14ac:dyDescent="0.2">
      <c r="E401" s="361" t="s">
        <v>1815</v>
      </c>
      <c r="F401" s="337" t="str">
        <f>IF(ISBLANK(input_mgmt_az2_host_overlay_uplink_profile_name),"Value Missing",input_mgmt_az2_host_overlay_uplink_profile_name)</f>
        <v>Value Missing</v>
      </c>
      <c r="H401" s="361" t="s">
        <v>1797</v>
      </c>
      <c r="I401" s="32"/>
    </row>
    <row r="402" spans="5:10" ht="20.100000000000001" customHeight="1" x14ac:dyDescent="0.2">
      <c r="E402" s="7"/>
      <c r="F402" s="7"/>
      <c r="H402" s="361" t="s">
        <v>1798</v>
      </c>
      <c r="I402" s="32"/>
    </row>
    <row r="403" spans="5:10" ht="20.100000000000001" customHeight="1" x14ac:dyDescent="0.2">
      <c r="E403" s="572" t="s">
        <v>1959</v>
      </c>
      <c r="F403" s="573"/>
    </row>
    <row r="404" spans="5:10" ht="20.100000000000001" customHeight="1" x14ac:dyDescent="0.2">
      <c r="E404" s="13" t="s">
        <v>259</v>
      </c>
      <c r="F404" s="14" t="s">
        <v>1943</v>
      </c>
      <c r="H404" s="20" t="s">
        <v>1960</v>
      </c>
      <c r="I404" s="381"/>
    </row>
    <row r="405" spans="5:10" ht="20.100000000000001" customHeight="1" x14ac:dyDescent="0.2">
      <c r="E405" s="4" t="s">
        <v>1825</v>
      </c>
      <c r="F405" s="356"/>
      <c r="H405" s="13" t="s">
        <v>259</v>
      </c>
      <c r="I405" s="14" t="s">
        <v>1943</v>
      </c>
    </row>
    <row r="406" spans="5:10" ht="20.100000000000001" customHeight="1" x14ac:dyDescent="0.2">
      <c r="E406" s="4" t="s">
        <v>1834</v>
      </c>
      <c r="F406" s="337"/>
      <c r="H406" s="361" t="s">
        <v>1808</v>
      </c>
      <c r="I406" s="337" t="str">
        <f>IF(ISBLANK(input_wld_az2_pool_name),"Value Missing",input_wld_az2_pool_name)</f>
        <v>Value Missing</v>
      </c>
    </row>
    <row r="407" spans="5:10" ht="20.100000000000001" customHeight="1" x14ac:dyDescent="0.2">
      <c r="E407" s="4" t="s">
        <v>1961</v>
      </c>
      <c r="F407" s="337"/>
      <c r="H407" s="361" t="s">
        <v>1809</v>
      </c>
      <c r="I407" s="337" t="str">
        <f>IF(ISBLANK(input_wld_az2_host_overlay_network_profile_name),"Value Missing",input_wld_az2_host_overlay_network_profile_name)</f>
        <v>Value Missing</v>
      </c>
    </row>
    <row r="408" spans="5:10" ht="20.100000000000001" customHeight="1" x14ac:dyDescent="0.2">
      <c r="E408" s="4" t="s">
        <v>1962</v>
      </c>
      <c r="F408" s="337"/>
      <c r="H408" s="361" t="s">
        <v>1812</v>
      </c>
      <c r="I408" s="337" t="str">
        <f>IF(ISBLANK(input_wld_az2_host_overlay_network_pool_name),"Value Missing",input_wld_az2_host_overlay_network_pool_name)</f>
        <v>Value Missing</v>
      </c>
    </row>
    <row r="409" spans="5:10" ht="20.100000000000001" customHeight="1" x14ac:dyDescent="0.2">
      <c r="E409" s="4" t="s">
        <v>1963</v>
      </c>
      <c r="F409" s="337"/>
      <c r="H409" s="361" t="s">
        <v>1815</v>
      </c>
      <c r="I409" s="337" t="str">
        <f>IF(ISBLANK(input_wld_az2_host_overlay_uplink_profile_name),"Value Missing",input_wld_az2_host_overlay_uplink_profile_name)</f>
        <v>Value Missing</v>
      </c>
    </row>
    <row r="410" spans="5:10" ht="20.100000000000001" customHeight="1" x14ac:dyDescent="0.2">
      <c r="E410" s="4" t="s">
        <v>1964</v>
      </c>
      <c r="F410" s="337"/>
    </row>
    <row r="411" spans="5:10" ht="20.100000000000001" customHeight="1" x14ac:dyDescent="0.2">
      <c r="E411" s="4" t="s">
        <v>1965</v>
      </c>
      <c r="F411" s="337"/>
      <c r="H411" s="572" t="s">
        <v>1966</v>
      </c>
      <c r="I411" s="573"/>
      <c r="J411" s="2"/>
    </row>
    <row r="412" spans="5:10" ht="20.100000000000001" customHeight="1" x14ac:dyDescent="0.2">
      <c r="E412" s="6"/>
      <c r="F412" s="6"/>
      <c r="H412" s="13" t="s">
        <v>259</v>
      </c>
      <c r="I412" s="14" t="s">
        <v>1943</v>
      </c>
      <c r="J412" s="15"/>
    </row>
    <row r="413" spans="5:10" ht="20.100000000000001" customHeight="1" x14ac:dyDescent="0.2">
      <c r="E413" s="20" t="s">
        <v>1967</v>
      </c>
      <c r="F413" s="381"/>
      <c r="G413" s="2"/>
      <c r="H413" s="4" t="s">
        <v>1825</v>
      </c>
      <c r="I413" s="356"/>
    </row>
    <row r="414" spans="5:10" ht="20.100000000000001" customHeight="1" x14ac:dyDescent="0.2">
      <c r="E414" s="13" t="s">
        <v>259</v>
      </c>
      <c r="F414" s="14" t="s">
        <v>1943</v>
      </c>
      <c r="G414" s="2"/>
      <c r="H414" s="4" t="s">
        <v>1834</v>
      </c>
      <c r="I414" s="337"/>
    </row>
    <row r="415" spans="5:10" ht="20.100000000000001" customHeight="1" x14ac:dyDescent="0.2">
      <c r="E415" s="4" t="s">
        <v>1851</v>
      </c>
      <c r="F415" s="337" t="str">
        <f>IF(ISBLANK(input_mgmt_az2_host1_mgmt_ip),"Value Missing",input_mgmt_az2_host1_mgmt_ip)</f>
        <v>Value Missing</v>
      </c>
      <c r="G415" s="2"/>
      <c r="H415" s="4" t="s">
        <v>1961</v>
      </c>
      <c r="I415" s="337"/>
    </row>
    <row r="416" spans="5:10" ht="20.100000000000001" customHeight="1" x14ac:dyDescent="0.2">
      <c r="E416" s="4" t="s">
        <v>1852</v>
      </c>
      <c r="F416" s="337" t="str">
        <f>IF(ISBLANK(input_mgmt_az2_host2_mgmt_ip),"Value Missing",input_mgmt_az2_host2_mgmt_ip)</f>
        <v>Value Missing</v>
      </c>
      <c r="G416" s="2"/>
      <c r="H416" s="4" t="s">
        <v>1962</v>
      </c>
      <c r="I416" s="337"/>
    </row>
    <row r="417" spans="5:9" ht="20.100000000000001" customHeight="1" x14ac:dyDescent="0.2">
      <c r="E417" s="4" t="s">
        <v>1853</v>
      </c>
      <c r="F417" s="337" t="str">
        <f>IF(ISBLANK(input_mgmt_az2_host3_mgmt_ip),"Value Missing",input_mgmt_az2_host3_mgmt_ip)</f>
        <v>Value Missing</v>
      </c>
      <c r="G417" s="2"/>
      <c r="H417" s="4" t="s">
        <v>1963</v>
      </c>
      <c r="I417" s="337"/>
    </row>
    <row r="418" spans="5:9" ht="20.100000000000001" customHeight="1" x14ac:dyDescent="0.2">
      <c r="E418" s="4" t="s">
        <v>1854</v>
      </c>
      <c r="F418" s="337" t="str">
        <f>IF(ISBLANK(input_mgmt_az2_host4_mgmt_ip),"Value Missing",input_mgmt_az2_host4_mgmt_ip)</f>
        <v>Value Missing</v>
      </c>
      <c r="G418" s="2"/>
      <c r="H418" s="4" t="s">
        <v>1964</v>
      </c>
      <c r="I418" s="337"/>
    </row>
    <row r="419" spans="5:9" ht="20.100000000000001" customHeight="1" x14ac:dyDescent="0.2">
      <c r="E419" s="4" t="s">
        <v>1855</v>
      </c>
      <c r="F419" s="337" t="str">
        <f>IF(ISBLANK(input_mgmt_az2_host5_mgmt_ip),"Value Missing",input_mgmt_az2_host5_mgmt_ip)</f>
        <v>Value Missing</v>
      </c>
      <c r="G419" s="2"/>
      <c r="H419" s="4" t="s">
        <v>1965</v>
      </c>
      <c r="I419" s="337"/>
    </row>
    <row r="420" spans="5:9" ht="20.100000000000001" customHeight="1" x14ac:dyDescent="0.2">
      <c r="E420" s="4" t="s">
        <v>1856</v>
      </c>
      <c r="F420" s="337" t="str">
        <f>IF(ISBLANK(input_mgmt_az2_host6_mgmt_ip),"Value Missing",input_mgmt_az2_host6_mgmt_ip)</f>
        <v>Value Missing</v>
      </c>
      <c r="G420" s="2"/>
      <c r="H420" s="6"/>
      <c r="I420" s="6"/>
    </row>
    <row r="421" spans="5:9" ht="20.100000000000001" customHeight="1" x14ac:dyDescent="0.2">
      <c r="E421" s="4" t="s">
        <v>1857</v>
      </c>
      <c r="F421" s="337" t="str">
        <f>IF(ISBLANK(input_mgmt_az2_host7_mgmt_ip),"Value Missing",input_mgmt_az2_host7_mgmt_ip)</f>
        <v>Value Missing</v>
      </c>
      <c r="G421" s="2"/>
      <c r="H421" s="20" t="s">
        <v>1968</v>
      </c>
      <c r="I421" s="381"/>
    </row>
    <row r="422" spans="5:9" ht="20.100000000000001" customHeight="1" x14ac:dyDescent="0.2">
      <c r="E422" s="4" t="s">
        <v>1858</v>
      </c>
      <c r="F422" s="337" t="str">
        <f>IF(ISBLANK(input_mgmt_az2_host8_mgmt_ip),"Value Missing",input_mgmt_az2_host8_mgmt_ip)</f>
        <v>Value Missing</v>
      </c>
      <c r="G422" s="2"/>
      <c r="H422" s="13" t="s">
        <v>259</v>
      </c>
      <c r="I422" s="14" t="s">
        <v>1943</v>
      </c>
    </row>
    <row r="423" spans="5:9" ht="20.100000000000001" customHeight="1" x14ac:dyDescent="0.2">
      <c r="E423" s="4" t="s">
        <v>1859</v>
      </c>
      <c r="F423" s="337" t="str">
        <f>IF(ISBLANK(input_mgmt_az2_host9_mgmt_ip),"Value Missing",input_mgmt_az2_host9_mgmt_ip)</f>
        <v>Value Missing</v>
      </c>
      <c r="G423" s="15"/>
      <c r="H423" s="4" t="s">
        <v>1851</v>
      </c>
      <c r="I423" s="337" t="str">
        <f>IF(ISBLANK('Configure Workload Domain'!D174),"Value Missing",'Configure Workload Domain'!D174)</f>
        <v>Value Missing</v>
      </c>
    </row>
    <row r="424" spans="5:9" ht="20.100000000000001" customHeight="1" x14ac:dyDescent="0.2">
      <c r="E424" s="4" t="s">
        <v>1860</v>
      </c>
      <c r="F424" s="337" t="str">
        <f>IF(ISBLANK(input_mgmt_az2_host10_mgmt_ip),"Value Missing",input_mgmt_az2_host10_mgmt_ip)</f>
        <v>Value Missing</v>
      </c>
      <c r="G424" s="2"/>
      <c r="H424" s="4" t="s">
        <v>1852</v>
      </c>
      <c r="I424" s="337" t="str">
        <f>IF(ISBLANK('Configure Workload Domain'!D175),"Value Missing",'Configure Workload Domain'!D175)</f>
        <v>Value Missing</v>
      </c>
    </row>
    <row r="425" spans="5:9" ht="20.100000000000001" customHeight="1" x14ac:dyDescent="0.2">
      <c r="E425" s="4" t="s">
        <v>1861</v>
      </c>
      <c r="F425" s="337" t="str">
        <f>IF(ISBLANK(input_mgmt_az2_host11_mgmt_ip),"Value Missing",input_mgmt_az2_host11_mgmt_ip)</f>
        <v>Value Missing</v>
      </c>
      <c r="G425" s="2"/>
      <c r="H425" s="4" t="s">
        <v>1853</v>
      </c>
      <c r="I425" s="337" t="str">
        <f>IF(ISBLANK('Configure Workload Domain'!D176),"Value Missing",'Configure Workload Domain'!D176)</f>
        <v>Value Missing</v>
      </c>
    </row>
    <row r="426" spans="5:9" ht="20.100000000000001" customHeight="1" x14ac:dyDescent="0.2">
      <c r="E426" s="4" t="s">
        <v>1862</v>
      </c>
      <c r="F426" s="337" t="str">
        <f>IF(ISBLANK(input_mgmt_az2_host12_mgmt_ip),"Value Missing",input_mgmt_az2_host12_mgmt_ip)</f>
        <v>Value Missing</v>
      </c>
      <c r="G426" s="2"/>
      <c r="H426" s="4" t="s">
        <v>1854</v>
      </c>
      <c r="I426" s="337" t="str">
        <f>IF(ISBLANK('Configure Workload Domain'!D177),"Value Missing",'Configure Workload Domain'!D177)</f>
        <v>Value Missing</v>
      </c>
    </row>
    <row r="427" spans="5:9" ht="20.100000000000001" customHeight="1" x14ac:dyDescent="0.2">
      <c r="E427" s="4" t="s">
        <v>1863</v>
      </c>
      <c r="F427" s="337" t="str">
        <f>IF(ISBLANK(input_mgmt_az2_host13_mgmt_ip),"Value Missing",input_mgmt_az2_host13_mgmt_ip)</f>
        <v>Value Missing</v>
      </c>
      <c r="G427" s="2"/>
      <c r="H427" s="4" t="s">
        <v>1855</v>
      </c>
      <c r="I427" s="337" t="str">
        <f>IF(ISBLANK('Configure Workload Domain'!D178),"Value Missing",'Configure Workload Domain'!D178)</f>
        <v>Value Missing</v>
      </c>
    </row>
    <row r="428" spans="5:9" ht="20.100000000000001" customHeight="1" x14ac:dyDescent="0.2">
      <c r="E428" s="4" t="s">
        <v>1864</v>
      </c>
      <c r="F428" s="337" t="str">
        <f>IF(ISBLANK(input_mgmt_az2_host14_mgmt_ip),"Value Missing",input_mgmt_az2_host14_mgmt_ip)</f>
        <v>Value Missing</v>
      </c>
      <c r="G428" s="2"/>
      <c r="H428" s="4" t="s">
        <v>1856</v>
      </c>
      <c r="I428" s="337" t="str">
        <f>IF(ISBLANK('Configure Workload Domain'!D179),"Value Missing",'Configure Workload Domain'!D179)</f>
        <v>Value Missing</v>
      </c>
    </row>
    <row r="429" spans="5:9" ht="20.100000000000001" customHeight="1" x14ac:dyDescent="0.2">
      <c r="E429" s="4" t="s">
        <v>1865</v>
      </c>
      <c r="F429" s="337" t="str">
        <f>IF(ISBLANK(input_mgmt_az2_host15_mgmt_ip),"Value Missing",input_mgmt_az2_host15_mgmt_ip)</f>
        <v>Value Missing</v>
      </c>
      <c r="G429" s="2"/>
      <c r="H429" s="4" t="s">
        <v>1857</v>
      </c>
      <c r="I429" s="337" t="str">
        <f>IF(ISBLANK('Configure Workload Domain'!D180),"Value Missing",'Configure Workload Domain'!D180)</f>
        <v>Value Missing</v>
      </c>
    </row>
    <row r="430" spans="5:9" ht="20.100000000000001" customHeight="1" x14ac:dyDescent="0.2">
      <c r="E430" s="4" t="s">
        <v>1866</v>
      </c>
      <c r="F430" s="337" t="str">
        <f>IF(ISBLANK(input_mgmt_az2_host16_mgmt_ip),"Value Missing",input_mgmt_az2_host16_mgmt_ip)</f>
        <v>Value Missing</v>
      </c>
      <c r="G430" s="2"/>
      <c r="H430" s="4" t="s">
        <v>1858</v>
      </c>
      <c r="I430" s="337" t="str">
        <f>IF(ISBLANK('Configure Workload Domain'!D181),"Value Missing",'Configure Workload Domain'!D181)</f>
        <v>Value Missing</v>
      </c>
    </row>
    <row r="431" spans="5:9" ht="20.100000000000001" customHeight="1" x14ac:dyDescent="0.2">
      <c r="E431" s="4" t="s">
        <v>1867</v>
      </c>
      <c r="F431" s="337" t="str">
        <f>IF(ISBLANK('Site Protection &amp; DR'!D193),"Value Missing",'Site Protection &amp; DR'!D193)</f>
        <v>Value Missing</v>
      </c>
      <c r="G431" s="2"/>
      <c r="H431" s="4" t="s">
        <v>1859</v>
      </c>
      <c r="I431" s="337" t="str">
        <f>IF(ISBLANK('Configure Workload Domain'!D182),"Value Missing",'Configure Workload Domain'!D182)</f>
        <v>Value Missing</v>
      </c>
    </row>
    <row r="432" spans="5:9" ht="20.100000000000001" customHeight="1" x14ac:dyDescent="0.2">
      <c r="E432" s="4" t="s">
        <v>1868</v>
      </c>
      <c r="F432" s="337" t="str">
        <f>IF(ISBLANK('Site Protection &amp; DR'!D194),"Value Missing",'Site Protection &amp; DR'!D194)</f>
        <v>Value Missing</v>
      </c>
      <c r="G432" s="2"/>
      <c r="H432" s="4" t="s">
        <v>1860</v>
      </c>
      <c r="I432" s="337" t="str">
        <f>IF(ISBLANK('Configure Workload Domain'!D183),"Value Missing",'Configure Workload Domain'!D183)</f>
        <v>Value Missing</v>
      </c>
    </row>
    <row r="433" spans="5:9" ht="20.100000000000001" customHeight="1" x14ac:dyDescent="0.2">
      <c r="E433" s="4" t="s">
        <v>1876</v>
      </c>
      <c r="F433" s="337" t="str">
        <f>IF(ISBLANK('Site Protection &amp; DR'!D195),"Value Missing",'Site Protection &amp; DR'!D195)</f>
        <v>Value Missing</v>
      </c>
      <c r="G433" s="2"/>
      <c r="H433" s="4" t="s">
        <v>1861</v>
      </c>
      <c r="I433" s="337" t="str">
        <f>IF(ISBLANK('Configure Workload Domain'!D184),"Value Missing",'Configure Workload Domain'!D184)</f>
        <v>Value Missing</v>
      </c>
    </row>
    <row r="434" spans="5:9" ht="20.100000000000001" customHeight="1" x14ac:dyDescent="0.2">
      <c r="E434" s="4" t="s">
        <v>1877</v>
      </c>
      <c r="F434" s="337" t="str">
        <f>IF(ISBLANK('Site Protection &amp; DR'!D196),"Value Missing",'Site Protection &amp; DR'!D196)</f>
        <v>Value Missing</v>
      </c>
      <c r="G434" s="2"/>
      <c r="H434" s="4" t="s">
        <v>1862</v>
      </c>
      <c r="I434" s="337" t="str">
        <f>IF(ISBLANK('Configure Workload Domain'!D185),"Value Missing",'Configure Workload Domain'!D185)</f>
        <v>Value Missing</v>
      </c>
    </row>
    <row r="435" spans="5:9" ht="20.100000000000001" customHeight="1" x14ac:dyDescent="0.2">
      <c r="E435" s="4" t="s">
        <v>1879</v>
      </c>
      <c r="F435" s="337" t="str">
        <f>IF(ISBLANK('Site Protection &amp; DR'!D197),"Value Missing",'Site Protection &amp; DR'!D197)</f>
        <v>Value Missing</v>
      </c>
      <c r="G435" s="2"/>
      <c r="H435" s="4" t="s">
        <v>1863</v>
      </c>
      <c r="I435" s="337" t="str">
        <f>IF(ISBLANK('Configure Workload Domain'!D186),"Value Missing",'Configure Workload Domain'!D186)</f>
        <v>Value Missing</v>
      </c>
    </row>
    <row r="436" spans="5:9" ht="20.100000000000001" customHeight="1" x14ac:dyDescent="0.2">
      <c r="E436" s="4" t="s">
        <v>1881</v>
      </c>
      <c r="F436" s="337" t="str">
        <f>IF(ISBLANK('Site Protection &amp; DR'!D198),"Value Missing",'Site Protection &amp; DR'!D198)</f>
        <v>Value Missing</v>
      </c>
      <c r="G436" s="2"/>
      <c r="H436" s="4" t="s">
        <v>1864</v>
      </c>
      <c r="I436" s="337" t="str">
        <f>IF(ISBLANK('Configure Workload Domain'!D187),"Value Missing",'Configure Workload Domain'!D187)</f>
        <v>Value Missing</v>
      </c>
    </row>
    <row r="437" spans="5:9" ht="20.100000000000001" customHeight="1" x14ac:dyDescent="0.2">
      <c r="E437" s="4" t="s">
        <v>1883</v>
      </c>
      <c r="F437" s="337" t="str">
        <f>IF(ISBLANK('Site Protection &amp; DR'!D199),"Value Missing",'Site Protection &amp; DR'!D199)</f>
        <v>Value Missing</v>
      </c>
      <c r="G437" s="2"/>
      <c r="H437" s="4" t="s">
        <v>1865</v>
      </c>
      <c r="I437" s="337" t="str">
        <f>IF(ISBLANK('Configure Workload Domain'!D188),"Value Missing",'Configure Workload Domain'!D188)</f>
        <v>Value Missing</v>
      </c>
    </row>
    <row r="438" spans="5:9" ht="20.100000000000001" customHeight="1" x14ac:dyDescent="0.2">
      <c r="E438" s="4" t="s">
        <v>1885</v>
      </c>
      <c r="F438" s="337" t="str">
        <f>IF(ISBLANK('Site Protection &amp; DR'!D200),"Value Missing",'Site Protection &amp; DR'!D200)</f>
        <v>Value Missing</v>
      </c>
      <c r="G438" s="2"/>
      <c r="H438" s="4" t="s">
        <v>1866</v>
      </c>
      <c r="I438" s="337" t="str">
        <f>IF(ISBLANK('Configure Workload Domain'!D189),"Value Missing",'Configure Workload Domain'!D189)</f>
        <v>Value Missing</v>
      </c>
    </row>
    <row r="439" spans="5:9" ht="20.100000000000001" customHeight="1" x14ac:dyDescent="0.2">
      <c r="E439" s="4" t="s">
        <v>1887</v>
      </c>
      <c r="F439" s="337" t="str">
        <f>IF(ISBLANK('Site Protection &amp; DR'!D201),"Value Missing",'Site Protection &amp; DR'!D201)</f>
        <v>Value Missing</v>
      </c>
      <c r="G439" s="2"/>
      <c r="H439" s="4" t="s">
        <v>1867</v>
      </c>
      <c r="I439" s="337" t="str">
        <f>IF(ISBLANK('Dumping Ground'!D310),"Value Missing",'Dumping Ground'!D310)</f>
        <v>Value Missing</v>
      </c>
    </row>
    <row r="440" spans="5:9" ht="20.100000000000001" customHeight="1" x14ac:dyDescent="0.2">
      <c r="E440" s="4" t="s">
        <v>1889</v>
      </c>
      <c r="F440" s="337" t="str">
        <f>IF(ISBLANK('Site Protection &amp; DR'!D202),"Value Missing",'Site Protection &amp; DR'!D202)</f>
        <v>Value Missing</v>
      </c>
      <c r="G440" s="2"/>
      <c r="H440" s="4" t="s">
        <v>1868</v>
      </c>
      <c r="I440" s="337" t="str">
        <f>IF(ISBLANK('Dumping Ground'!D311),"Value Missing",'Dumping Ground'!D311)</f>
        <v>Value Missing</v>
      </c>
    </row>
    <row r="441" spans="5:9" ht="20.100000000000001" customHeight="1" x14ac:dyDescent="0.2">
      <c r="E441" s="4" t="s">
        <v>1891</v>
      </c>
      <c r="F441" s="337" t="str">
        <f>IF(ISBLANK('Site Protection &amp; DR'!D203),"Value Missing",'Site Protection &amp; DR'!D203)</f>
        <v>Value Missing</v>
      </c>
      <c r="G441" s="2"/>
      <c r="H441" s="4" t="s">
        <v>1876</v>
      </c>
      <c r="I441" s="337" t="str">
        <f>IF(ISBLANK('Dumping Ground'!D312),"Value Missing",'Dumping Ground'!D312)</f>
        <v>Value Missing</v>
      </c>
    </row>
    <row r="442" spans="5:9" ht="20.100000000000001" customHeight="1" x14ac:dyDescent="0.2">
      <c r="E442" s="4" t="s">
        <v>1893</v>
      </c>
      <c r="F442" s="337" t="str">
        <f>IF(ISBLANK('Site Protection &amp; DR'!D204),"Value Missing",'Site Protection &amp; DR'!D204)</f>
        <v>Value Missing</v>
      </c>
      <c r="G442" s="15"/>
      <c r="H442" s="4" t="s">
        <v>1877</v>
      </c>
      <c r="I442" s="337" t="str">
        <f>IF(ISBLANK('Dumping Ground'!D313),"Value Missing",'Dumping Ground'!D313)</f>
        <v>Value Missing</v>
      </c>
    </row>
    <row r="443" spans="5:9" ht="20.100000000000001" customHeight="1" x14ac:dyDescent="0.2">
      <c r="E443" s="4" t="s">
        <v>1895</v>
      </c>
      <c r="F443" s="337" t="str">
        <f>IF(ISBLANK('Site Protection &amp; DR'!D205),"Value Missing",'Site Protection &amp; DR'!D205)</f>
        <v>Value Missing</v>
      </c>
      <c r="G443" s="2"/>
      <c r="H443" s="4" t="s">
        <v>1879</v>
      </c>
      <c r="I443" s="337" t="str">
        <f>IF(ISBLANK('Dumping Ground'!D314),"Value Missing",'Dumping Ground'!D314)</f>
        <v>Value Missing</v>
      </c>
    </row>
    <row r="444" spans="5:9" ht="20.100000000000001" customHeight="1" x14ac:dyDescent="0.2">
      <c r="E444" s="4" t="s">
        <v>1897</v>
      </c>
      <c r="F444" s="337" t="str">
        <f>IF(ISBLANK('Site Protection &amp; DR'!D206),"Value Missing",'Site Protection &amp; DR'!D206)</f>
        <v>Value Missing</v>
      </c>
      <c r="G444" s="2"/>
      <c r="H444" s="4" t="s">
        <v>1881</v>
      </c>
      <c r="I444" s="337" t="str">
        <f>IF(ISBLANK('Dumping Ground'!D315),"Value Missing",'Dumping Ground'!D315)</f>
        <v>Value Missing</v>
      </c>
    </row>
    <row r="445" spans="5:9" ht="20.100000000000001" customHeight="1" x14ac:dyDescent="0.2">
      <c r="E445" s="4" t="s">
        <v>1899</v>
      </c>
      <c r="F445" s="337" t="str">
        <f>IF(ISBLANK('Site Protection &amp; DR'!D207),"Value Missing",'Site Protection &amp; DR'!D207)</f>
        <v>Value Missing</v>
      </c>
      <c r="G445" s="2"/>
      <c r="H445" s="4" t="s">
        <v>1883</v>
      </c>
      <c r="I445" s="337" t="str">
        <f>IF(ISBLANK('Dumping Ground'!D316),"Value Missing",'Dumping Ground'!D316)</f>
        <v>Value Missing</v>
      </c>
    </row>
    <row r="446" spans="5:9" ht="20.100000000000001" customHeight="1" x14ac:dyDescent="0.2">
      <c r="E446" s="4" t="s">
        <v>1901</v>
      </c>
      <c r="F446" s="337" t="str">
        <f>IF(ISBLANK('Site Protection &amp; DR'!D208),"Value Missing",'Site Protection &amp; DR'!D208)</f>
        <v>Value Missing</v>
      </c>
      <c r="G446" s="2"/>
      <c r="H446" s="4" t="s">
        <v>1885</v>
      </c>
      <c r="I446" s="337" t="str">
        <f>IF(ISBLANK('Dumping Ground'!D317),"Value Missing",'Dumping Ground'!D317)</f>
        <v>Value Missing</v>
      </c>
    </row>
    <row r="447" spans="5:9" ht="20.100000000000001" customHeight="1" x14ac:dyDescent="0.2">
      <c r="E447" s="2"/>
      <c r="F447" s="2"/>
      <c r="G447" s="2"/>
      <c r="H447" s="4" t="s">
        <v>1887</v>
      </c>
      <c r="I447" s="337" t="str">
        <f>IF(ISBLANK('Dumping Ground'!D318),"Value Missing",'Dumping Ground'!D318)</f>
        <v>Value Missing</v>
      </c>
    </row>
    <row r="448" spans="5:9" ht="20.100000000000001" customHeight="1" x14ac:dyDescent="0.2">
      <c r="E448" s="572" t="s">
        <v>1969</v>
      </c>
      <c r="F448" s="573"/>
      <c r="G448" s="2"/>
      <c r="H448" s="4" t="s">
        <v>1889</v>
      </c>
      <c r="I448" s="337" t="str">
        <f>IF(ISBLANK('Dumping Ground'!D319),"Value Missing",'Dumping Ground'!D319)</f>
        <v>Value Missing</v>
      </c>
    </row>
    <row r="449" spans="5:9" ht="20.100000000000001" customHeight="1" x14ac:dyDescent="0.2">
      <c r="E449" s="13" t="s">
        <v>259</v>
      </c>
      <c r="F449" s="14" t="s">
        <v>1943</v>
      </c>
      <c r="G449" s="2"/>
      <c r="H449" s="4" t="s">
        <v>1891</v>
      </c>
      <c r="I449" s="337" t="str">
        <f>IF(ISBLANK('Dumping Ground'!D320),"Value Missing",'Dumping Ground'!D320)</f>
        <v>Value Missing</v>
      </c>
    </row>
    <row r="450" spans="5:9" ht="20.100000000000001" customHeight="1" x14ac:dyDescent="0.2">
      <c r="E450" s="4" t="s">
        <v>1878</v>
      </c>
      <c r="F450" s="337" t="str">
        <f>IF(mgmt_az2_host1_fqdn="Value Missing",mgmt_az2_host1_fqdn,LEFT(mgmt_az2_host1_fqdn,FIND(".",mgmt_az2_host1_fqdn)-1))</f>
        <v>Value Missing</v>
      </c>
      <c r="G450" s="2"/>
      <c r="H450" s="4" t="s">
        <v>1893</v>
      </c>
      <c r="I450" s="337" t="str">
        <f>IF(ISBLANK('Dumping Ground'!D321),"Value Missing",'Dumping Ground'!D321)</f>
        <v>Value Missing</v>
      </c>
    </row>
    <row r="451" spans="5:9" ht="20.100000000000001" customHeight="1" x14ac:dyDescent="0.2">
      <c r="E451" s="4" t="s">
        <v>1880</v>
      </c>
      <c r="F451" s="337" t="str">
        <f>IF(mgmt_az2_host2_fqdn="Value Missing",mgmt_az2_host2_fqdn,LEFT(mgmt_az2_host2_fqdn,FIND(".",mgmt_az2_host2_fqdn)-1))</f>
        <v>Value Missing</v>
      </c>
      <c r="G451" s="2"/>
      <c r="H451" s="4" t="s">
        <v>1895</v>
      </c>
      <c r="I451" s="337" t="str">
        <f>IF(ISBLANK('Dumping Ground'!D322),"Value Missing",'Dumping Ground'!D322)</f>
        <v>Value Missing</v>
      </c>
    </row>
    <row r="452" spans="5:9" ht="20.100000000000001" customHeight="1" x14ac:dyDescent="0.2">
      <c r="E452" s="4" t="s">
        <v>1882</v>
      </c>
      <c r="F452" s="337" t="str">
        <f>IF(mgmt_az2_host3_fqdn="Value Missing",mgmt_az2_host3_fqdn,LEFT(mgmt_az2_host3_fqdn,FIND(".",mgmt_az2_host3_fqdn)-1))</f>
        <v>Value Missing</v>
      </c>
      <c r="G452" s="2"/>
      <c r="H452" s="4" t="s">
        <v>1897</v>
      </c>
      <c r="I452" s="337" t="str">
        <f>IF(ISBLANK('Dumping Ground'!D323),"Value Missing",'Dumping Ground'!D323)</f>
        <v>Value Missing</v>
      </c>
    </row>
    <row r="453" spans="5:9" ht="20.100000000000001" customHeight="1" x14ac:dyDescent="0.2">
      <c r="E453" s="4" t="s">
        <v>1884</v>
      </c>
      <c r="F453" s="337" t="str">
        <f>IF(mgmt_az2_host4_fqdn="Value Missing",mgmt_az2_host4_fqdn,LEFT(mgmt_az2_host4_fqdn,FIND(".",mgmt_az2_host4_fqdn)-1))</f>
        <v>Value Missing</v>
      </c>
      <c r="G453" s="2"/>
      <c r="H453" s="4" t="s">
        <v>1899</v>
      </c>
      <c r="I453" s="337" t="str">
        <f>IF(ISBLANK('Dumping Ground'!D324),"Value Missing",'Dumping Ground'!D324)</f>
        <v>Value Missing</v>
      </c>
    </row>
    <row r="454" spans="5:9" ht="20.100000000000001" customHeight="1" x14ac:dyDescent="0.2">
      <c r="E454" s="4" t="s">
        <v>1886</v>
      </c>
      <c r="F454" s="337" t="str">
        <f>IF(mgmt_az2_host5_fqdn="Value Missing",mgmt_az2_host5_fqdn,LEFT(mgmt_az2_host5_fqdn,FIND(".",mgmt_az2_host5_fqdn)-1))</f>
        <v>Value Missing</v>
      </c>
      <c r="G454" s="2"/>
      <c r="H454" s="4" t="s">
        <v>1901</v>
      </c>
      <c r="I454" s="337" t="str">
        <f>IF(ISBLANK('Dumping Ground'!D325),"Value Missing",'Dumping Ground'!D325)</f>
        <v>Value Missing</v>
      </c>
    </row>
    <row r="455" spans="5:9" ht="20.100000000000001" customHeight="1" x14ac:dyDescent="0.2">
      <c r="E455" s="4" t="s">
        <v>1888</v>
      </c>
      <c r="F455" s="337" t="str">
        <f>IF(mgmt_az2_host6_fqdn="Value Missing",mgmt_az2_host6_fqdn,LEFT(mgmt_az2_host6_fqdn,FIND(".",mgmt_az2_host6_fqdn)-1))</f>
        <v>Value Missing</v>
      </c>
      <c r="G455" s="2"/>
      <c r="I455" s="19"/>
    </row>
    <row r="456" spans="5:9" ht="20.100000000000001" customHeight="1" x14ac:dyDescent="0.2">
      <c r="E456" s="4" t="s">
        <v>1890</v>
      </c>
      <c r="F456" s="337" t="str">
        <f>IF(mgmt_az2_host7_fqdn="Value Missing",mgmt_az2_host7_fqdn,LEFT(mgmt_az2_host7_fqdn,FIND(".",mgmt_az2_host7_fqdn)-1))</f>
        <v>Value Missing</v>
      </c>
      <c r="G456" s="2"/>
      <c r="H456" s="572" t="s">
        <v>1970</v>
      </c>
      <c r="I456" s="573"/>
    </row>
    <row r="457" spans="5:9" ht="20.100000000000001" customHeight="1" x14ac:dyDescent="0.2">
      <c r="E457" s="4" t="s">
        <v>1892</v>
      </c>
      <c r="F457" s="337" t="str">
        <f>IF(mgmt_az2_host8_fqdn="Value Missing",mgmt_az2_host8_fqdn,LEFT(mgmt_az2_host8_fqdn,FIND(".",mgmt_az2_host8_fqdn)-1))</f>
        <v>Value Missing</v>
      </c>
      <c r="G457" s="2"/>
      <c r="H457" s="13" t="s">
        <v>259</v>
      </c>
      <c r="I457" s="14" t="s">
        <v>1943</v>
      </c>
    </row>
    <row r="458" spans="5:9" ht="20.100000000000001" customHeight="1" x14ac:dyDescent="0.2">
      <c r="E458" s="4" t="s">
        <v>1894</v>
      </c>
      <c r="F458" s="337" t="str">
        <f>IF(mgmt_az2_host9_fqdn="Value Missing",mgmt_az2_host9_fqdn,LEFT(mgmt_az2_host9_fqdn,FIND(".",mgmt_az2_host9_fqdn)-1))</f>
        <v>Value Missing</v>
      </c>
      <c r="G458" s="2"/>
      <c r="H458" s="4" t="s">
        <v>1878</v>
      </c>
      <c r="I458" s="337" t="str">
        <f>IF(wld_az2_host1_fqdn="Value Missing",wld_az2_host1_fqdn,LEFT(wld_az2_host1_fqdn,FIND(".",wld_az2_host1_fqdn)-1))</f>
        <v>Value Missing</v>
      </c>
    </row>
    <row r="459" spans="5:9" ht="20.100000000000001" customHeight="1" x14ac:dyDescent="0.2">
      <c r="E459" s="4" t="s">
        <v>1896</v>
      </c>
      <c r="F459" s="337" t="str">
        <f>IF(mgmt_az2_host10_fqdn="Value Missing",mgmt_az2_host10_fqdn,LEFT(mgmt_az2_host10_fqdn,FIND(".",mgmt_az2_host10_fqdn)-1))</f>
        <v>Value Missing</v>
      </c>
      <c r="H459" s="4" t="s">
        <v>1880</v>
      </c>
      <c r="I459" s="337" t="str">
        <f>IF(wld_az2_host2_fqdn="Value Missing",wld_az2_host2_fqdn,LEFT(wld_az2_host2_fqdn,FIND(".",wld_az2_host2_fqdn)-1))</f>
        <v>Value Missing</v>
      </c>
    </row>
    <row r="460" spans="5:9" ht="20.100000000000001" customHeight="1" x14ac:dyDescent="0.2">
      <c r="E460" s="4" t="s">
        <v>1898</v>
      </c>
      <c r="F460" s="337" t="str">
        <f>IF(mgmt_az2_host11_fqdn="Value Missing",mgmt_az2_host11_fqdn,LEFT(mgmt_az2_host11_fqdn,FIND(".",mgmt_az2_host11_fqdn)-1))</f>
        <v>Value Missing</v>
      </c>
      <c r="H460" s="4" t="s">
        <v>1882</v>
      </c>
      <c r="I460" s="337" t="str">
        <f>IF(wld_az2_host3_fqdn="Value Missing",wld_az2_host3_fqdn,LEFT(wld_az2_host3_fqdn,FIND(".",wld_az2_host3_fqdn)-1))</f>
        <v>Value Missing</v>
      </c>
    </row>
    <row r="461" spans="5:9" ht="20.100000000000001" customHeight="1" x14ac:dyDescent="0.2">
      <c r="E461" s="4" t="s">
        <v>1900</v>
      </c>
      <c r="F461" s="337" t="str">
        <f>IF(mgmt_az2_host12_fqdn="Value Missing",mgmt_az2_host12_fqdn,LEFT(mgmt_az2_host12_fqdn,FIND(".",mgmt_az2_host12_fqdn)-1))</f>
        <v>Value Missing</v>
      </c>
      <c r="H461" s="4" t="s">
        <v>1884</v>
      </c>
      <c r="I461" s="337" t="str">
        <f>IF(wld_az2_host4_fqdn="Value Missing",wld_az2_host4_fqdn,LEFT(wld_az2_host4_fqdn,FIND(".",wld_az2_host4_fqdn)-1))</f>
        <v>Value Missing</v>
      </c>
    </row>
    <row r="462" spans="5:9" ht="20.100000000000001" customHeight="1" x14ac:dyDescent="0.2">
      <c r="E462" s="4" t="s">
        <v>1902</v>
      </c>
      <c r="F462" s="337" t="str">
        <f>IF(mgmt_az2_host13_fqdn="Value Missing",mgmt_az2_host13_fqdn,LEFT(mgmt_az2_host13_fqdn,FIND(".",mgmt_az2_host13_fqdn)-1))</f>
        <v>Value Missing</v>
      </c>
      <c r="H462" s="4" t="s">
        <v>1886</v>
      </c>
      <c r="I462" s="337" t="str">
        <f>IF(wld_az2_host5_fqdn="Value Missing",wld_az2_host5_fqdn,LEFT(wld_az2_host5_fqdn,FIND(".",wld_az2_host5_fqdn)-1))</f>
        <v>Value Missing</v>
      </c>
    </row>
    <row r="463" spans="5:9" ht="20.100000000000001" customHeight="1" x14ac:dyDescent="0.2">
      <c r="E463" s="4" t="s">
        <v>1903</v>
      </c>
      <c r="F463" s="337" t="str">
        <f>IF(mgmt_az2_host14_fqdn="Value Missing",mgmt_az2_host14_fqdn,LEFT(mgmt_az2_host14_fqdn,FIND(".",mgmt_az2_host14_fqdn)-1))</f>
        <v>Value Missing</v>
      </c>
      <c r="H463" s="4" t="s">
        <v>1888</v>
      </c>
      <c r="I463" s="337" t="str">
        <f>IF(wld_az2_host6_fqdn="Value Missing",wld_az2_host6_fqdn,LEFT(wld_az2_host6_fqdn,FIND(".",wld_az2_host6_fqdn)-1))</f>
        <v>Value Missing</v>
      </c>
    </row>
    <row r="464" spans="5:9" ht="20.100000000000001" customHeight="1" x14ac:dyDescent="0.2">
      <c r="E464" s="4" t="s">
        <v>1906</v>
      </c>
      <c r="F464" s="337" t="str">
        <f>IF(mgmt_az2_host15_fqdn="Value Missing",mgmt_az2_host15_fqdn,LEFT(mgmt_az2_host15_fqdn,FIND(".",mgmt_az2_host15_fqdn)-1))</f>
        <v>Value Missing</v>
      </c>
      <c r="H464" s="4" t="s">
        <v>1890</v>
      </c>
      <c r="I464" s="337" t="str">
        <f>IF(wld_az2_host7_fqdn="Value Missing",wld_az2_host7_fqdn,LEFT(wld_az2_host7_fqdn,FIND(".",wld_az2_host7_fqdn)-1))</f>
        <v>Value Missing</v>
      </c>
    </row>
    <row r="465" spans="5:9" ht="20.100000000000001" customHeight="1" x14ac:dyDescent="0.2">
      <c r="E465" s="4" t="s">
        <v>1907</v>
      </c>
      <c r="F465" s="337" t="str">
        <f>IF(mgmt_az2_host16_fqdn="Value Missing",mgmt_az2_host16_fqdn,LEFT(mgmt_az2_host16_fqdn,FIND(".",mgmt_az2_host16_fqdn)-1))</f>
        <v>Value Missing</v>
      </c>
      <c r="H465" s="4" t="s">
        <v>1892</v>
      </c>
      <c r="I465" s="337" t="str">
        <f>IF(wld_az2_host8_fqdn="Value Missing",wld_az2_host8_fqdn,LEFT(wld_az2_host8_fqdn,FIND(".",wld_az2_host8_fqdn)-1))</f>
        <v>Value Missing</v>
      </c>
    </row>
    <row r="466" spans="5:9" ht="20.100000000000001" customHeight="1" x14ac:dyDescent="0.2">
      <c r="E466" s="2"/>
      <c r="F466" s="2"/>
      <c r="H466" s="4" t="s">
        <v>1894</v>
      </c>
      <c r="I466" s="337" t="str">
        <f>IF(wld_az2_host9_fqdn="Value Missing",wld_az2_host9_fqdn,LEFT(wld_az2_host9_fqdn,FIND(".",wld_az2_host9_fqdn)-1))</f>
        <v>Value Missing</v>
      </c>
    </row>
    <row r="467" spans="5:9" ht="20.100000000000001" customHeight="1" x14ac:dyDescent="0.2">
      <c r="E467" s="379" t="s">
        <v>1971</v>
      </c>
      <c r="F467" s="380"/>
      <c r="H467" s="4" t="s">
        <v>1896</v>
      </c>
      <c r="I467" s="337" t="str">
        <f>IF(wld_az2_host10_fqdn="Value Missing",wld_az2_host10_fqdn,LEFT(wld_az2_host10_fqdn,FIND(".",wld_az2_host10_fqdn)-1))</f>
        <v>Value Missing</v>
      </c>
    </row>
    <row r="468" spans="5:9" ht="20.100000000000001" customHeight="1" x14ac:dyDescent="0.2">
      <c r="E468" s="13" t="s">
        <v>259</v>
      </c>
      <c r="F468" s="14" t="s">
        <v>1943</v>
      </c>
      <c r="H468" s="4" t="s">
        <v>1898</v>
      </c>
      <c r="I468" s="337" t="str">
        <f>IF(wld_az2_host11_fqdn="Value Missing",wld_az2_host11_fqdn,LEFT(wld_az2_host11_fqdn,FIND(".",wld_az2_host11_fqdn)-1))</f>
        <v>Value Missing</v>
      </c>
    </row>
    <row r="469" spans="5:9" ht="20.100000000000001" customHeight="1" x14ac:dyDescent="0.2">
      <c r="E469" s="4" t="s">
        <v>1878</v>
      </c>
      <c r="F469" s="337" t="str">
        <f>IF(ISBLANK(input_mgmt_az2_host1_fqdn),"Value Missing",input_mgmt_az2_host1_fqdn)</f>
        <v>Value Missing</v>
      </c>
      <c r="H469" s="4" t="s">
        <v>1900</v>
      </c>
      <c r="I469" s="337" t="str">
        <f>IF(wld_az2_host12_fqdn="Value Missing",wld_az2_host12_fqdn,LEFT(wld_az2_host12_fqdn,FIND(".",wld_az2_host12_fqdn)-1))</f>
        <v>Value Missing</v>
      </c>
    </row>
    <row r="470" spans="5:9" ht="20.100000000000001" customHeight="1" x14ac:dyDescent="0.2">
      <c r="E470" s="4" t="s">
        <v>1880</v>
      </c>
      <c r="F470" s="337" t="str">
        <f>IF(ISBLANK(input_mgmt_az2_host2_fqdn),"Value Missing",input_mgmt_az2_host2_fqdn)</f>
        <v>Value Missing</v>
      </c>
      <c r="H470" s="4" t="s">
        <v>1902</v>
      </c>
      <c r="I470" s="337" t="str">
        <f>IF(wld_az2_host13_fqdn="Value Missing",wld_az2_host13_fqdn,LEFT(wld_az2_host13_fqdn,FIND(".",wld_az2_host13_fqdn)-1))</f>
        <v>Value Missing</v>
      </c>
    </row>
    <row r="471" spans="5:9" ht="20.100000000000001" customHeight="1" x14ac:dyDescent="0.2">
      <c r="E471" s="4" t="s">
        <v>1882</v>
      </c>
      <c r="F471" s="337" t="str">
        <f>IF(ISBLANK(input_mgmt_az2_host3_fqdn),"Value Missing",input_mgmt_az2_host3_fqdn)</f>
        <v>Value Missing</v>
      </c>
      <c r="H471" s="4" t="s">
        <v>1903</v>
      </c>
      <c r="I471" s="337" t="str">
        <f>IF(wld_az2_host14_fqdn="Value Missing",wld_az2_host14_fqdn,LEFT(wld_az2_host14_fqdn,FIND(".",wld_az2_host14_fqdn)-1))</f>
        <v>Value Missing</v>
      </c>
    </row>
    <row r="472" spans="5:9" ht="20.100000000000001" customHeight="1" x14ac:dyDescent="0.2">
      <c r="E472" s="4" t="s">
        <v>1884</v>
      </c>
      <c r="F472" s="337" t="str">
        <f>IF(ISBLANK(input_mgmt_az2_host4_fqdn),"Value Missing",input_mgmt_az2_host4_fqdn)</f>
        <v>Value Missing</v>
      </c>
      <c r="H472" s="4" t="s">
        <v>1906</v>
      </c>
      <c r="I472" s="337" t="str">
        <f>IF(wld_az2_host15_fqdn="Value Missing",wld_az2_host15_fqdn,LEFT(wld_az2_host15_fqdn,FIND(".",wld_az2_host15_fqdn)-1))</f>
        <v>Value Missing</v>
      </c>
    </row>
    <row r="473" spans="5:9" ht="20.100000000000001" customHeight="1" x14ac:dyDescent="0.2">
      <c r="E473" s="4" t="s">
        <v>1886</v>
      </c>
      <c r="F473" s="337" t="str">
        <f>IF(ISBLANK(input_mgmt_az2_host5_fqdn),"Value Missing",input_mgmt_az2_host5_fqdn)</f>
        <v>Value Missing</v>
      </c>
      <c r="H473" s="4" t="s">
        <v>1907</v>
      </c>
      <c r="I473" s="337" t="str">
        <f>IF(wld_az2_host16_fqdn="Value Missing",wld_az2_host16_fqdn,LEFT(wld_az2_host16_fqdn,FIND(".",wld_az2_host16_fqdn)-1))</f>
        <v>Value Missing</v>
      </c>
    </row>
    <row r="474" spans="5:9" ht="20.100000000000001" customHeight="1" x14ac:dyDescent="0.2">
      <c r="E474" s="4" t="s">
        <v>1888</v>
      </c>
      <c r="F474" s="337" t="str">
        <f>IF(ISBLANK(input_mgmt_az2_host6_fqdn),"Value Missing",input_mgmt_az2_host6_fqdn)</f>
        <v>Value Missing</v>
      </c>
      <c r="I474" s="19"/>
    </row>
    <row r="475" spans="5:9" ht="20.100000000000001" customHeight="1" x14ac:dyDescent="0.2">
      <c r="E475" s="4" t="s">
        <v>1890</v>
      </c>
      <c r="F475" s="337" t="str">
        <f>IF(ISBLANK(input_mgmt_az2_host7_fqdn),"Value Missing",input_mgmt_az2_host7_fqdn)</f>
        <v>Value Missing</v>
      </c>
      <c r="H475" s="379" t="s">
        <v>1916</v>
      </c>
      <c r="I475" s="380"/>
    </row>
    <row r="476" spans="5:9" ht="20.100000000000001" customHeight="1" x14ac:dyDescent="0.2">
      <c r="E476" s="4" t="s">
        <v>1892</v>
      </c>
      <c r="F476" s="337" t="str">
        <f>IF(ISBLANK(input_mgmt_az2_host8_fqdn),"Value Missing",input_mgmt_az2_host8_fqdn)</f>
        <v>Value Missing</v>
      </c>
      <c r="H476" s="13" t="s">
        <v>259</v>
      </c>
      <c r="I476" s="14" t="s">
        <v>1943</v>
      </c>
    </row>
    <row r="477" spans="5:9" ht="20.100000000000001" customHeight="1" x14ac:dyDescent="0.2">
      <c r="E477" s="4" t="s">
        <v>1894</v>
      </c>
      <c r="F477" s="337" t="str">
        <f>IF(ISBLANK(input_mgmt_az2_host9_fqdn),"Value Missing",input_mgmt_az2_host9_fqdn)</f>
        <v>Value Missing</v>
      </c>
      <c r="H477" s="4" t="s">
        <v>1878</v>
      </c>
      <c r="I477" s="337" t="str">
        <f>IF(ISBLANK(input_wld_az2_host1_fqdn),"Value Missing",input_wld_az2_host1_fqdn)</f>
        <v>Value Missing</v>
      </c>
    </row>
    <row r="478" spans="5:9" ht="20.100000000000001" customHeight="1" x14ac:dyDescent="0.2">
      <c r="E478" s="4" t="s">
        <v>1896</v>
      </c>
      <c r="F478" s="337" t="str">
        <f>IF(ISBLANK(input_mgmt_az2_host10_fqdn),"Value Missing",input_mgmt_az2_host10_fqdn)</f>
        <v>Value Missing</v>
      </c>
      <c r="H478" s="4" t="s">
        <v>1880</v>
      </c>
      <c r="I478" s="337" t="str">
        <f>IF(ISBLANK(input_wld_az2_host2_fqdn),"Value Missing",input_wld_az2_host2_fqdn)</f>
        <v>Value Missing</v>
      </c>
    </row>
    <row r="479" spans="5:9" ht="20.100000000000001" customHeight="1" x14ac:dyDescent="0.2">
      <c r="E479" s="4" t="s">
        <v>1898</v>
      </c>
      <c r="F479" s="337" t="str">
        <f>IF(ISBLANK(input_mgmt_az2_host11_fqdn),"Value Missing",input_mgmt_az2_host11_fqdn)</f>
        <v>Value Missing</v>
      </c>
      <c r="H479" s="4" t="s">
        <v>1882</v>
      </c>
      <c r="I479" s="337" t="str">
        <f>IF(ISBLANK(input_wld_az2_host3_fqdn),"Value Missing",input_wld_az2_host3_fqdn)</f>
        <v>Value Missing</v>
      </c>
    </row>
    <row r="480" spans="5:9" ht="20.100000000000001" customHeight="1" x14ac:dyDescent="0.2">
      <c r="E480" s="4" t="s">
        <v>1900</v>
      </c>
      <c r="F480" s="337" t="str">
        <f>IF(ISBLANK(input_mgmt_az2_host12_fqdn),"Value Missing",input_mgmt_az2_host12_fqdn)</f>
        <v>Value Missing</v>
      </c>
      <c r="H480" s="4" t="s">
        <v>1884</v>
      </c>
      <c r="I480" s="337" t="str">
        <f>IF(ISBLANK(input_wld_az2_host4_fqdn),"Value Missing",input_wld_az2_host4_fqdn)</f>
        <v>Value Missing</v>
      </c>
    </row>
    <row r="481" spans="5:9" ht="20.100000000000001" customHeight="1" x14ac:dyDescent="0.2">
      <c r="E481" s="4" t="s">
        <v>1902</v>
      </c>
      <c r="F481" s="337" t="str">
        <f>IF(ISBLANK(input_mgmt_az2_host13_fqdn),"Value Missing",input_mgmt_az2_host13_fqdn)</f>
        <v>Value Missing</v>
      </c>
      <c r="H481" s="4" t="s">
        <v>1886</v>
      </c>
      <c r="I481" s="337" t="str">
        <f>IF(ISBLANK(input_wld_az2_host5_fqdn),"Value Missing",input_wld_az2_host5_fqdn)</f>
        <v>Value Missing</v>
      </c>
    </row>
    <row r="482" spans="5:9" ht="20.100000000000001" customHeight="1" x14ac:dyDescent="0.2">
      <c r="E482" s="4" t="s">
        <v>1903</v>
      </c>
      <c r="F482" s="337" t="str">
        <f>IF(ISBLANK(input_mgmt_az2_host14_fqdn),"Value Missing",input_mgmt_az2_host14_fqdn)</f>
        <v>Value Missing</v>
      </c>
      <c r="H482" s="4" t="s">
        <v>1888</v>
      </c>
      <c r="I482" s="337" t="str">
        <f>IF(ISBLANK(input_wld_az2_host6_fqdn),"Value Missing",input_wld_az2_host6_fqdn)</f>
        <v>Value Missing</v>
      </c>
    </row>
    <row r="483" spans="5:9" ht="20.100000000000001" customHeight="1" x14ac:dyDescent="0.2">
      <c r="E483" s="4" t="s">
        <v>1906</v>
      </c>
      <c r="F483" s="337" t="str">
        <f>IF(ISBLANK(input_mgmt_az2_host15_fqdn),"Value Missing",input_mgmt_az2_host15_fqdn)</f>
        <v>Value Missing</v>
      </c>
      <c r="H483" s="4" t="s">
        <v>1890</v>
      </c>
      <c r="I483" s="337" t="str">
        <f>IF(ISBLANK(input_wld_az2_host7_fqdn),"Value Missing",input_wld_az2_host7_fqdn)</f>
        <v>Value Missing</v>
      </c>
    </row>
    <row r="484" spans="5:9" ht="20.100000000000001" customHeight="1" x14ac:dyDescent="0.2">
      <c r="E484" s="4" t="s">
        <v>1907</v>
      </c>
      <c r="F484" s="337" t="str">
        <f>IF(ISBLANK(input_mgmt_az2_host16_fqdn),"Value Missing",input_mgmt_az2_host16_fqdn)</f>
        <v>Value Missing</v>
      </c>
      <c r="H484" s="4" t="s">
        <v>1892</v>
      </c>
      <c r="I484" s="337" t="str">
        <f>IF(ISBLANK(input_wld_az2_host8_fqdn),"Value Missing",input_wld_az2_host8_fqdn)</f>
        <v>Value Missing</v>
      </c>
    </row>
    <row r="485" spans="5:9" ht="20.100000000000001" customHeight="1" x14ac:dyDescent="0.2">
      <c r="E485" s="2"/>
      <c r="F485" s="2"/>
      <c r="H485" s="4" t="s">
        <v>1894</v>
      </c>
      <c r="I485" s="337" t="str">
        <f>IF(ISBLANK(input_wld_az2_host9_fqdn),"Value Missing",input_wld_az2_host9_fqdn)</f>
        <v>Value Missing</v>
      </c>
    </row>
    <row r="486" spans="5:9" ht="20.100000000000001" customHeight="1" x14ac:dyDescent="0.2">
      <c r="H486" s="4" t="s">
        <v>1896</v>
      </c>
      <c r="I486" s="337" t="str">
        <f>IF(ISBLANK(input_wld_az2_host10_fqdn),"Value Missing",input_wld_az2_host10_fqdn)</f>
        <v>Value Missing</v>
      </c>
    </row>
    <row r="487" spans="5:9" ht="20.100000000000001" customHeight="1" x14ac:dyDescent="0.2">
      <c r="H487" s="4" t="s">
        <v>1898</v>
      </c>
      <c r="I487" s="337" t="str">
        <f>IF(ISBLANK(input_wld_az2_host11_fqdn),"Value Missing",input_wld_az2_host11_fqdn)</f>
        <v>Value Missing</v>
      </c>
    </row>
    <row r="488" spans="5:9" ht="20.100000000000001" customHeight="1" x14ac:dyDescent="0.2">
      <c r="H488" s="4" t="s">
        <v>1900</v>
      </c>
      <c r="I488" s="337" t="str">
        <f>IF(ISBLANK(input_wld_az2_host12_fqdn),"Value Missing",input_wld_az2_host12_fqdn)</f>
        <v>Value Missing</v>
      </c>
    </row>
    <row r="489" spans="5:9" ht="20.100000000000001" customHeight="1" x14ac:dyDescent="0.2">
      <c r="H489" s="4" t="s">
        <v>1902</v>
      </c>
      <c r="I489" s="337" t="str">
        <f>IF(ISBLANK(input_wld_az2_host13_fqdn),"Value Missing",input_wld_az2_host13_fqdn)</f>
        <v>Value Missing</v>
      </c>
    </row>
    <row r="490" spans="5:9" ht="20.100000000000001" customHeight="1" x14ac:dyDescent="0.2">
      <c r="H490" s="4" t="s">
        <v>1903</v>
      </c>
      <c r="I490" s="337" t="str">
        <f>IF(ISBLANK(input_wld_az2_host14_fqdn),"Value Missing",input_wld_az2_host14_fqdn)</f>
        <v>Value Missing</v>
      </c>
    </row>
    <row r="491" spans="5:9" ht="20.100000000000001" customHeight="1" x14ac:dyDescent="0.2">
      <c r="H491" s="4" t="s">
        <v>1906</v>
      </c>
      <c r="I491" s="337" t="str">
        <f>IF(ISBLANK(input_wld_az2_host15_fqdn),"Value Missing",input_wld_az2_host15_fqdn)</f>
        <v>Value Missing</v>
      </c>
    </row>
    <row r="492" spans="5:9" ht="20.100000000000001" customHeight="1" x14ac:dyDescent="0.2">
      <c r="H492" s="4" t="s">
        <v>1907</v>
      </c>
      <c r="I492" s="337" t="str">
        <f>IF(ISBLANK(input_wld_az2_host16_fqdn),"Value Missing",input_wld_az2_host16_fqdn)</f>
        <v>Value Missing</v>
      </c>
    </row>
    <row r="493" spans="5:9" ht="20.100000000000001" customHeight="1" x14ac:dyDescent="0.2">
      <c r="I493" s="19"/>
    </row>
  </sheetData>
  <sheetProtection algorithmName="SHA-512" hashValue="sX2KPo10VkzLZhZLRtL0SQd46SwE3Oxyjr/U6iI2SQ8Zrvm29+LNLdQ4A+BSrGi7zlyAnMjj7KP10GE94mCkWQ==" saltValue="GhoCgJs4pX1eO6jBQDWWuQ==" spinCount="100000" sheet="1" objects="1" scenarios="1"/>
  <mergeCells count="33">
    <mergeCell ref="AG6:AH6"/>
    <mergeCell ref="AG17:AH17"/>
    <mergeCell ref="Z176:AA176"/>
    <mergeCell ref="AC176:AD176"/>
    <mergeCell ref="K176:L176"/>
    <mergeCell ref="N176:O176"/>
    <mergeCell ref="Q176:R176"/>
    <mergeCell ref="T176:U176"/>
    <mergeCell ref="W176:X176"/>
    <mergeCell ref="N200:O200"/>
    <mergeCell ref="K200:L200"/>
    <mergeCell ref="Q200:R200"/>
    <mergeCell ref="Z200:AA200"/>
    <mergeCell ref="AC200:AD200"/>
    <mergeCell ref="T200:U200"/>
    <mergeCell ref="W200:X200"/>
    <mergeCell ref="E216:F216"/>
    <mergeCell ref="E448:F448"/>
    <mergeCell ref="H456:I456"/>
    <mergeCell ref="H176:I176"/>
    <mergeCell ref="H216:I216"/>
    <mergeCell ref="E403:F403"/>
    <mergeCell ref="H411:I411"/>
    <mergeCell ref="E176:F176"/>
    <mergeCell ref="B43:C43"/>
    <mergeCell ref="B51:C51"/>
    <mergeCell ref="B59:C59"/>
    <mergeCell ref="E2:M2"/>
    <mergeCell ref="E3:M3"/>
    <mergeCell ref="B6:C6"/>
    <mergeCell ref="B21:C21"/>
    <mergeCell ref="B31:C31"/>
    <mergeCell ref="E6:F6"/>
  </mergeCells>
  <conditionalFormatting sqref="C8:C19 C34:C36 C38:C41 C45:C49 C53:C57 C61">
    <cfRule type="notContainsBlanks" dxfId="870" priority="300">
      <formula>LEN(TRIM(C8))&gt;0</formula>
    </cfRule>
  </conditionalFormatting>
  <conditionalFormatting sqref="C23:C29">
    <cfRule type="notContainsBlanks" dxfId="866" priority="254">
      <formula>LEN(TRIM(C23))&gt;0</formula>
    </cfRule>
  </conditionalFormatting>
  <conditionalFormatting sqref="F120">
    <cfRule type="containsBlanks" dxfId="862" priority="72">
      <formula>LEN(TRIM(F120))=0</formula>
    </cfRule>
    <cfRule type="notContainsBlanks" dxfId="861" priority="71">
      <formula>LEN(TRIM(F120))&gt;0</formula>
    </cfRule>
    <cfRule type="expression" dxfId="860" priority="69">
      <formula>mgmt_domain_existing_vcf_operations_chosen="Selected"</formula>
    </cfRule>
  </conditionalFormatting>
  <conditionalFormatting sqref="F134:F135">
    <cfRule type="expression" dxfId="858" priority="77">
      <formula>mgmt_domain_existing_vcf_operations_chosen="Selected"</formula>
    </cfRule>
    <cfRule type="containsBlanks" dxfId="857" priority="80">
      <formula>LEN(TRIM(F134))=0</formula>
    </cfRule>
    <cfRule type="notContainsBlanks" dxfId="856" priority="79">
      <formula>LEN(TRIM(F134))&gt;0</formula>
    </cfRule>
  </conditionalFormatting>
  <conditionalFormatting sqref="F145">
    <cfRule type="containsBlanks" dxfId="854" priority="76">
      <formula>LEN(TRIM(F145))=0</formula>
    </cfRule>
    <cfRule type="notContainsBlanks" dxfId="852" priority="75">
      <formula>LEN(TRIM(F145))&gt;0</formula>
    </cfRule>
    <cfRule type="expression" dxfId="851" priority="73">
      <formula>mgmt_domain_existing_vcf_operations_chosen="Selected"</formula>
    </cfRule>
  </conditionalFormatting>
  <conditionalFormatting sqref="F170">
    <cfRule type="expression" dxfId="847" priority="229">
      <formula>(VROPS_Result="Excluded")</formula>
    </cfRule>
    <cfRule type="containsBlanks" dxfId="846" priority="228">
      <formula>LEN(TRIM(F170))=0</formula>
    </cfRule>
    <cfRule type="expression" dxfId="844" priority="225">
      <formula>mgmt_domain_existing_vcf_operations_chosen="Selected"</formula>
    </cfRule>
    <cfRule type="notContainsBlanks" dxfId="843" priority="227">
      <formula>LEN(TRIM(F170))&gt;0</formula>
    </cfRule>
    <cfRule type="expression" dxfId="841" priority="241">
      <formula>(VROPS_Result="Excluded")</formula>
    </cfRule>
    <cfRule type="expression" dxfId="839" priority="234">
      <formula>AND((VRLI_Result="Excluded"),(VROPS_Result="Excluded"),(VRA_Result="Excluded"))</formula>
    </cfRule>
    <cfRule type="notContainsBlanks" dxfId="837" priority="239">
      <formula>LEN(TRIM(F170))&gt;0</formula>
    </cfRule>
    <cfRule type="expression" dxfId="835" priority="237">
      <formula>mgmt_domain_existing_vcf_operations_chosen="Selected"</formula>
    </cfRule>
    <cfRule type="containsBlanks" dxfId="832" priority="240">
      <formula>LEN(TRIM(F170))=0</formula>
    </cfRule>
    <cfRule type="expression" dxfId="830" priority="246">
      <formula>AND((VRLI_Result="Excluded"),(VROPS_Result="Excluded"),(VRA_Result="Excluded"))</formula>
    </cfRule>
  </conditionalFormatting>
  <conditionalFormatting sqref="I140">
    <cfRule type="expression" dxfId="822" priority="61">
      <formula>(VROPS_Result="Excluded")</formula>
    </cfRule>
    <cfRule type="expression" dxfId="817" priority="66">
      <formula>AND((VRLI_Result="Excluded"),(VROPS_Result="Excluded"),(VRA_Result="Excluded"))</formula>
    </cfRule>
    <cfRule type="expression" dxfId="814" priority="57">
      <formula>mgmt_domain_existing_vcf_operations_chosen="Selected"</formula>
    </cfRule>
    <cfRule type="notContainsBlanks" dxfId="812" priority="59">
      <formula>LEN(TRIM(I140))&gt;0</formula>
    </cfRule>
    <cfRule type="containsBlanks" dxfId="811" priority="60">
      <formula>LEN(TRIM(I140))=0</formula>
    </cfRule>
  </conditionalFormatting>
  <conditionalFormatting sqref="L260 N260 P260">
    <cfRule type="containsBlanks" dxfId="803" priority="56">
      <formula>LEN(TRIM(L260))=0</formula>
    </cfRule>
    <cfRule type="notContainsBlanks" dxfId="802" priority="55" stopIfTrue="1">
      <formula>LEN(TRIM(L260))&gt;0</formula>
    </cfRule>
  </conditionalFormatting>
  <conditionalFormatting sqref="L261 N261 P261">
    <cfRule type="notContainsBlanks" dxfId="801" priority="48" stopIfTrue="1">
      <formula>LEN(TRIM(L261))&gt;0</formula>
    </cfRule>
    <cfRule type="containsBlanks" dxfId="800" priority="49">
      <formula>LEN(TRIM(L261))=0</formula>
    </cfRule>
  </conditionalFormatting>
  <conditionalFormatting sqref="L262 N262 P262">
    <cfRule type="containsBlanks" dxfId="799" priority="42">
      <formula>LEN(TRIM(L262))=0</formula>
    </cfRule>
    <cfRule type="notContainsBlanks" dxfId="798" priority="41" stopIfTrue="1">
      <formula>LEN(TRIM(L262))&gt;0</formula>
    </cfRule>
  </conditionalFormatting>
  <conditionalFormatting sqref="L263 N263 P263">
    <cfRule type="containsBlanks" dxfId="797" priority="35">
      <formula>LEN(TRIM(L263))=0</formula>
    </cfRule>
    <cfRule type="notContainsBlanks" dxfId="796" priority="34" stopIfTrue="1">
      <formula>LEN(TRIM(L263))&gt;0</formula>
    </cfRule>
  </conditionalFormatting>
  <conditionalFormatting sqref="L264 N264 P264">
    <cfRule type="notContainsBlanks" dxfId="795" priority="27" stopIfTrue="1">
      <formula>LEN(TRIM(L264))&gt;0</formula>
    </cfRule>
    <cfRule type="containsBlanks" dxfId="794" priority="28">
      <formula>LEN(TRIM(L264))=0</formula>
    </cfRule>
  </conditionalFormatting>
  <conditionalFormatting sqref="L265 N265 P265">
    <cfRule type="notContainsBlanks" dxfId="793" priority="20" stopIfTrue="1">
      <formula>LEN(TRIM(L265))&gt;0</formula>
    </cfRule>
    <cfRule type="containsBlanks" dxfId="792" priority="21">
      <formula>LEN(TRIM(L265))=0</formula>
    </cfRule>
  </conditionalFormatting>
  <conditionalFormatting sqref="M255 K260:L260 N260:R260">
    <cfRule type="expression" dxfId="791" priority="52">
      <formula>wld_multi_rack_count_chosen&lt;2</formula>
    </cfRule>
  </conditionalFormatting>
  <conditionalFormatting sqref="M255:M260 K260:L265 N260:R265">
    <cfRule type="expression" dxfId="790" priority="16">
      <formula>wld_multi_rack_count_chosen="Exclude"</formula>
    </cfRule>
    <cfRule type="expression" dxfId="789" priority="15">
      <formula>OR(wld_domain_result="Excluded",wld_multirack_result="Excluded")</formula>
    </cfRule>
  </conditionalFormatting>
  <conditionalFormatting sqref="M256 K261:L261 N261:R261">
    <cfRule type="expression" dxfId="788" priority="45">
      <formula>wld_multi_rack_count_chosen&lt;3</formula>
    </cfRule>
  </conditionalFormatting>
  <conditionalFormatting sqref="M257 K262:L262 N262:R262">
    <cfRule type="expression" dxfId="787" priority="38">
      <formula>wld_multi_rack_count_chosen&lt;4</formula>
    </cfRule>
  </conditionalFormatting>
  <conditionalFormatting sqref="M258 K263:L263 N263:R263">
    <cfRule type="expression" dxfId="786" priority="31">
      <formula>wld_multi_rack_count_chosen&lt;5</formula>
    </cfRule>
  </conditionalFormatting>
  <conditionalFormatting sqref="M259 K264:L264 N264:R264">
    <cfRule type="expression" dxfId="785" priority="24">
      <formula>wld_multi_rack_count_chosen&lt;6</formula>
    </cfRule>
  </conditionalFormatting>
  <conditionalFormatting sqref="M260 K265:L265 N265:R265">
    <cfRule type="expression" dxfId="784" priority="17">
      <formula>wld_multi_rack_count_chosen&lt;7</formula>
    </cfRule>
  </conditionalFormatting>
  <conditionalFormatting sqref="R260">
    <cfRule type="containsBlanks" dxfId="771" priority="54" stopIfTrue="1">
      <formula>LEN(TRIM(R260))=0</formula>
    </cfRule>
    <cfRule type="notContainsBlanks" dxfId="770" priority="53" stopIfTrue="1">
      <formula>LEN(TRIM(R260))&gt;0</formula>
    </cfRule>
  </conditionalFormatting>
  <conditionalFormatting sqref="R261">
    <cfRule type="notContainsBlanks" dxfId="769" priority="46" stopIfTrue="1">
      <formula>LEN(TRIM(R261))&gt;0</formula>
    </cfRule>
    <cfRule type="containsBlanks" dxfId="768" priority="47" stopIfTrue="1">
      <formula>LEN(TRIM(R261))=0</formula>
    </cfRule>
  </conditionalFormatting>
  <conditionalFormatting sqref="R262">
    <cfRule type="notContainsBlanks" dxfId="767" priority="39" stopIfTrue="1">
      <formula>LEN(TRIM(R262))&gt;0</formula>
    </cfRule>
    <cfRule type="containsBlanks" dxfId="766" priority="40" stopIfTrue="1">
      <formula>LEN(TRIM(R262))=0</formula>
    </cfRule>
  </conditionalFormatting>
  <conditionalFormatting sqref="R263">
    <cfRule type="containsBlanks" dxfId="765" priority="33" stopIfTrue="1">
      <formula>LEN(TRIM(R263))=0</formula>
    </cfRule>
    <cfRule type="notContainsBlanks" dxfId="764" priority="32" stopIfTrue="1">
      <formula>LEN(TRIM(R263))&gt;0</formula>
    </cfRule>
  </conditionalFormatting>
  <conditionalFormatting sqref="R264">
    <cfRule type="containsBlanks" dxfId="763" priority="26" stopIfTrue="1">
      <formula>LEN(TRIM(R264))=0</formula>
    </cfRule>
    <cfRule type="notContainsBlanks" dxfId="762" priority="25" stopIfTrue="1">
      <formula>LEN(TRIM(R264))&gt;0</formula>
    </cfRule>
  </conditionalFormatting>
  <conditionalFormatting sqref="R265">
    <cfRule type="containsBlanks" dxfId="761" priority="19" stopIfTrue="1">
      <formula>LEN(TRIM(R265))=0</formula>
    </cfRule>
    <cfRule type="notContainsBlanks" dxfId="760" priority="18" stopIfTrue="1">
      <formula>LEN(TRIM(R265))&gt;0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A65C3405-968D-A649-AF5B-232123F01C80}">
            <xm:f>NOT(ISERROR(SEARCH("Not Required",C8)))</xm:f>
            <xm:f>"Not Required"</xm:f>
            <x14:dxf>
              <font>
                <color theme="0"/>
              </font>
              <fill>
                <patternFill>
                  <bgColor rgb="FF4F5F69"/>
                </patternFill>
              </fill>
            </x14:dxf>
          </x14:cfRule>
          <x14:cfRule type="containsText" priority="295" operator="containsText" id="{30A3F409-3375-C04B-96F9-B67835A3D38B}">
            <xm:f>NOT(ISERROR(SEARCH("Value Missing",C8)))</xm:f>
            <xm:f>"Value Missing"</xm:f>
            <x14:dxf>
              <font>
                <color theme="1"/>
              </font>
              <fill>
                <patternFill>
                  <bgColor rgb="FFFFBE29"/>
                </patternFill>
              </fill>
            </x14:dxf>
          </x14:cfRule>
          <xm:sqref>C8:C19 C34:C36 C38:C41 C45:C49 C53:C57 C61</xm:sqref>
        </x14:conditionalFormatting>
        <x14:conditionalFormatting xmlns:xm="http://schemas.microsoft.com/office/excel/2006/main">
          <x14:cfRule type="containsText" priority="252" operator="containsText" id="{2E06A456-9CFD-394A-87AD-D2A057EC4C00}">
            <xm:f>NOT(ISERROR(SEARCH("Value Missing",C23)))</xm:f>
            <xm:f>"Value Missing"</xm:f>
            <x14:dxf>
              <font>
                <color theme="1"/>
              </font>
              <fill>
                <patternFill>
                  <bgColor rgb="FFFFBE29"/>
                </patternFill>
              </fill>
            </x14:dxf>
          </x14:cfRule>
          <x14:cfRule type="containsText" priority="253"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notContainsText" priority="285"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I120 I124:I135 I139 I141:I144 I255:I262 F255:F263 I323:I334</xm:sqref>
        </x14:conditionalFormatting>
        <x14:conditionalFormatting xmlns:xm="http://schemas.microsoft.com/office/excel/2006/main">
          <x14:cfRule type="containsText" priority="284"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I120 I124:I135 I139 I141:I144 I323:I334 I255:I262 F255:F263</xm:sqref>
        </x14:conditionalFormatting>
        <x14:conditionalFormatting xmlns:xm="http://schemas.microsoft.com/office/excel/2006/main">
          <x14:cfRule type="containsText" priority="70"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78"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74"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notContainsText" priority="232" operator="notContains" id="{A64DB7C4-5E87-5A48-BE1E-79C5A5200141}">
            <xm:f>ISERROR(SEARCH("Value Missing",F170))</xm:f>
            <xm:f>"Value Missing"</xm:f>
            <x14:dxf>
              <font>
                <color rgb="FF006100"/>
              </font>
              <fill>
                <patternFill>
                  <bgColor rgb="FFC6EFCE"/>
                </patternFill>
              </fill>
            </x14:dxf>
          </x14:cfRule>
          <x14:cfRule type="containsText" priority="231" operator="containsText" id="{90CAD925-3107-4146-B9BB-526E697276DF}">
            <xm:f>NOT(ISERROR(SEARCH("Value Missing",F170)))</xm:f>
            <xm:f>"Value Missing"</xm:f>
            <x14:dxf>
              <font>
                <color rgb="FF9C0006"/>
              </font>
              <fill>
                <patternFill>
                  <bgColor rgb="FFFFC7CE"/>
                </patternFill>
              </fill>
            </x14:dxf>
          </x14:cfRule>
          <x14:cfRule type="notContainsText" priority="230" operator="notContains" id="{60CD5978-8FB8-FF43-85E9-364702C0CAA9}">
            <xm:f>ISERROR(SEARCH("Value Missing",F170))</xm:f>
            <xm:f>"Value Missing"</xm:f>
            <x14:dxf>
              <font>
                <color rgb="FF006100"/>
              </font>
              <fill>
                <patternFill>
                  <bgColor rgb="FFC6EFCE"/>
                </patternFill>
              </fill>
            </x14:dxf>
          </x14:cfRule>
          <x14:cfRule type="containsText" priority="226" stopIfTrue="1" operator="containsText" id="{7D4DEBEB-A173-7F4F-9C79-8ECC19831809}">
            <xm:f>NOT(ISERROR(SEARCH("Value Missing",F170)))</xm:f>
            <xm:f>"Value Missing"</xm:f>
            <x14:dxf>
              <font>
                <color rgb="FF0E223A"/>
              </font>
              <fill>
                <patternFill>
                  <bgColor rgb="FFFFBE29"/>
                </patternFill>
              </fill>
            </x14:dxf>
          </x14:cfRule>
          <x14:cfRule type="containsText" priority="248" operator="containsText" id="{E627FF7E-80A3-9940-8316-1E369D6157AB}">
            <xm:f>NOT(ISERROR(SEARCH("Value Missing",F170)))</xm:f>
            <xm:f>"Value Missing"</xm:f>
            <x14:dxf>
              <font>
                <color rgb="FF9C0006"/>
              </font>
              <fill>
                <patternFill>
                  <bgColor rgb="FFFFC7CE"/>
                </patternFill>
              </fill>
            </x14:dxf>
          </x14:cfRule>
          <x14:cfRule type="notContainsText" priority="235" operator="notContains" id="{B7E4B134-1375-4741-ADC9-3D565C12F2AB}">
            <xm:f>ISERROR(SEARCH("Value Missing",F170))</xm:f>
            <xm:f>"Value Missing"</xm:f>
            <x14:dxf>
              <font>
                <color rgb="FF006100"/>
              </font>
              <fill>
                <patternFill>
                  <bgColor rgb="FFC6EFCE"/>
                </patternFill>
              </fill>
            </x14:dxf>
          </x14:cfRule>
          <x14:cfRule type="containsText" priority="233" operator="containsText" id="{51D9070B-BE64-774E-9D04-DFDE224AE899}">
            <xm:f>NOT(ISERROR(SEARCH("Value Missing",F170)))</xm:f>
            <xm:f>"Value Missing"</xm:f>
            <x14:dxf>
              <font>
                <color rgb="FF9C0006"/>
              </font>
              <fill>
                <patternFill>
                  <bgColor rgb="FFFFC7CE"/>
                </patternFill>
              </fill>
            </x14:dxf>
          </x14:cfRule>
          <x14:cfRule type="containsText" priority="238" stopIfTrue="1" operator="containsText" id="{784E68FA-8023-794C-BD87-0A9D011C4959}">
            <xm:f>NOT(ISERROR(SEARCH("Value Missing",F170)))</xm:f>
            <xm:f>"Value Missing"</xm:f>
            <x14:dxf>
              <font>
                <color rgb="FF0E223A"/>
              </font>
              <fill>
                <patternFill>
                  <bgColor rgb="FFFFBE29"/>
                </patternFill>
              </fill>
            </x14:dxf>
          </x14:cfRule>
          <x14:cfRule type="notContainsText" priority="242" operator="notContains" id="{11FFCF3C-8326-444A-90E8-517EEE7E55A2}">
            <xm:f>ISERROR(SEARCH("Value Missing",F170))</xm:f>
            <xm:f>"Value Missing"</xm:f>
            <x14:dxf>
              <font>
                <color rgb="FF006100"/>
              </font>
              <fill>
                <patternFill>
                  <bgColor rgb="FFC6EFCE"/>
                </patternFill>
              </fill>
            </x14:dxf>
          </x14:cfRule>
          <x14:cfRule type="containsText" priority="243" operator="containsText" id="{C9672E1A-1695-594B-9F42-DB874E6191EC}">
            <xm:f>NOT(ISERROR(SEARCH("Value Missing",F170)))</xm:f>
            <xm:f>"Value Missing"</xm:f>
            <x14:dxf>
              <font>
                <color rgb="FF9C0006"/>
              </font>
              <fill>
                <patternFill>
                  <bgColor rgb="FFFFC7CE"/>
                </patternFill>
              </fill>
            </x14:dxf>
          </x14:cfRule>
          <x14:cfRule type="notContainsText" priority="244" operator="notContains" id="{C6A2A1FE-59E8-BB4C-8B10-B1342F266A20}">
            <xm:f>ISERROR(SEARCH("Value Missing",F170))</xm:f>
            <xm:f>"Value Missing"</xm:f>
            <x14:dxf>
              <font>
                <color rgb="FF006100"/>
              </font>
              <fill>
                <patternFill>
                  <bgColor rgb="FFC6EFCE"/>
                </patternFill>
              </fill>
            </x14:dxf>
          </x14:cfRule>
          <x14:cfRule type="containsText" priority="245" operator="containsText" id="{C16983BC-AF16-2841-9EA9-792057041EFE}">
            <xm:f>NOT(ISERROR(SEARCH("Value Missing",F170)))</xm:f>
            <xm:f>"Value Missing"</xm:f>
            <x14:dxf>
              <font>
                <color rgb="FF9C0006"/>
              </font>
              <fill>
                <patternFill>
                  <bgColor rgb="FFFFC7CE"/>
                </patternFill>
              </fill>
            </x14:dxf>
          </x14:cfRule>
          <x14:cfRule type="notContainsText" priority="247" operator="notContains" id="{5429F24B-9BF7-8141-9CCF-1F7920CF0406}">
            <xm:f>ISERROR(SEARCH("Value Missing",F170))</xm:f>
            <xm:f>"Value Missing"</xm:f>
            <x14:dxf>
              <font>
                <color rgb="FF006100"/>
              </font>
              <fill>
                <patternFill>
                  <bgColor rgb="FFC6EFCE"/>
                </patternFill>
              </fill>
            </x14:dxf>
          </x14:cfRule>
          <x14:cfRule type="containsText" priority="236" operator="containsText" id="{3787AAFD-DADB-D94F-91BA-2E8FECD7C597}">
            <xm:f>NOT(ISERROR(SEARCH("Value Missing",F170)))</xm:f>
            <xm:f>"Value Missing"</xm:f>
            <x14:dxf>
              <font>
                <color rgb="FF9C0006"/>
              </font>
              <fill>
                <patternFill>
                  <bgColor rgb="FFFFC7CE"/>
                </patternFill>
              </fill>
            </x14:dxf>
          </x14:cfRule>
          <xm:sqref>F170</xm:sqref>
        </x14:conditionalFormatting>
        <x14:conditionalFormatting xmlns:xm="http://schemas.microsoft.com/office/excel/2006/main">
          <x14:cfRule type="notContainsText" priority="263" operator="notContains" id="{875F1B01-BDE0-FB4E-ACFA-043A2FD7BB3E}">
            <xm:f>ISERROR(SEARCH("Value Missing",F320))</xm:f>
            <xm:f>"Value Missing"</xm:f>
            <x14:dxf>
              <font>
                <color theme="1"/>
              </font>
              <fill>
                <patternFill>
                  <bgColor rgb="FFEFFDE3"/>
                </patternFill>
              </fill>
            </x14:dxf>
          </x14:cfRule>
          <x14:cfRule type="containsText" priority="262" operator="containsText" id="{28E521F9-4BBC-064B-BD7C-1DBEC7C58D3D}">
            <xm:f>NOT(ISERROR(SEARCH("Not Required",F320)))</xm:f>
            <xm:f>"Not Required"</xm:f>
            <x14:dxf>
              <font>
                <color theme="0"/>
              </font>
              <fill>
                <patternFill>
                  <bgColor rgb="FF506069"/>
                </patternFill>
              </fill>
            </x14:dxf>
          </x14:cfRule>
          <x14:cfRule type="containsText" priority="261" operator="containsText" id="{72CC92B6-7065-824D-B6B6-B08AC16DCD08}">
            <xm:f>NOT(ISERROR(SEARCH("Value Missing",F320)))</xm:f>
            <xm:f>"Value Missing"</xm:f>
            <x14:dxf>
              <font>
                <color theme="1"/>
              </font>
              <fill>
                <patternFill>
                  <bgColor rgb="FFFFBD29"/>
                </patternFill>
              </fill>
            </x14:dxf>
          </x14:cfRule>
          <xm:sqref>F320:F330</xm:sqref>
        </x14:conditionalFormatting>
        <x14:conditionalFormatting xmlns:xm="http://schemas.microsoft.com/office/excel/2006/main">
          <x14:cfRule type="containsText" priority="298" operator="containsText" id="{6FEEEEE0-7416-1E4F-A814-0143DEF4CFF3}">
            <xm:f>NOT(ISERROR(SEARCH("Value Missing",F8)))</xm:f>
            <xm:f>"Value Missing"</xm:f>
            <x14:dxf>
              <font>
                <color theme="1"/>
              </font>
              <fill>
                <patternFill>
                  <bgColor rgb="FFFFBD29"/>
                </patternFill>
              </fill>
            </x14:dxf>
          </x14:cfRule>
          <xm:sqref>I53:I54 I110:I120 I255:I262 F255:F263 F166:F174 AA8:AA14 F8:F19 I8:I19 L8:L19 O8:O19 R8:R19 U8:U19 X8:X19 AD8:AD19 AA16:AA19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notContainsText" priority="62" operator="notContains" id="{F95AF1BF-1E3B-DB42-8F14-E4A053285F43}">
            <xm:f>ISERROR(SEARCH("Value Missing",I140))</xm:f>
            <xm:f>"Value Missing"</xm:f>
            <x14:dxf>
              <font>
                <color rgb="FF006100"/>
              </font>
              <fill>
                <patternFill>
                  <bgColor rgb="FFC6EFCE"/>
                </patternFill>
              </fill>
            </x14:dxf>
          </x14:cfRule>
          <x14:cfRule type="containsText" priority="63" operator="containsText" id="{384E719D-3162-724D-998F-C2AFEB798E9B}">
            <xm:f>NOT(ISERROR(SEARCH("Value Missing",I140)))</xm:f>
            <xm:f>"Value Missing"</xm:f>
            <x14:dxf>
              <font>
                <color rgb="FF9C0006"/>
              </font>
              <fill>
                <patternFill>
                  <bgColor rgb="FFFFC7CE"/>
                </patternFill>
              </fill>
            </x14:dxf>
          </x14:cfRule>
          <x14:cfRule type="notContainsText" priority="64" operator="notContains" id="{7A9F70AB-ECF5-234E-8681-CE2C9CE3407E}">
            <xm:f>ISERROR(SEARCH("Value Missing",I140))</xm:f>
            <xm:f>"Value Missing"</xm:f>
            <x14:dxf>
              <font>
                <color rgb="FF006100"/>
              </font>
              <fill>
                <patternFill>
                  <bgColor rgb="FFC6EFCE"/>
                </patternFill>
              </fill>
            </x14:dxf>
          </x14:cfRule>
          <x14:cfRule type="containsText" priority="65" operator="containsText" id="{987F56E2-7209-B149-9C87-C9C45C9B4568}">
            <xm:f>NOT(ISERROR(SEARCH("Value Missing",I140)))</xm:f>
            <xm:f>"Value Missing"</xm:f>
            <x14:dxf>
              <font>
                <color rgb="FF9C0006"/>
              </font>
              <fill>
                <patternFill>
                  <bgColor rgb="FFFFC7CE"/>
                </patternFill>
              </fill>
            </x14:dxf>
          </x14:cfRule>
          <x14:cfRule type="notContainsText" priority="67" operator="notContains" id="{21325923-C720-2E46-B08D-2D3513622B6F}">
            <xm:f>ISERROR(SEARCH("Value Missing",I140))</xm:f>
            <xm:f>"Value Missing"</xm:f>
            <x14:dxf>
              <font>
                <color rgb="FF006100"/>
              </font>
              <fill>
                <patternFill>
                  <bgColor rgb="FFC6EFCE"/>
                </patternFill>
              </fill>
            </x14:dxf>
          </x14:cfRule>
          <x14:cfRule type="containsText" priority="68" operator="containsText" id="{AF373FEF-4402-CE4E-A610-DC924B237CAD}">
            <xm:f>NOT(ISERROR(SEARCH("Value Missing",I140)))</xm:f>
            <xm:f>"Value Missing"</xm:f>
            <x14:dxf>
              <font>
                <color rgb="FF9C0006"/>
              </font>
              <fill>
                <patternFill>
                  <bgColor rgb="FFFFC7CE"/>
                </patternFill>
              </fill>
            </x14:dxf>
          </x14:cfRule>
          <x14:cfRule type="containsText" priority="58" stopIfTrue="1" operator="containsText" id="{9759BC04-AE11-A04C-9051-0EE5A6AFA6F6}">
            <xm:f>NOT(ISERROR(SEARCH("Value Missing",I140)))</xm:f>
            <xm:f>"Value Missing"</xm:f>
            <x14:dxf>
              <font>
                <color rgb="FF0E223A"/>
              </font>
              <fill>
                <patternFill>
                  <bgColor rgb="FFFFBE29"/>
                </patternFill>
              </fill>
            </x14:dxf>
          </x14:cfRule>
          <xm:sqref>I140</xm:sqref>
        </x14:conditionalFormatting>
        <x14:conditionalFormatting xmlns:xm="http://schemas.microsoft.com/office/excel/2006/main">
          <x14:cfRule type="containsText" priority="81" operator="containsText" id="{5F832D67-6A2D-A34C-846A-8F4C462BB1CB}">
            <xm:f>NOT(ISERROR(SEARCH("Value Missing",F266)))</xm:f>
            <xm:f>"Value Missing"</xm:f>
            <x14:dxf>
              <font>
                <color theme="1"/>
              </font>
              <fill>
                <patternFill>
                  <bgColor rgb="FFFFBD29"/>
                </patternFill>
              </fill>
            </x14:dxf>
          </x14:cfRule>
          <x14:cfRule type="containsText" priority="82" operator="containsText" id="{8AB44DFE-2B82-3A4F-8965-5EFA08AAFB75}">
            <xm:f>NOT(ISERROR(SEARCH("Not Required",F266)))</xm:f>
            <xm:f>"Not Required"</xm:f>
            <x14:dxf>
              <font>
                <color theme="0"/>
              </font>
              <fill>
                <patternFill>
                  <bgColor rgb="FF506069"/>
                </patternFill>
              </fill>
            </x14:dxf>
          </x14:cfRule>
          <x14:cfRule type="notContainsText" priority="83" operator="notContains" id="{B6806F62-6D54-2F48-9524-C1F1483CA2C6}">
            <xm:f>ISERROR(SEARCH("Value Missing",F266))</xm:f>
            <xm:f>"Value Missing"</xm:f>
            <x14:dxf>
              <font>
                <color theme="1"/>
              </font>
              <fill>
                <patternFill>
                  <bgColor rgb="FFEFFDE3"/>
                </patternFill>
              </fill>
            </x14:dxf>
          </x14:cfRule>
          <xm:sqref>I266:I273 F266:F274</xm:sqref>
        </x14:conditionalFormatting>
        <x14:conditionalFormatting xmlns:xm="http://schemas.microsoft.com/office/excel/2006/main">
          <x14:cfRule type="containsText" priority="223" operator="containsText" id="{69F56B06-F737-F745-92B3-A1BA6CF53FC1}">
            <xm:f>NOT(ISERROR(SEARCH("Not Required",L53)))</xm:f>
            <xm:f>"Not Required"</xm:f>
            <x14:dxf>
              <font>
                <color theme="0"/>
              </font>
              <fill>
                <patternFill>
                  <bgColor rgb="FF506069"/>
                </patternFill>
              </fill>
            </x14:dxf>
          </x14:cfRule>
          <x14:cfRule type="containsText" priority="222" operator="containsText" id="{6224CAFD-AB38-1F46-A927-8B474B6B96C8}">
            <xm:f>NOT(ISERROR(SEARCH("Value Missing",L53)))</xm:f>
            <xm:f>"Value Missing"</xm:f>
            <x14:dxf>
              <font>
                <color theme="1"/>
              </font>
              <fill>
                <patternFill>
                  <bgColor rgb="FFFFBD29"/>
                </patternFill>
              </fill>
            </x14:dxf>
          </x14:cfRule>
          <x14:cfRule type="notContainsText" priority="224" operator="notContains" id="{7870F5D3-3AB6-3A4E-B049-A189076E98D1}">
            <xm:f>ISERROR(SEARCH("Value Missing",L53))</xm:f>
            <xm:f>"Value Missing"</xm:f>
            <x14:dxf>
              <font>
                <color theme="1"/>
              </font>
              <fill>
                <patternFill>
                  <bgColor rgb="FFEFFDE3"/>
                </patternFill>
              </fill>
            </x14:dxf>
          </x14:cfRule>
          <xm:sqref>L53:L56</xm:sqref>
        </x14:conditionalFormatting>
        <x14:conditionalFormatting xmlns:xm="http://schemas.microsoft.com/office/excel/2006/main">
          <x14:cfRule type="containsText" priority="283"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I120 I124:I135 I139 I141:I144 I323:I334</xm:sqref>
        </x14:conditionalFormatting>
        <x14:conditionalFormatting xmlns:xm="http://schemas.microsoft.com/office/excel/2006/main">
          <x14:cfRule type="containsText" priority="181" operator="containsText" id="{B4FF0D6C-6C46-394E-BD50-67E1D251040A}">
            <xm:f>NOT(ISERROR(SEARCH("Not Required",O53)))</xm:f>
            <xm:f>"Not Required"</xm:f>
            <x14:dxf>
              <font>
                <color theme="0"/>
              </font>
              <fill>
                <patternFill>
                  <bgColor rgb="FF506069"/>
                </patternFill>
              </fill>
            </x14:dxf>
          </x14:cfRule>
          <x14:cfRule type="notContainsText" priority="182" operator="notContains" id="{E4DF8E44-677B-5044-90B7-70A29E7D9546}">
            <xm:f>ISERROR(SEARCH("Value Missing",O53))</xm:f>
            <xm:f>"Value Missing"</xm:f>
            <x14:dxf>
              <font>
                <color theme="1"/>
              </font>
              <fill>
                <patternFill>
                  <bgColor rgb="FFEFFDE3"/>
                </patternFill>
              </fill>
            </x14:dxf>
          </x14:cfRule>
          <x14:cfRule type="containsText" priority="180" operator="containsText" id="{3484D9B2-8390-8D49-84C4-1BB762F411BD}">
            <xm:f>NOT(ISERROR(SEARCH("Value Missing",O53)))</xm:f>
            <xm:f>"Value Missing"</xm:f>
            <x14:dxf>
              <font>
                <color theme="1"/>
              </font>
              <fill>
                <patternFill>
                  <bgColor rgb="FFFFBD29"/>
                </patternFill>
              </fill>
            </x14:dxf>
          </x14:cfRule>
          <xm:sqref>O53:O56</xm:sqref>
        </x14:conditionalFormatting>
        <x14:conditionalFormatting xmlns:xm="http://schemas.microsoft.com/office/excel/2006/main">
          <x14:cfRule type="notContainsText" priority="146" operator="notContains" id="{F314583A-4DC4-6B46-B96E-2AAA05DE3F83}">
            <xm:f>ISERROR(SEARCH("Value Missing",O56))</xm:f>
            <xm:f>"Value Missing"</xm:f>
            <x14:dxf>
              <font>
                <color theme="1"/>
              </font>
              <fill>
                <patternFill>
                  <bgColor rgb="FFEFFDE3"/>
                </patternFill>
              </fill>
            </x14:dxf>
          </x14:cfRule>
          <x14:cfRule type="containsText" priority="145" operator="containsText" id="{47D8B146-5634-DD49-8B63-DF06CDE5E18A}">
            <xm:f>NOT(ISERROR(SEARCH("Not Required",O56)))</xm:f>
            <xm:f>"Not Required"</xm:f>
            <x14:dxf>
              <font>
                <color theme="0"/>
              </font>
              <fill>
                <patternFill>
                  <bgColor rgb="FF506069"/>
                </patternFill>
              </fill>
            </x14:dxf>
          </x14:cfRule>
          <x14:cfRule type="containsText" priority="144" operator="containsText" id="{BE046617-BB68-A248-B205-0BA04B74BC03}">
            <xm:f>NOT(ISERROR(SEARCH("Value Missing",O56)))</xm:f>
            <xm:f>"Value Missing"</xm:f>
            <x14:dxf>
              <font>
                <color theme="1"/>
              </font>
              <fill>
                <patternFill>
                  <bgColor rgb="FFFFBD29"/>
                </patternFill>
              </fill>
            </x14:dxf>
          </x14:cfRule>
          <xm:sqref>O56</xm:sqref>
        </x14:conditionalFormatting>
        <x14:conditionalFormatting xmlns:xm="http://schemas.microsoft.com/office/excel/2006/main">
          <x14:cfRule type="containsText" priority="175" operator="containsText" id="{73C225FC-2EA3-ED4E-8798-D772148AC61F}">
            <xm:f>NOT(ISERROR(SEARCH("Not Required",R53)))</xm:f>
            <xm:f>"Not Required"</xm:f>
            <x14:dxf>
              <font>
                <color theme="0"/>
              </font>
              <fill>
                <patternFill>
                  <bgColor rgb="FF506069"/>
                </patternFill>
              </fill>
            </x14:dxf>
          </x14:cfRule>
          <x14:cfRule type="containsText" priority="174" operator="containsText" id="{4DB5BF19-7549-2D4D-9F00-53662934B3EA}">
            <xm:f>NOT(ISERROR(SEARCH("Value Missing",R53)))</xm:f>
            <xm:f>"Value Missing"</xm:f>
            <x14:dxf>
              <font>
                <color theme="1"/>
              </font>
              <fill>
                <patternFill>
                  <bgColor rgb="FFFFBD29"/>
                </patternFill>
              </fill>
            </x14:dxf>
          </x14:cfRule>
          <x14:cfRule type="notContainsText" priority="176" operator="notContains" id="{98CD919A-1892-B144-9FD2-E20F738B8462}">
            <xm:f>ISERROR(SEARCH("Value Missing",R53))</xm:f>
            <xm:f>"Value Missing"</xm:f>
            <x14:dxf>
              <font>
                <color theme="1"/>
              </font>
              <fill>
                <patternFill>
                  <bgColor rgb="FFEFFDE3"/>
                </patternFill>
              </fill>
            </x14:dxf>
          </x14:cfRule>
          <xm:sqref>R53:R56</xm:sqref>
        </x14:conditionalFormatting>
        <x14:conditionalFormatting xmlns:xm="http://schemas.microsoft.com/office/excel/2006/main">
          <x14:cfRule type="containsText" priority="142" operator="containsText" id="{675D5EFB-839D-C44D-9960-0B8483B9E49C}">
            <xm:f>NOT(ISERROR(SEARCH("Not Required",R56)))</xm:f>
            <xm:f>"Not Required"</xm:f>
            <x14:dxf>
              <font>
                <color theme="0"/>
              </font>
              <fill>
                <patternFill>
                  <bgColor rgb="FF506069"/>
                </patternFill>
              </fill>
            </x14:dxf>
          </x14:cfRule>
          <x14:cfRule type="notContainsText" priority="143" operator="notContains" id="{6B12F593-4614-044E-B315-C3C241E7ED5A}">
            <xm:f>ISERROR(SEARCH("Value Missing",R56))</xm:f>
            <xm:f>"Value Missing"</xm:f>
            <x14:dxf>
              <font>
                <color theme="1"/>
              </font>
              <fill>
                <patternFill>
                  <bgColor rgb="FFEFFDE3"/>
                </patternFill>
              </fill>
            </x14:dxf>
          </x14:cfRule>
          <x14:cfRule type="containsText" priority="141" operator="containsText" id="{CF58F867-FF0B-1D42-8BDB-FEA6BC35ED7F}">
            <xm:f>NOT(ISERROR(SEARCH("Value Missing",R56)))</xm:f>
            <xm:f>"Value Missing"</xm:f>
            <x14:dxf>
              <font>
                <color theme="1"/>
              </font>
              <fill>
                <patternFill>
                  <bgColor rgb="FFFFBD29"/>
                </patternFill>
              </fill>
            </x14:dxf>
          </x14:cfRule>
          <xm:sqref>R56</xm:sqref>
        </x14:conditionalFormatting>
        <x14:conditionalFormatting xmlns:xm="http://schemas.microsoft.com/office/excel/2006/main">
          <x14:cfRule type="notContainsText" priority="12" operator="notContains" id="{D11A1D73-B207-C841-A84D-918A99DCD697}">
            <xm:f>ISERROR(SEARCH("Value Missing",U39))</xm:f>
            <xm:f>"Value Missing"</xm:f>
            <x14:dxf>
              <font>
                <color theme="1"/>
              </font>
              <fill>
                <patternFill>
                  <bgColor rgb="FFEFFDE3"/>
                </patternFill>
              </fill>
            </x14:dxf>
          </x14:cfRule>
          <x14:cfRule type="containsText" priority="11" operator="containsText" id="{20F2DFD4-A7DF-D947-9DC9-9516120AE4E3}">
            <xm:f>NOT(ISERROR(SEARCH("Not Required",U39)))</xm:f>
            <xm:f>"Not Required"</xm:f>
            <x14:dxf>
              <font>
                <color theme="0"/>
              </font>
              <fill>
                <patternFill>
                  <bgColor rgb="FF506069"/>
                </patternFill>
              </fill>
            </x14:dxf>
          </x14:cfRule>
          <x14:cfRule type="containsText" priority="10" operator="containsText" id="{B79EBB3B-EC11-884C-B779-815769F0BA83}">
            <xm:f>NOT(ISERROR(SEARCH("Value Missing",U39)))</xm:f>
            <xm:f>"Value Missing"</xm:f>
            <x14:dxf>
              <font>
                <color theme="1"/>
              </font>
              <fill>
                <patternFill>
                  <bgColor rgb="FFFFBD29"/>
                </patternFill>
              </fill>
            </x14:dxf>
          </x14:cfRule>
          <xm:sqref>U39:U47</xm:sqref>
        </x14:conditionalFormatting>
        <x14:conditionalFormatting xmlns:xm="http://schemas.microsoft.com/office/excel/2006/main">
          <x14:cfRule type="notContainsText" priority="170" operator="notContains" id="{2563BE9A-6184-354D-B78B-4DF4EB2B9741}">
            <xm:f>ISERROR(SEARCH("Value Missing",U53))</xm:f>
            <xm:f>"Value Missing"</xm:f>
            <x14:dxf>
              <font>
                <color theme="1"/>
              </font>
              <fill>
                <patternFill>
                  <bgColor rgb="FFEFFDE3"/>
                </patternFill>
              </fill>
            </x14:dxf>
          </x14:cfRule>
          <x14:cfRule type="containsText" priority="168" operator="containsText" id="{9017B3EB-7DBE-9745-80C7-2EA0322DBD9D}">
            <xm:f>NOT(ISERROR(SEARCH("Value Missing",U53)))</xm:f>
            <xm:f>"Value Missing"</xm:f>
            <x14:dxf>
              <font>
                <color theme="1"/>
              </font>
              <fill>
                <patternFill>
                  <bgColor rgb="FFFFBD29"/>
                </patternFill>
              </fill>
            </x14:dxf>
          </x14:cfRule>
          <x14:cfRule type="containsText" priority="169" operator="containsText" id="{806AF8E0-6D97-EC41-968B-57478A38AD6C}">
            <xm:f>NOT(ISERROR(SEARCH("Not Required",U53)))</xm:f>
            <xm:f>"Not Required"</xm:f>
            <x14:dxf>
              <font>
                <color theme="0"/>
              </font>
              <fill>
                <patternFill>
                  <bgColor rgb="FF506069"/>
                </patternFill>
              </fill>
            </x14:dxf>
          </x14:cfRule>
          <xm:sqref>U53:U56</xm:sqref>
        </x14:conditionalFormatting>
        <x14:conditionalFormatting xmlns:xm="http://schemas.microsoft.com/office/excel/2006/main">
          <x14:cfRule type="containsText" priority="139" operator="containsText" id="{0A17DF85-0295-4845-B39F-3EB7492CEB3A}">
            <xm:f>NOT(ISERROR(SEARCH("Not Required",U56)))</xm:f>
            <xm:f>"Not Required"</xm:f>
            <x14:dxf>
              <font>
                <color theme="0"/>
              </font>
              <fill>
                <patternFill>
                  <bgColor rgb="FF506069"/>
                </patternFill>
              </fill>
            </x14:dxf>
          </x14:cfRule>
          <x14:cfRule type="notContainsText" priority="140" operator="notContains" id="{7A999857-3F31-DC42-986B-784B462399DB}">
            <xm:f>ISERROR(SEARCH("Value Missing",U56))</xm:f>
            <xm:f>"Value Missing"</xm:f>
            <x14:dxf>
              <font>
                <color theme="1"/>
              </font>
              <fill>
                <patternFill>
                  <bgColor rgb="FFEFFDE3"/>
                </patternFill>
              </fill>
            </x14:dxf>
          </x14:cfRule>
          <x14:cfRule type="containsText" priority="138" operator="containsText" id="{C1B279C3-DA18-8442-B1B8-B06229D29315}">
            <xm:f>NOT(ISERROR(SEARCH("Value Missing",U56)))</xm:f>
            <xm:f>"Value Missing"</xm:f>
            <x14:dxf>
              <font>
                <color theme="1"/>
              </font>
              <fill>
                <patternFill>
                  <bgColor rgb="FFFFBD29"/>
                </patternFill>
              </fill>
            </x14:dxf>
          </x14:cfRule>
          <xm:sqref>U56</xm:sqref>
        </x14:conditionalFormatting>
        <x14:conditionalFormatting xmlns:xm="http://schemas.microsoft.com/office/excel/2006/main">
          <x14:cfRule type="notContainsText" priority="9" operator="notContains" id="{9A552E01-4760-3448-8FD6-6F3234371C4D}">
            <xm:f>ISERROR(SEARCH("Value Missing",X39))</xm:f>
            <xm:f>"Value Missing"</xm:f>
            <x14:dxf>
              <font>
                <color theme="1"/>
              </font>
              <fill>
                <patternFill>
                  <bgColor rgb="FFEFFDE3"/>
                </patternFill>
              </fill>
            </x14:dxf>
          </x14:cfRule>
          <x14:cfRule type="containsText" priority="8" operator="containsText" id="{67C5E1C7-827A-2247-9770-41F1AEFE3765}">
            <xm:f>NOT(ISERROR(SEARCH("Not Required",X39)))</xm:f>
            <xm:f>"Not Required"</xm:f>
            <x14:dxf>
              <font>
                <color theme="0"/>
              </font>
              <fill>
                <patternFill>
                  <bgColor rgb="FF506069"/>
                </patternFill>
              </fill>
            </x14:dxf>
          </x14:cfRule>
          <x14:cfRule type="containsText" priority="7" operator="containsText" id="{7CCE0CF7-BAB2-0344-98D6-21BF6CFCEEEF}">
            <xm:f>NOT(ISERROR(SEARCH("Value Missing",X39)))</xm:f>
            <xm:f>"Value Missing"</xm:f>
            <x14:dxf>
              <font>
                <color theme="1"/>
              </font>
              <fill>
                <patternFill>
                  <bgColor rgb="FFFFBD29"/>
                </patternFill>
              </fill>
            </x14:dxf>
          </x14:cfRule>
          <xm:sqref>X39:X47</xm:sqref>
        </x14:conditionalFormatting>
        <x14:conditionalFormatting xmlns:xm="http://schemas.microsoft.com/office/excel/2006/main">
          <x14:cfRule type="notContainsText" priority="164" operator="notContains" id="{AA6925D0-91F1-8449-983B-B5EE70C7F44D}">
            <xm:f>ISERROR(SEARCH("Value Missing",X53))</xm:f>
            <xm:f>"Value Missing"</xm:f>
            <x14:dxf>
              <font>
                <color theme="1"/>
              </font>
              <fill>
                <patternFill>
                  <bgColor rgb="FFEFFDE3"/>
                </patternFill>
              </fill>
            </x14:dxf>
          </x14:cfRule>
          <x14:cfRule type="containsText" priority="163" operator="containsText" id="{A847CD3B-37FA-4146-AAE3-6DA7692BE6D6}">
            <xm:f>NOT(ISERROR(SEARCH("Not Required",X53)))</xm:f>
            <xm:f>"Not Required"</xm:f>
            <x14:dxf>
              <font>
                <color theme="0"/>
              </font>
              <fill>
                <patternFill>
                  <bgColor rgb="FF506069"/>
                </patternFill>
              </fill>
            </x14:dxf>
          </x14:cfRule>
          <x14:cfRule type="containsText" priority="162" operator="containsText" id="{A798AA75-439F-4A46-AB83-7E4358A88D66}">
            <xm:f>NOT(ISERROR(SEARCH("Value Missing",X53)))</xm:f>
            <xm:f>"Value Missing"</xm:f>
            <x14:dxf>
              <font>
                <color theme="1"/>
              </font>
              <fill>
                <patternFill>
                  <bgColor rgb="FFFFBD29"/>
                </patternFill>
              </fill>
            </x14:dxf>
          </x14:cfRule>
          <xm:sqref>X53:X56</xm:sqref>
        </x14:conditionalFormatting>
        <x14:conditionalFormatting xmlns:xm="http://schemas.microsoft.com/office/excel/2006/main">
          <x14:cfRule type="containsText" priority="136" operator="containsText" id="{6542A7B2-8630-7B40-8349-79CED9462BD1}">
            <xm:f>NOT(ISERROR(SEARCH("Not Required",X56)))</xm:f>
            <xm:f>"Not Required"</xm:f>
            <x14:dxf>
              <font>
                <color theme="0"/>
              </font>
              <fill>
                <patternFill>
                  <bgColor rgb="FF506069"/>
                </patternFill>
              </fill>
            </x14:dxf>
          </x14:cfRule>
          <x14:cfRule type="containsText" priority="135" operator="containsText" id="{D3FD3035-29E9-C741-95F9-7E63301A762E}">
            <xm:f>NOT(ISERROR(SEARCH("Value Missing",X56)))</xm:f>
            <xm:f>"Value Missing"</xm:f>
            <x14:dxf>
              <font>
                <color theme="1"/>
              </font>
              <fill>
                <patternFill>
                  <bgColor rgb="FFFFBD29"/>
                </patternFill>
              </fill>
            </x14:dxf>
          </x14:cfRule>
          <x14:cfRule type="notContainsText" priority="137" operator="notContains" id="{ED8BDAB0-934B-E348-A096-D1CFEC970647}">
            <xm:f>ISERROR(SEARCH("Value Missing",X56))</xm:f>
            <xm:f>"Value Missing"</xm:f>
            <x14:dxf>
              <font>
                <color theme="1"/>
              </font>
              <fill>
                <patternFill>
                  <bgColor rgb="FFEFFDE3"/>
                </patternFill>
              </fill>
            </x14:dxf>
          </x14:cfRule>
          <xm:sqref>X56</xm:sqref>
        </x14:conditionalFormatting>
        <x14:conditionalFormatting xmlns:xm="http://schemas.microsoft.com/office/excel/2006/main">
          <x14:cfRule type="notContainsText" priority="301" operator="notContains" id="{06767BDF-1E13-B344-B0F5-AC2964A2B7BB}">
            <xm:f>ISERROR(SEARCH("Value Missing",F8))</xm:f>
            <xm:f>"Value Missing"</xm:f>
            <x14:dxf>
              <font>
                <color theme="1"/>
              </font>
              <fill>
                <patternFill>
                  <bgColor rgb="FFEFFDE3"/>
                </patternFill>
              </fill>
            </x14:dxf>
          </x14:cfRule>
          <x14:cfRule type="containsText" priority="299" operator="containsText" id="{8BE8EA82-7A72-C646-8E99-CF9839909AD6}">
            <xm:f>NOT(ISERROR(SEARCH("Not Required",F8)))</xm:f>
            <xm:f>"Not Required"</xm:f>
            <x14:dxf>
              <font>
                <color theme="0"/>
              </font>
              <fill>
                <patternFill>
                  <bgColor rgb="FF506069"/>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containsText" priority="4" operator="containsText" id="{C3226025-96A7-174E-B18F-7DE4FD2C4806}">
            <xm:f>NOT(ISERROR(SEARCH("Value Missing",AA39)))</xm:f>
            <xm:f>"Value Missing"</xm:f>
            <x14:dxf>
              <font>
                <color theme="1"/>
              </font>
              <fill>
                <patternFill>
                  <bgColor rgb="FFFFBD29"/>
                </patternFill>
              </fill>
            </x14:dxf>
          </x14:cfRule>
          <x14:cfRule type="containsText" priority="5" operator="containsText" id="{2F7B9298-6F2D-CF46-B59A-DE3D41A821A2}">
            <xm:f>NOT(ISERROR(SEARCH("Not Required",AA39)))</xm:f>
            <xm:f>"Not Required"</xm:f>
            <x14:dxf>
              <font>
                <color theme="0"/>
              </font>
              <fill>
                <patternFill>
                  <bgColor rgb="FF506069"/>
                </patternFill>
              </fill>
            </x14:dxf>
          </x14:cfRule>
          <x14:cfRule type="notContainsText" priority="6" operator="notContains" id="{A3EC2F0D-66A9-364C-97A9-ABB9D8CE96B4}">
            <xm:f>ISERROR(SEARCH("Value Missing",AA39))</xm:f>
            <xm:f>"Value Missing"</xm:f>
            <x14:dxf>
              <font>
                <color theme="1"/>
              </font>
              <fill>
                <patternFill>
                  <bgColor rgb="FFEFFDE3"/>
                </patternFill>
              </fill>
            </x14:dxf>
          </x14:cfRule>
          <xm:sqref>AA39:AA47</xm:sqref>
        </x14:conditionalFormatting>
        <x14:conditionalFormatting xmlns:xm="http://schemas.microsoft.com/office/excel/2006/main">
          <x14:cfRule type="containsText" priority="156" operator="containsText" id="{B46CA4F9-3C6E-9142-9DCB-973E2E3893CE}">
            <xm:f>NOT(ISERROR(SEARCH("Value Missing",AA53)))</xm:f>
            <xm:f>"Value Missing"</xm:f>
            <x14:dxf>
              <font>
                <color theme="1"/>
              </font>
              <fill>
                <patternFill>
                  <bgColor rgb="FFFFBD29"/>
                </patternFill>
              </fill>
            </x14:dxf>
          </x14:cfRule>
          <x14:cfRule type="containsText" priority="157" operator="containsText" id="{3073A76A-73E6-2645-98F0-C7A0F9003A9B}">
            <xm:f>NOT(ISERROR(SEARCH("Not Required",AA53)))</xm:f>
            <xm:f>"Not Required"</xm:f>
            <x14:dxf>
              <font>
                <color theme="0"/>
              </font>
              <fill>
                <patternFill>
                  <bgColor rgb="FF506069"/>
                </patternFill>
              </fill>
            </x14:dxf>
          </x14:cfRule>
          <x14:cfRule type="notContainsText" priority="158" operator="notContains" id="{A9F6D0D6-42C0-8C44-B9E0-4DE4789AED56}">
            <xm:f>ISERROR(SEARCH("Value Missing",AA53))</xm:f>
            <xm:f>"Value Missing"</xm:f>
            <x14:dxf>
              <font>
                <color theme="1"/>
              </font>
              <fill>
                <patternFill>
                  <bgColor rgb="FFEFFDE3"/>
                </patternFill>
              </fill>
            </x14:dxf>
          </x14:cfRule>
          <xm:sqref>AA53:AA56</xm:sqref>
        </x14:conditionalFormatting>
        <x14:conditionalFormatting xmlns:xm="http://schemas.microsoft.com/office/excel/2006/main">
          <x14:cfRule type="notContainsText" priority="134" operator="notContains" id="{7EF64B70-5424-4E41-B8D8-C26C3A9F41BE}">
            <xm:f>ISERROR(SEARCH("Value Missing",AA56))</xm:f>
            <xm:f>"Value Missing"</xm:f>
            <x14:dxf>
              <font>
                <color theme="1"/>
              </font>
              <fill>
                <patternFill>
                  <bgColor rgb="FFEFFDE3"/>
                </patternFill>
              </fill>
            </x14:dxf>
          </x14:cfRule>
          <x14:cfRule type="containsText" priority="132" operator="containsText" id="{B01DAB95-54B5-2A48-9E42-698AE8EAB2B5}">
            <xm:f>NOT(ISERROR(SEARCH("Value Missing",AA56)))</xm:f>
            <xm:f>"Value Missing"</xm:f>
            <x14:dxf>
              <font>
                <color theme="1"/>
              </font>
              <fill>
                <patternFill>
                  <bgColor rgb="FFFFBD29"/>
                </patternFill>
              </fill>
            </x14:dxf>
          </x14:cfRule>
          <x14:cfRule type="containsText" priority="133" operator="containsText" id="{75F873D6-B9D9-3341-8652-F67C103EA278}">
            <xm:f>NOT(ISERROR(SEARCH("Not Required",AA56)))</xm:f>
            <xm:f>"Not Required"</xm:f>
            <x14:dxf>
              <font>
                <color theme="0"/>
              </font>
              <fill>
                <patternFill>
                  <bgColor rgb="FF506069"/>
                </patternFill>
              </fill>
            </x14:dxf>
          </x14:cfRule>
          <xm:sqref>AA56</xm:sqref>
        </x14:conditionalFormatting>
        <x14:conditionalFormatting xmlns:xm="http://schemas.microsoft.com/office/excel/2006/main">
          <x14:cfRule type="containsText" priority="1" operator="containsText" id="{2AC29FE5-D98A-2143-A3B7-B8F397FE8DD4}">
            <xm:f>NOT(ISERROR(SEARCH("Value Missing",AD39)))</xm:f>
            <xm:f>"Value Missing"</xm:f>
            <x14:dxf>
              <font>
                <color theme="1"/>
              </font>
              <fill>
                <patternFill>
                  <bgColor rgb="FFFFBD29"/>
                </patternFill>
              </fill>
            </x14:dxf>
          </x14:cfRule>
          <x14:cfRule type="containsText" priority="2" operator="containsText" id="{353681F6-113B-A245-BAE3-7878FC3CF345}">
            <xm:f>NOT(ISERROR(SEARCH("Not Required",AD39)))</xm:f>
            <xm:f>"Not Required"</xm:f>
            <x14:dxf>
              <font>
                <color theme="0"/>
              </font>
              <fill>
                <patternFill>
                  <bgColor rgb="FF506069"/>
                </patternFill>
              </fill>
            </x14:dxf>
          </x14:cfRule>
          <x14:cfRule type="notContainsText" priority="3" operator="notContains" id="{D515E712-91F5-FC40-B227-DD5FE835B161}">
            <xm:f>ISERROR(SEARCH("Value Missing",AD39))</xm:f>
            <xm:f>"Value Missing"</xm:f>
            <x14:dxf>
              <font>
                <color theme="1"/>
              </font>
              <fill>
                <patternFill>
                  <bgColor rgb="FFEFFDE3"/>
                </patternFill>
              </fill>
            </x14:dxf>
          </x14:cfRule>
          <xm:sqref>AD39:AD47</xm:sqref>
        </x14:conditionalFormatting>
        <x14:conditionalFormatting xmlns:xm="http://schemas.microsoft.com/office/excel/2006/main">
          <x14:cfRule type="containsText" priority="150" operator="containsText" id="{905D31CE-3E0A-864C-9F1B-D63656711729}">
            <xm:f>NOT(ISERROR(SEARCH("Value Missing",AD53)))</xm:f>
            <xm:f>"Value Missing"</xm:f>
            <x14:dxf>
              <font>
                <color theme="1"/>
              </font>
              <fill>
                <patternFill>
                  <bgColor rgb="FFFFBD29"/>
                </patternFill>
              </fill>
            </x14:dxf>
          </x14:cfRule>
          <x14:cfRule type="containsText" priority="151" operator="containsText" id="{3CAFDB47-63D3-8A49-874F-B7F36B085F1D}">
            <xm:f>NOT(ISERROR(SEARCH("Not Required",AD53)))</xm:f>
            <xm:f>"Not Required"</xm:f>
            <x14:dxf>
              <font>
                <color theme="0"/>
              </font>
              <fill>
                <patternFill>
                  <bgColor rgb="FF506069"/>
                </patternFill>
              </fill>
            </x14:dxf>
          </x14:cfRule>
          <x14:cfRule type="notContainsText" priority="152" operator="notContains" id="{6B88948E-0E39-3548-A8DD-6AF259181EC7}">
            <xm:f>ISERROR(SEARCH("Value Missing",AD53))</xm:f>
            <xm:f>"Value Missing"</xm:f>
            <x14:dxf>
              <font>
                <color theme="1"/>
              </font>
              <fill>
                <patternFill>
                  <bgColor rgb="FFEFFDE3"/>
                </patternFill>
              </fill>
            </x14:dxf>
          </x14:cfRule>
          <xm:sqref>AD53:AD56</xm:sqref>
        </x14:conditionalFormatting>
        <x14:conditionalFormatting xmlns:xm="http://schemas.microsoft.com/office/excel/2006/main">
          <x14:cfRule type="notContainsText" priority="131" operator="notContains" id="{7DFC07FF-0C18-784A-844A-D8E074C7A5AA}">
            <xm:f>ISERROR(SEARCH("Value Missing",AD56))</xm:f>
            <xm:f>"Value Missing"</xm:f>
            <x14:dxf>
              <font>
                <color theme="1"/>
              </font>
              <fill>
                <patternFill>
                  <bgColor rgb="FFEFFDE3"/>
                </patternFill>
              </fill>
            </x14:dxf>
          </x14:cfRule>
          <x14:cfRule type="containsText" priority="130" operator="containsText" id="{157796BB-CFBB-3B4D-A417-32FFDAA88E68}">
            <xm:f>NOT(ISERROR(SEARCH("Not Required",AD56)))</xm:f>
            <xm:f>"Not Required"</xm:f>
            <x14:dxf>
              <font>
                <color theme="0"/>
              </font>
              <fill>
                <patternFill>
                  <bgColor rgb="FF506069"/>
                </patternFill>
              </fill>
            </x14:dxf>
          </x14:cfRule>
          <x14:cfRule type="containsText" priority="129" operator="containsText" id="{CB44C791-709B-FE4B-BC8E-877B39027780}">
            <xm:f>NOT(ISERROR(SEARCH("Value Missing",AD56)))</xm:f>
            <xm:f>"Value Missing"</xm:f>
            <x14:dxf>
              <font>
                <color theme="1"/>
              </font>
              <fill>
                <patternFill>
                  <bgColor rgb="FFFFBD29"/>
                </patternFill>
              </fill>
            </x14:dxf>
          </x14:cfRule>
          <xm:sqref>AD56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zoomScaleNormal="100" workbookViewId="0">
      <pane ySplit="4" topLeftCell="A5" activePane="bottomLeft" state="frozen"/>
      <selection pane="bottomLeft" activeCell="I8" sqref="I8"/>
    </sheetView>
  </sheetViews>
  <sheetFormatPr defaultColWidth="11" defaultRowHeight="20.100000000000001" customHeight="1" x14ac:dyDescent="0.2"/>
  <cols>
    <col min="1" max="1" width="2.875" style="8" customWidth="1"/>
    <col min="2" max="2" width="57" style="8" customWidth="1"/>
    <col min="3" max="3" width="44.875" style="8" bestFit="1" customWidth="1"/>
    <col min="4" max="4" width="2.875" style="8" customWidth="1"/>
    <col min="5" max="5" width="73.625" style="8" bestFit="1" customWidth="1"/>
    <col min="6" max="6" width="45.375" style="8" bestFit="1" customWidth="1"/>
    <col min="7" max="7" width="2.875" style="8" customWidth="1"/>
    <col min="8" max="8" width="58.375" style="8" bestFit="1" customWidth="1"/>
    <col min="9" max="9" width="41.875" style="8" bestFit="1" customWidth="1"/>
    <col min="10" max="10" width="2.875" style="8" customWidth="1"/>
    <col min="11" max="11" width="57.125" style="8" bestFit="1" customWidth="1"/>
    <col min="12" max="12" width="73.875" style="8" bestFit="1" customWidth="1"/>
    <col min="13" max="13" width="2.875" style="8" customWidth="1"/>
    <col min="14" max="14" width="73.875" style="8" bestFit="1" customWidth="1"/>
    <col min="15" max="15" width="50.875" style="8" customWidth="1"/>
    <col min="16" max="16" width="2.875" style="8" customWidth="1"/>
    <col min="17" max="17" width="71.875" style="8" bestFit="1" customWidth="1"/>
    <col min="18" max="18" width="57.625" style="8" bestFit="1" customWidth="1"/>
    <col min="19" max="19" width="2.875" style="8" customWidth="1"/>
    <col min="20" max="20" width="85.375" style="8" bestFit="1" customWidth="1"/>
    <col min="21" max="21" width="72.875" style="8" bestFit="1" customWidth="1"/>
    <col min="22" max="22" width="2.875" style="8" customWidth="1"/>
    <col min="23" max="23" width="69" style="8" bestFit="1" customWidth="1"/>
    <col min="24" max="24" width="59.375" style="8" bestFit="1" customWidth="1"/>
    <col min="25" max="25" width="2.875" style="8" customWidth="1"/>
    <col min="26" max="26" width="55.875" style="8" bestFit="1" customWidth="1"/>
    <col min="27" max="27" width="49.625" style="8" bestFit="1" customWidth="1"/>
    <col min="28" max="28" width="2.875" style="8" customWidth="1"/>
    <col min="29" max="29" width="49.625" style="8" bestFit="1" customWidth="1"/>
    <col min="30" max="31" width="19.125" style="8" bestFit="1" customWidth="1"/>
    <col min="32" max="32" width="2.875" style="8" customWidth="1"/>
    <col min="33" max="33" width="45.875" style="8" bestFit="1" customWidth="1"/>
    <col min="34" max="34" width="49.625" style="8" bestFit="1" customWidth="1"/>
    <col min="35" max="36" width="20.625" style="8" bestFit="1" customWidth="1"/>
    <col min="37" max="41" width="11" style="8" customWidth="1"/>
    <col min="42" max="16384" width="11" style="8"/>
  </cols>
  <sheetData>
    <row r="1" spans="1:31" s="2" customFormat="1" ht="15.95" customHeight="1" x14ac:dyDescent="0.2">
      <c r="A1" s="1"/>
      <c r="B1" s="1"/>
      <c r="C1" s="1"/>
      <c r="D1" s="1"/>
      <c r="E1" s="1"/>
      <c r="F1" s="1"/>
      <c r="G1" s="1"/>
      <c r="H1" s="8"/>
      <c r="I1" s="8"/>
      <c r="J1" s="1"/>
      <c r="K1" s="1"/>
      <c r="L1" s="1"/>
      <c r="M1" s="1"/>
      <c r="N1" s="1"/>
      <c r="O1" s="1"/>
      <c r="P1" s="1"/>
    </row>
    <row r="2" spans="1:31" s="2" customFormat="1" ht="54" customHeight="1" x14ac:dyDescent="0.2">
      <c r="H2" s="8"/>
      <c r="I2" s="8"/>
      <c r="Q2" s="591"/>
      <c r="R2" s="592"/>
      <c r="S2" s="388"/>
      <c r="T2" s="388"/>
      <c r="U2" s="388"/>
      <c r="V2" s="586"/>
      <c r="W2" s="586"/>
      <c r="X2" s="586"/>
      <c r="Y2" s="586"/>
      <c r="Z2" s="587"/>
    </row>
    <row r="3" spans="1:31" s="2" customFormat="1" ht="20.100000000000001" customHeight="1" x14ac:dyDescent="0.2">
      <c r="H3" s="8"/>
      <c r="I3" s="8"/>
      <c r="Q3" s="588" t="s">
        <v>1640</v>
      </c>
      <c r="R3" s="588"/>
      <c r="S3" s="588"/>
      <c r="T3" s="588"/>
      <c r="U3" s="588"/>
      <c r="V3" s="588"/>
      <c r="W3" s="588"/>
      <c r="X3" s="589"/>
      <c r="Y3" s="589"/>
      <c r="Z3" s="589"/>
    </row>
    <row r="4" spans="1:31" s="2" customFormat="1" ht="15" x14ac:dyDescent="0.2">
      <c r="H4" s="8"/>
      <c r="I4" s="8"/>
      <c r="V4" s="10"/>
      <c r="W4" s="3"/>
    </row>
    <row r="5" spans="1:31" s="2" customFormat="1" ht="15" x14ac:dyDescent="0.2">
      <c r="H5" s="8"/>
      <c r="I5" s="8"/>
      <c r="V5" s="10"/>
      <c r="W5" s="3"/>
    </row>
    <row r="6" spans="1:31" s="2" customFormat="1" ht="20.100000000000001" customHeight="1" x14ac:dyDescent="0.25">
      <c r="B6" s="391" t="s">
        <v>1972</v>
      </c>
      <c r="C6" s="391"/>
      <c r="E6" s="183" t="s">
        <v>1973</v>
      </c>
      <c r="F6" s="183"/>
      <c r="H6" s="391" t="s">
        <v>1974</v>
      </c>
      <c r="I6" s="391"/>
      <c r="K6" s="590" t="s">
        <v>1975</v>
      </c>
      <c r="L6" s="590"/>
      <c r="N6" s="387" t="s">
        <v>1976</v>
      </c>
      <c r="O6" s="387"/>
      <c r="Q6" s="580" t="s">
        <v>1977</v>
      </c>
      <c r="R6" s="581"/>
      <c r="T6" s="575" t="s">
        <v>1978</v>
      </c>
      <c r="U6" s="577"/>
      <c r="V6" s="10"/>
      <c r="W6" s="590" t="s">
        <v>1979</v>
      </c>
      <c r="X6" s="590"/>
      <c r="Z6" s="384" t="s">
        <v>1980</v>
      </c>
      <c r="AA6" s="389"/>
      <c r="AC6" s="575" t="s">
        <v>1981</v>
      </c>
      <c r="AD6" s="576"/>
      <c r="AE6" s="577"/>
    </row>
    <row r="7" spans="1:31" s="2" customFormat="1" ht="20.100000000000001" customHeight="1" x14ac:dyDescent="0.25">
      <c r="B7" s="4" t="s">
        <v>1982</v>
      </c>
      <c r="C7" s="337" t="str">
        <f>IF(ISBLANK(mgmt_vcf_installer_location_chosen),"Value Missing",mgmt_vcf_installer_location_chosen)</f>
        <v>Deployed outside management domain</v>
      </c>
      <c r="E7" s="4" t="s">
        <v>1983</v>
      </c>
      <c r="F7" s="337">
        <v>1</v>
      </c>
      <c r="H7" s="336" t="s">
        <v>259</v>
      </c>
      <c r="I7" s="184" t="s">
        <v>277</v>
      </c>
      <c r="K7" s="166" t="s">
        <v>259</v>
      </c>
      <c r="L7" s="167" t="s">
        <v>277</v>
      </c>
      <c r="N7" s="166" t="s">
        <v>259</v>
      </c>
      <c r="O7" s="167" t="s">
        <v>277</v>
      </c>
      <c r="Q7" s="184" t="s">
        <v>259</v>
      </c>
      <c r="R7" s="184" t="s">
        <v>277</v>
      </c>
      <c r="T7" s="166" t="s">
        <v>259</v>
      </c>
      <c r="U7" s="167" t="s">
        <v>277</v>
      </c>
      <c r="W7" s="166" t="s">
        <v>259</v>
      </c>
      <c r="X7" s="167" t="s">
        <v>277</v>
      </c>
      <c r="Z7" s="166" t="s">
        <v>259</v>
      </c>
      <c r="AA7" s="167" t="s">
        <v>277</v>
      </c>
      <c r="AC7" s="166" t="s">
        <v>259</v>
      </c>
      <c r="AD7" s="167" t="s">
        <v>1652</v>
      </c>
      <c r="AE7" s="167" t="s">
        <v>1943</v>
      </c>
    </row>
    <row r="8" spans="1:31" s="2" customFormat="1" ht="20.100000000000001" customHeight="1" x14ac:dyDescent="0.25">
      <c r="B8" s="4" t="s">
        <v>1984</v>
      </c>
      <c r="C8" s="337" t="str">
        <f>CONCATENATE(this_instance,"-ins01.",sample_child_dns_zone)</f>
        <v>sfo-ins01.sfo.rainpole.io</v>
      </c>
      <c r="E8" s="4" t="s">
        <v>1985</v>
      </c>
      <c r="F8" s="337" t="str">
        <f>wld_compute_hosts_per_rack_chosen</f>
        <v>Exclude</v>
      </c>
      <c r="H8" s="4" t="s">
        <v>1986</v>
      </c>
      <c r="I8" s="337" t="s">
        <v>1990</v>
      </c>
      <c r="K8" s="4" t="s">
        <v>1987</v>
      </c>
      <c r="L8" s="337" t="str">
        <f>IF(ISBLANK(input_ca_administrator_username),"Value Missing",input_ca_administrator_username)</f>
        <v>Value Missing</v>
      </c>
      <c r="N8" s="4" t="s">
        <v>1988</v>
      </c>
      <c r="O8" s="337" t="str">
        <f>IF(ISBLANK(input_mgmt_sddc_domain),"Value Missing",input_mgmt_sddc_domain)</f>
        <v>vcf-lab-mgmt01</v>
      </c>
      <c r="Q8" s="17" t="s">
        <v>1989</v>
      </c>
      <c r="R8" s="337" t="str">
        <f>IF(ISBLANK(input_xreg_vrslcm_ip),"Value Missing",input_xreg_vrslcm_ip)</f>
        <v>10.100.50.100</v>
      </c>
      <c r="T8" s="361" t="s">
        <v>1990</v>
      </c>
      <c r="U8" s="337" t="str">
        <f>IF(mgmt_consolidated_result="Included",mgmt_sddc_domain,wld_sddc_domain)</f>
        <v>Value Missing</v>
      </c>
      <c r="W8" s="4" t="s">
        <v>1991</v>
      </c>
      <c r="X8" s="337"/>
      <c r="Z8" s="4" t="s">
        <v>1992</v>
      </c>
      <c r="AA8" s="337"/>
      <c r="AC8" s="4" t="s">
        <v>1993</v>
      </c>
      <c r="AD8" s="337">
        <f>'Value Reference Tables - MR'!F9</f>
        <v>251</v>
      </c>
      <c r="AE8" s="337" t="str">
        <f>'Value Reference Tables - MR'!F279</f>
        <v>Value Missing</v>
      </c>
    </row>
    <row r="9" spans="1:31" s="2" customFormat="1" ht="20.100000000000001" customHeight="1" x14ac:dyDescent="0.25">
      <c r="B9" s="4" t="s">
        <v>1994</v>
      </c>
      <c r="C9" s="337" t="s">
        <v>77</v>
      </c>
      <c r="E9" s="4" t="s">
        <v>1995</v>
      </c>
      <c r="F9" s="337">
        <f>IF(vcf_granular_option_chosen="Create Cluster",PRODUCT(cluster_compute_hosts_per_rack_chosen,wld_multi_rack_count_chosen),PRODUCT(wld_compute_hosts_per_rack,wld_multi_rack_count_chosen))</f>
        <v>0</v>
      </c>
      <c r="H9" s="4" t="s">
        <v>1996</v>
      </c>
      <c r="I9" s="337" t="str">
        <f>IF(ISBLANK(input_cluster_domain_name),"Value Missing",input_cluster_domain_name)</f>
        <v>Value Missing</v>
      </c>
      <c r="K9" s="4" t="s">
        <v>1997</v>
      </c>
      <c r="L9" s="337"/>
      <c r="N9" s="4" t="s">
        <v>1998</v>
      </c>
      <c r="O9" s="337"/>
      <c r="T9" s="361" t="s">
        <v>1999</v>
      </c>
      <c r="U9" s="337" t="str">
        <f>IF(mgmt_consolidated_result="Included",mgmt_vc_fqdn,wld_vc_fqdn)</f>
        <v>Value Missing</v>
      </c>
      <c r="W9" s="4" t="s">
        <v>2000</v>
      </c>
      <c r="X9" s="337"/>
      <c r="Z9" s="4" t="s">
        <v>2001</v>
      </c>
      <c r="AA9" s="337"/>
      <c r="AC9" s="4" t="s">
        <v>2002</v>
      </c>
      <c r="AD9" s="337"/>
      <c r="AE9" s="337"/>
    </row>
    <row r="10" spans="1:31" s="2" customFormat="1" ht="20.100000000000001" customHeight="1" x14ac:dyDescent="0.25">
      <c r="B10" s="337" t="s">
        <v>2003</v>
      </c>
      <c r="C10" s="337" t="str">
        <f>CONCATENATE(this_instance,".rainpole.io")</f>
        <v>sfo.rainpole.io</v>
      </c>
      <c r="E10" s="112" t="str">
        <f>IF(OR(wld_domain_chosen="Deploy Workload Domain with a Multi-Rack Layer 3 Cluster",cluster_chosen="Deploy a Multi-Rack Layer 3 Cluster",),"Include","Exclude")</f>
        <v>Exclude</v>
      </c>
      <c r="F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1194</v>
      </c>
      <c r="I10" s="337" t="str">
        <f>cluster_principal_storage_chosen</f>
        <v>vSAN-ESA</v>
      </c>
      <c r="N10" s="4" t="s">
        <v>2004</v>
      </c>
      <c r="O10" s="337" t="str">
        <f>IF(ISBLANK('Configure Management Domain'!D50),"Value Missing",'Configure Management Domain'!D50)</f>
        <v>Value Missing</v>
      </c>
      <c r="Q10" s="580" t="s">
        <v>2005</v>
      </c>
      <c r="R10" s="581"/>
      <c r="T10" s="361" t="s">
        <v>2006</v>
      </c>
      <c r="U10" s="337" t="str">
        <f>IF(mgmt_consolidated_result="Included",mgmt_datacenter,wld_datacenter)</f>
        <v>Value Missing</v>
      </c>
      <c r="X10" s="3"/>
      <c r="Z10" s="4" t="s">
        <v>2007</v>
      </c>
      <c r="AA10" s="337"/>
      <c r="AC10" s="4" t="s">
        <v>2008</v>
      </c>
      <c r="AD10" s="337"/>
      <c r="AE10" s="337"/>
    </row>
    <row r="11" spans="1:31" s="2" customFormat="1" ht="20.100000000000001" customHeight="1" x14ac:dyDescent="0.25">
      <c r="B11" s="2" t="s">
        <v>2009</v>
      </c>
      <c r="C11" s="2" t="str">
        <f t="array" aca="1" ref="C11" ca="1">INDIRECT("'Version History'!B8")</f>
        <v>v1.9.0.007</v>
      </c>
      <c r="H11" s="528" t="s">
        <v>397</v>
      </c>
      <c r="I11" s="530"/>
      <c r="K11" s="384" t="s">
        <v>2010</v>
      </c>
      <c r="L11" s="389"/>
      <c r="N11" s="4" t="s">
        <v>350</v>
      </c>
      <c r="O11" s="337" t="str">
        <f>'Management Domain Sizing'!D32</f>
        <v>Medium</v>
      </c>
      <c r="Q11" s="184" t="s">
        <v>259</v>
      </c>
      <c r="R11" s="184" t="s">
        <v>277</v>
      </c>
      <c r="T11" s="361" t="s">
        <v>2011</v>
      </c>
      <c r="U11" s="337" t="str">
        <f>IF(mgmt_consolidated_result="Included",mgmt_cl01_cluster,wld_cl01_cluster)</f>
        <v>Value Missing</v>
      </c>
      <c r="W11" s="575" t="s">
        <v>2012</v>
      </c>
      <c r="X11" s="576"/>
      <c r="Z11" s="4" t="s">
        <v>2013</v>
      </c>
      <c r="AA11" s="337"/>
    </row>
    <row r="12" spans="1:31" s="2" customFormat="1" ht="20.100000000000001" customHeight="1" x14ac:dyDescent="0.25">
      <c r="B12" s="391" t="s">
        <v>2014</v>
      </c>
      <c r="C12" s="391"/>
      <c r="E12" s="391" t="s">
        <v>2015</v>
      </c>
      <c r="F12" s="391"/>
      <c r="H12" s="4" t="s">
        <v>398</v>
      </c>
      <c r="I12" s="337" t="str">
        <f>IF(ISBLANK(input_cluster_az1_mgmt_vlan),"Value Missing",input_cluster_az1_mgmt_vlan)</f>
        <v>Value Missing</v>
      </c>
      <c r="K12" s="166" t="s">
        <v>259</v>
      </c>
      <c r="L12" s="167" t="s">
        <v>277</v>
      </c>
      <c r="N12" s="4" t="s">
        <v>2016</v>
      </c>
      <c r="O12" s="337" t="str">
        <f>'Management Domain Sizing'!F32</f>
        <v>Default</v>
      </c>
      <c r="Q12" s="17" t="s">
        <v>1989</v>
      </c>
      <c r="R12" s="337" t="str">
        <f>IF(xreg_vrslcm_fqdn="Value Missing",xreg_vrslcm_fqdn,LEFT(xreg_vrslcm_fqdn,FIND(".",xreg_vrslcm_fqdn)-1))</f>
        <v>labvcffleetmgmt01v</v>
      </c>
      <c r="T12" s="361" t="s">
        <v>2017</v>
      </c>
      <c r="U12" s="337" t="str">
        <f>IF(mgmt_consolidated_result="Included",mgmt_cl01_vds01_name,wld_cl01_vds01_name)</f>
        <v>Value Missing</v>
      </c>
      <c r="W12" s="166" t="s">
        <v>259</v>
      </c>
      <c r="X12" s="167" t="s">
        <v>277</v>
      </c>
      <c r="Z12" s="4" t="s">
        <v>2018</v>
      </c>
      <c r="AA12" s="337"/>
      <c r="AC12" s="384" t="s">
        <v>2019</v>
      </c>
      <c r="AD12" s="389"/>
      <c r="AE12" s="389"/>
    </row>
    <row r="13" spans="1:31" s="2" customFormat="1" ht="20.100000000000001" customHeight="1" x14ac:dyDescent="0.25">
      <c r="B13" s="336" t="s">
        <v>259</v>
      </c>
      <c r="C13" s="184" t="s">
        <v>277</v>
      </c>
      <c r="E13" s="336" t="s">
        <v>259</v>
      </c>
      <c r="F13" s="184" t="s">
        <v>277</v>
      </c>
      <c r="H13" s="4" t="s">
        <v>399</v>
      </c>
      <c r="I13" s="337" t="str">
        <f>IF(ISBLANK(input_cluster_az1_mgmt_gateway_ip),"Value Missing",input_cluster_az1_mgmt_gateway_ip)</f>
        <v>Value Missing</v>
      </c>
      <c r="K13" s="4" t="s">
        <v>2020</v>
      </c>
      <c r="L13" s="337" t="str">
        <f>IF(ISBLANK(input_esxi_root_password),"Value Missing",input_esxi_root_password)</f>
        <v>VMware123!VMware123!</v>
      </c>
      <c r="N13" s="4" t="s">
        <v>2021</v>
      </c>
      <c r="O13" s="337" t="str">
        <f>IF(ISBLANK(mgmt_ceip_status_chosen),"Value Missing",mgmt_ceip_status_chosen)</f>
        <v>Selected</v>
      </c>
      <c r="T13" s="4" t="s">
        <v>2022</v>
      </c>
      <c r="U13" s="337" t="str">
        <f>IF(mgmt_consolidated_result="Included",mgmt_cl01_vsan_datastore,wld_cl01_vsan_datastore)</f>
        <v>Value Missing</v>
      </c>
      <c r="W13" s="4" t="s">
        <v>2023</v>
      </c>
      <c r="X13" s="337"/>
      <c r="Z13" s="4" t="s">
        <v>2024</v>
      </c>
      <c r="AA13" s="337"/>
      <c r="AC13" s="166" t="s">
        <v>259</v>
      </c>
      <c r="AD13" s="167" t="s">
        <v>1652</v>
      </c>
      <c r="AE13" s="167" t="s">
        <v>1943</v>
      </c>
    </row>
    <row r="14" spans="1:31" s="2" customFormat="1" ht="20.100000000000001" customHeight="1" x14ac:dyDescent="0.25">
      <c r="B14" s="4" t="s">
        <v>2025</v>
      </c>
      <c r="C14" s="337" t="str">
        <f>IF(ISBLANK(input_vcf_installer_ip),"Value Missing",input_vcf_installer_ip)</f>
        <v>Value Missing</v>
      </c>
      <c r="E14" s="4" t="s">
        <v>2026</v>
      </c>
      <c r="F14" s="337" t="str">
        <f>IF(ISBLANK(input_wld_vc_ip),"Value Missing",input_wld_vc_ip)</f>
        <v>Value Missing</v>
      </c>
      <c r="H14" s="4" t="s">
        <v>400</v>
      </c>
      <c r="I14" s="337" t="str">
        <f>IF(ISBLANK(input_cluster_az1_mgmt_cidr),"Value Missing",input_cluster_az1_mgmt_cidr)</f>
        <v>Value Missing</v>
      </c>
      <c r="K14" s="17" t="s">
        <v>2027</v>
      </c>
      <c r="L14" s="337" t="str">
        <f>IF(ISBLANK(input_administrator_vsphere_local_password),"Value Missing",input_administrator_vsphere_local_password)</f>
        <v>VMware123!VMware123!</v>
      </c>
      <c r="N14" s="4" t="s">
        <v>2028</v>
      </c>
      <c r="O14" s="337" t="str">
        <f>'Management Domain Sizing'!I32</f>
        <v>Medium</v>
      </c>
      <c r="Q14" s="580" t="s">
        <v>2029</v>
      </c>
      <c r="R14" s="581"/>
      <c r="T14" s="361" t="s">
        <v>2030</v>
      </c>
      <c r="U14" s="337" t="str">
        <f>IF(mgmt_consolidated_result="Included",mgmt_nsxt_vip_fqdn,wld_nsxt_vip_fqdn)</f>
        <v>Value Missing</v>
      </c>
      <c r="W14" s="4" t="s">
        <v>2031</v>
      </c>
      <c r="X14" s="337"/>
      <c r="Z14" s="4" t="s">
        <v>2032</v>
      </c>
      <c r="AA14" s="337"/>
    </row>
    <row r="15" spans="1:31" s="2" customFormat="1" ht="20.100000000000001" customHeight="1" x14ac:dyDescent="0.25">
      <c r="B15" s="4" t="s">
        <v>147</v>
      </c>
      <c r="C15" s="337" t="str">
        <f>IF(ISBLANK('Deploy Management Domain'!L322),"Value Missing",'Deploy Management Domain'!L322)</f>
        <v>10.100.50.115</v>
      </c>
      <c r="E15" s="4" t="s">
        <v>2033</v>
      </c>
      <c r="F15" s="337" t="str">
        <f>IF(ISBLANK('Deploy Workload Domain'!D182),"Value Missing",'Deploy Workload Domain'!D182)</f>
        <v>Value Missing</v>
      </c>
      <c r="H15" s="4" t="s">
        <v>401</v>
      </c>
      <c r="I15" s="337" t="str">
        <f>IF(ISBLANK(input_cluster_az1_mgmt_mtu),"Value Missing",input_cluster_az1_mgmt_mtu)</f>
        <v>Value Missing</v>
      </c>
      <c r="K15" s="17" t="s">
        <v>2034</v>
      </c>
      <c r="L15" s="337" t="str">
        <f>IF(ISBLANK(input_vcenter_root_password),"Value Missing",input_vcenter_root_password)</f>
        <v>VMware123!VMware123!</v>
      </c>
      <c r="N15" s="4" t="s">
        <v>2035</v>
      </c>
      <c r="O15" s="337" t="str">
        <f>IF(ISBLANK('Configure Management Domain'!D95),"Value Missing",'Configure Management Domain'!D95)</f>
        <v>Value Missing</v>
      </c>
      <c r="Q15" s="184" t="s">
        <v>259</v>
      </c>
      <c r="R15" s="184" t="s">
        <v>277</v>
      </c>
      <c r="T15" s="4" t="s">
        <v>2036</v>
      </c>
      <c r="U15" s="337"/>
      <c r="V15" s="3"/>
      <c r="Z15" s="4" t="s">
        <v>2037</v>
      </c>
      <c r="AA15" s="337"/>
      <c r="AC15" s="384" t="s">
        <v>2038</v>
      </c>
      <c r="AD15" s="389"/>
      <c r="AE15" s="389"/>
    </row>
    <row r="16" spans="1:31" s="2" customFormat="1" ht="20.100000000000001" customHeight="1" x14ac:dyDescent="0.25">
      <c r="B16" s="4" t="s">
        <v>2026</v>
      </c>
      <c r="C16" s="337" t="str">
        <f>IF(ISBLANK('Deploy Management Domain'!L323),"Value Missing",'Deploy Management Domain'!L323)</f>
        <v>10.100.50.116</v>
      </c>
      <c r="E16" s="4" t="s">
        <v>2039</v>
      </c>
      <c r="F16" s="337" t="str">
        <f>IF(ISBLANK('Deploy Workload Domain'!D176),"Value Missing",'Deploy Workload Domain'!D176)</f>
        <v>Value Missing</v>
      </c>
      <c r="H16" s="528" t="s">
        <v>2040</v>
      </c>
      <c r="I16" s="530"/>
      <c r="K16" s="17" t="s">
        <v>2041</v>
      </c>
      <c r="L16" s="337" t="str">
        <f>IF(ISBLANK(input_nsxt_lm_root_password),"Value Missing",input_nsxt_lm_root_password)</f>
        <v>VMware123!VMware123!</v>
      </c>
      <c r="N16" s="4" t="s">
        <v>2042</v>
      </c>
      <c r="O16" s="337" t="str">
        <f>'Management Domain Sizing'!L32</f>
        <v>Excluded</v>
      </c>
      <c r="Q16" s="17" t="s">
        <v>1989</v>
      </c>
      <c r="R16" s="337" t="str">
        <f>IF(ISBLANK(input_xreg_vrslcm_fqdn),"Value Missing",input_xreg_vrslcm_fqdn)</f>
        <v>labvcffleetmgmt01v.vcf.lab.local</v>
      </c>
      <c r="T16" s="4" t="s">
        <v>2043</v>
      </c>
      <c r="U16" s="337" t="str">
        <f>IF(mgmt_consolidated_result="Included",mgmt_tier0_name,wld_tier0_name)</f>
        <v>Value Missing</v>
      </c>
      <c r="V16" s="3"/>
      <c r="W16" s="384" t="s">
        <v>2044</v>
      </c>
      <c r="X16" s="389"/>
      <c r="Z16" s="4" t="s">
        <v>2045</v>
      </c>
      <c r="AA16" s="337"/>
      <c r="AC16" s="166" t="s">
        <v>259</v>
      </c>
      <c r="AD16" s="167" t="s">
        <v>1652</v>
      </c>
      <c r="AE16" s="167" t="s">
        <v>1943</v>
      </c>
    </row>
    <row r="17" spans="2:31" s="2" customFormat="1" ht="20.100000000000001" customHeight="1" x14ac:dyDescent="0.25">
      <c r="B17" s="4" t="s">
        <v>2033</v>
      </c>
      <c r="C17" s="337" t="str">
        <f>IF(ISBLANK('Deploy Management Domain'!L325),"Value Missing",'Deploy Management Domain'!L325)</f>
        <v>10.100.50.120</v>
      </c>
      <c r="E17" s="4" t="s">
        <v>2046</v>
      </c>
      <c r="F17" s="337" t="str">
        <f>IF(ISBLANK('Deploy Workload Domain'!D178),"Value Missing",'Deploy Workload Domain'!D178)</f>
        <v>Value Missing</v>
      </c>
      <c r="H17" s="4" t="s">
        <v>398</v>
      </c>
      <c r="I17" s="337" t="str">
        <f>IF(ISBLANK(input_cluster_az1_vmotion_vlan),"Value Missing",input_cluster_az1_vmotion_vlan)</f>
        <v>Value Missing</v>
      </c>
      <c r="K17" s="17" t="s">
        <v>2047</v>
      </c>
      <c r="L17" s="337" t="str">
        <f>IF(ISBLANK(input_nsxt_lm_admin_password),"Value Missing",input_nsxt_lm_admin_password)</f>
        <v>VMware123!VMware123!</v>
      </c>
      <c r="N17" s="4" t="s">
        <v>2048</v>
      </c>
      <c r="O17" s="337" t="str">
        <f>IF(ISBLANK('Configure Management Domain'!D153),"Value Missing",'Configure Management Domain'!D153)</f>
        <v>Value Missing</v>
      </c>
      <c r="T17" s="4" t="s">
        <v>2049</v>
      </c>
      <c r="U17" s="337" t="str">
        <f>IF(mgmt_consolidated_result="Included",CONCATENATE("overlay-tz-",mgmt_nsxt_hostname),CONCATENATE("overlay-tz-",wld_nsxt_hostname))</f>
        <v>overlay-tz-Value Missing</v>
      </c>
      <c r="V17" s="3"/>
      <c r="W17" s="166" t="s">
        <v>259</v>
      </c>
      <c r="X17" s="167" t="s">
        <v>277</v>
      </c>
      <c r="Z17" s="17" t="s">
        <v>2050</v>
      </c>
      <c r="AA17" s="337"/>
      <c r="AC17" s="4" t="s">
        <v>1993</v>
      </c>
      <c r="AD17" s="337" t="str">
        <f>'Value Reference Tables - MR'!F24</f>
        <v>10.100.51.0/24</v>
      </c>
      <c r="AE17" s="337" t="str">
        <f>'Value Reference Tables - MR'!F293</f>
        <v>Value Missing</v>
      </c>
    </row>
    <row r="18" spans="2:31" s="2" customFormat="1" ht="20.100000000000001" customHeight="1" x14ac:dyDescent="0.25">
      <c r="B18" s="4" t="s">
        <v>2039</v>
      </c>
      <c r="C18" s="337" t="str">
        <f>IF(ISBLANK('Deploy Management Domain'!L326),"Value Missing",'Deploy Management Domain'!L326)</f>
        <v>10.100.50.121</v>
      </c>
      <c r="E18" s="4" t="s">
        <v>2051</v>
      </c>
      <c r="F18" s="337" t="str">
        <f>IF(ISBLANK('Deploy Workload Domain'!D180),"Value Missing",'Deploy Workload Domain'!D180)</f>
        <v>Value Missing</v>
      </c>
      <c r="H18" s="4" t="s">
        <v>401</v>
      </c>
      <c r="I18" s="337" t="str">
        <f>IF(ISBLANK(input_cluster_az1_vmotion_mtu),"Value Missing",input_cluster_az1_vmotion_mtu)</f>
        <v>Value Missing</v>
      </c>
      <c r="K18" s="17" t="s">
        <v>2052</v>
      </c>
      <c r="L18" s="337" t="str">
        <f>IF(ISBLANK(input_nsxt_lm_audit_password),"Value Missing",input_nsxt_lm_audit_password)</f>
        <v>VMware123!VMware123!</v>
      </c>
      <c r="N18" s="4" t="s">
        <v>2053</v>
      </c>
      <c r="O18" s="337" t="str">
        <f>IF(ISBLANK('Value Reference Tables'!U212),"Value Missing",'Value Reference Tables'!U212)</f>
        <v>Value Missing</v>
      </c>
      <c r="Q18" s="387" t="s">
        <v>2054</v>
      </c>
      <c r="R18" s="389"/>
      <c r="T18" s="4" t="s">
        <v>2055</v>
      </c>
      <c r="U18" s="337" t="str">
        <f>IF(ISBLANK('Private AI Ready Infrastructure'!D19),"Value Missing",'Private AI Ready Infrastructure'!D19)</f>
        <v>Value Missing</v>
      </c>
      <c r="W18" s="4" t="s">
        <v>1991</v>
      </c>
      <c r="X18" s="337"/>
      <c r="Z18" s="22" t="s">
        <v>2056</v>
      </c>
      <c r="AA18" s="337"/>
    </row>
    <row r="19" spans="2:31" s="2" customFormat="1" ht="20.100000000000001" customHeight="1" x14ac:dyDescent="0.25">
      <c r="B19" s="4" t="s">
        <v>2046</v>
      </c>
      <c r="C19" s="337" t="str">
        <f>IF(ISBLANK('Deploy Management Domain'!L327),"Value Missing",'Deploy Management Domain'!L327)</f>
        <v>10.100.50.122</v>
      </c>
      <c r="E19" s="4" t="s">
        <v>2057</v>
      </c>
      <c r="F19" s="337" t="str">
        <f>IF(ISBLANK('Configure Workload Domain'!D442),"Value Missing",'Configure Workload Domain'!D442)</f>
        <v>Value Missing</v>
      </c>
      <c r="H19" s="4" t="s">
        <v>706</v>
      </c>
      <c r="I19" s="337" t="str">
        <f>IF(ISBLANK(input_cluster_az1_vmotion_network),"Value Missing",input_cluster_az1_vmotion_network)</f>
        <v>Value Missing</v>
      </c>
      <c r="K19" s="17" t="s">
        <v>2058</v>
      </c>
      <c r="L19" s="337" t="str">
        <f>IF(ISBLANK(input_mgmt_nsxt_en_root_password),"Value Missing",input_mgmt_nsxt_en_root_password)</f>
        <v>Value Missing</v>
      </c>
      <c r="N19" s="4" t="s">
        <v>2059</v>
      </c>
      <c r="O19" s="337" t="str">
        <f>IF(ISBLANK(input_mgmt_nsxt_global_mgr_vmca_signed_thumbprint),"Value Missing",input_mgmt_nsxt_global_mgr_vmca_signed_thumbprint)</f>
        <v>Value Missing</v>
      </c>
      <c r="Q19" s="166" t="s">
        <v>259</v>
      </c>
      <c r="R19" s="167" t="s">
        <v>277</v>
      </c>
      <c r="T19" s="4" t="s">
        <v>2060</v>
      </c>
      <c r="U19" s="337" t="str">
        <f>IF(ISBLANK(input_k8s_ip_prefixlist),"Value Missing",input_k8s_ip_prefixlist)</f>
        <v>Value Missing</v>
      </c>
      <c r="W19" s="4" t="s">
        <v>2000</v>
      </c>
      <c r="X19" s="337"/>
      <c r="Z19" s="22" t="s">
        <v>2061</v>
      </c>
      <c r="AA19" s="337"/>
      <c r="AC19" s="384" t="s">
        <v>2062</v>
      </c>
      <c r="AD19" s="389"/>
      <c r="AE19" s="389"/>
    </row>
    <row r="20" spans="2:31" s="2" customFormat="1" ht="20.100000000000001" customHeight="1" x14ac:dyDescent="0.25">
      <c r="B20" s="4" t="s">
        <v>2051</v>
      </c>
      <c r="C20" s="337" t="str">
        <f>IF(ISBLANK('Deploy Management Domain'!L328),"Value Missing",'Deploy Management Domain'!L328)</f>
        <v>10.100.50.123</v>
      </c>
      <c r="E20" s="4" t="s">
        <v>2063</v>
      </c>
      <c r="F20" s="337" t="str">
        <f>IF(ISBLANK('Configure Workload Domain'!D371),"Value Missing",'Configure Workload Domain'!D371)</f>
        <v>Value Missing</v>
      </c>
      <c r="H20" s="4" t="s">
        <v>732</v>
      </c>
      <c r="I20" s="337" t="str">
        <f>IF(ISBLANK(input_cluster_az1_vmotion_mask),"Value Missing",input_cluster_az1_vmotion_mask)</f>
        <v>Value Missing</v>
      </c>
      <c r="K20" s="17" t="s">
        <v>2064</v>
      </c>
      <c r="L20" s="337" t="str">
        <f>IF(ISBLANK(input_mgmt_nsxt_en_admin_password),"Value Missing",input_mgmt_nsxt_en_admin_password)</f>
        <v>Value Missing</v>
      </c>
      <c r="N20" s="4" t="s">
        <v>2065</v>
      </c>
      <c r="O20" s="337" t="str">
        <f>IF(ISBLANK(input_mgmt_nsxt_global_mgr_cluster_id),"Value Missing",input_mgmt_nsxt_global_mgr_cluster_id)</f>
        <v>Value Missing</v>
      </c>
      <c r="Q20" s="4"/>
      <c r="R20" s="337"/>
      <c r="T20" s="17" t="s">
        <v>2066</v>
      </c>
      <c r="U20" s="337" t="str">
        <f>IF(ISBLANK(input_k8s_ip_routemap),"Value Missing",input_k8s_ip_routemap)</f>
        <v>Value Missing</v>
      </c>
      <c r="V20" s="3"/>
      <c r="Z20" s="22" t="s">
        <v>2067</v>
      </c>
      <c r="AA20" s="337"/>
      <c r="AC20" s="166" t="s">
        <v>259</v>
      </c>
      <c r="AD20" s="167" t="s">
        <v>1652</v>
      </c>
      <c r="AE20" s="167" t="s">
        <v>1943</v>
      </c>
    </row>
    <row r="21" spans="2:31" s="2" customFormat="1" ht="20.100000000000001" customHeight="1" x14ac:dyDescent="0.25">
      <c r="B21" s="4" t="s">
        <v>2057</v>
      </c>
      <c r="C21" s="337" t="str">
        <f>IF(ISBLANK('Configure Management Domain'!D475),"Value Missing",'Configure Management Domain'!D475)</f>
        <v>Value Missing</v>
      </c>
      <c r="E21" s="4" t="s">
        <v>2068</v>
      </c>
      <c r="F21" s="337" t="str">
        <f>IF(ISBLANK('Configure Workload Domain'!D388),"Value Missing",'Configure Workload Domain'!D388)</f>
        <v>Value Missing</v>
      </c>
      <c r="H21" s="4" t="s">
        <v>459</v>
      </c>
      <c r="I21" s="337" t="str">
        <f>IF(OR(cluster_az1_vmotion_network="Value Missing",cluster_az1_vmotion_mask="Value Missing"),"Value Missing",(CONCATENATE(cluster_az1_vmotion_network,"/",VLOOKUP(cluster_az1_vmotion_mask,table_mask_to_cidr,2,FALSE))))</f>
        <v>Value Missing</v>
      </c>
      <c r="K21" s="17" t="s">
        <v>2069</v>
      </c>
      <c r="L21" s="337" t="str">
        <f>IF(ISBLANK(input_nsxt_gm_root_password),"Value Missing",input_nsxt_gm_root_password)</f>
        <v>Value Missing</v>
      </c>
      <c r="N21" s="4" t="s">
        <v>2070</v>
      </c>
      <c r="O21" s="337" t="str">
        <f>IF(ISBLANK('Configure Management Domain'!D469),"Value Missing",'Configure Management Domain'!D469)</f>
        <v>Value Missing</v>
      </c>
      <c r="Q21" s="4"/>
      <c r="R21" s="337"/>
      <c r="T21" s="4" t="s">
        <v>574</v>
      </c>
      <c r="U21" s="337" t="str">
        <f>IF(mgmt_consolidated_result="Included",mgmt_ec_name,wld_ec_name)</f>
        <v>Value Missing</v>
      </c>
      <c r="V21" s="3"/>
      <c r="W21" s="384" t="s">
        <v>2071</v>
      </c>
      <c r="X21" s="389"/>
      <c r="Z21" s="22" t="s">
        <v>2072</v>
      </c>
      <c r="AA21" s="337"/>
      <c r="AC21" s="4" t="s">
        <v>1993</v>
      </c>
      <c r="AD21" s="337" t="str">
        <f>'Value Reference Tables - MR'!F86</f>
        <v>10.100.51.1</v>
      </c>
      <c r="AE21" s="337" t="str">
        <f>'Value Reference Tables - MR'!F335</f>
        <v>Value Missing</v>
      </c>
    </row>
    <row r="22" spans="2:31" s="2" customFormat="1" ht="20.100000000000001" customHeight="1" x14ac:dyDescent="0.25">
      <c r="B22" s="4" t="s">
        <v>2063</v>
      </c>
      <c r="C22" s="337" t="str">
        <f>IF(ISBLANK('Configure Management Domain'!D410),"Value Missing",'Configure Management Domain'!D410)</f>
        <v>Value Missing</v>
      </c>
      <c r="E22" s="4" t="s">
        <v>2073</v>
      </c>
      <c r="F22" s="337" t="str">
        <f>IF(ISBLANK('Configure Workload Domain'!D405),"Value Missing",'Configure Workload Domain'!D405)</f>
        <v>Value Missing</v>
      </c>
      <c r="H22" s="4" t="s">
        <v>399</v>
      </c>
      <c r="I22" s="337" t="str">
        <f>IF(ISBLANK(input_cluster_az1_vmotion_gateway_ip),"Value Missing",input_cluster_az1_vmotion_gateway_ip)</f>
        <v>Value Missing</v>
      </c>
      <c r="K22" s="17" t="s">
        <v>2074</v>
      </c>
      <c r="L22" s="337" t="str">
        <f>IF(ISBLANK(input_nsxt_gm_admin_password),"Value Missing",input_nsxt_gm_admin_password)</f>
        <v>Value Missing</v>
      </c>
      <c r="N22" s="4" t="s">
        <v>2075</v>
      </c>
      <c r="O22" s="337" t="str">
        <f>IF(ISBLANK('Configure Management Domain'!D481),"Value Missing",'Configure Management Domain'!D481)</f>
        <v>Value Missing</v>
      </c>
      <c r="Q22" s="4"/>
      <c r="R22" s="337"/>
      <c r="T22" s="17" t="s">
        <v>2076</v>
      </c>
      <c r="U22" s="337">
        <v>28</v>
      </c>
      <c r="V22" s="3"/>
      <c r="W22" s="166" t="s">
        <v>259</v>
      </c>
      <c r="X22" s="167" t="s">
        <v>277</v>
      </c>
      <c r="Z22" s="22" t="s">
        <v>2077</v>
      </c>
      <c r="AA22" s="337"/>
    </row>
    <row r="23" spans="2:31" s="2" customFormat="1" ht="20.100000000000001" customHeight="1" x14ac:dyDescent="0.25">
      <c r="B23" s="4" t="s">
        <v>2068</v>
      </c>
      <c r="C23" s="337" t="str">
        <f>IF(ISBLANK('Configure Management Domain'!D427),"Value Missing",'Configure Management Domain'!D427)</f>
        <v>Value Missing</v>
      </c>
      <c r="E23" s="4" t="s">
        <v>2078</v>
      </c>
      <c r="F23" s="337" t="str">
        <f>IF(ISBLANK('Configure Workload Domain'!D159),"Value Missing",'Configure Workload Domain'!D159)</f>
        <v>Value Missing</v>
      </c>
      <c r="H23" s="17" t="s">
        <v>460</v>
      </c>
      <c r="I23" s="337" t="str">
        <f>IF(ISBLANK(input_cluster_az1_vmotion_pool_start_ip),"Value Missing",input_cluster_az1_vmotion_pool_start_ip)</f>
        <v>Value Missing</v>
      </c>
      <c r="K23" s="17" t="s">
        <v>2079</v>
      </c>
      <c r="L23" s="337" t="str">
        <f>IF(ISBLANK(input_nsxt_gm_audit_password),"Value Missing",input_nsxt_gm_audit_password)</f>
        <v>Value Missing</v>
      </c>
      <c r="N23" s="4" t="s">
        <v>2080</v>
      </c>
      <c r="O23" s="337" t="str">
        <f>IF(ISBLANK('Configure Management Domain'!D498),"Value Missing",'Configure Management Domain'!D498)</f>
        <v>Value Missing</v>
      </c>
      <c r="Q23" s="4"/>
      <c r="R23" s="337"/>
      <c r="T23" s="17" t="s">
        <v>2081</v>
      </c>
      <c r="U23" s="337">
        <v>32</v>
      </c>
      <c r="V23" s="3"/>
      <c r="W23" s="4" t="s">
        <v>1991</v>
      </c>
      <c r="X23" s="337"/>
      <c r="Z23" s="22" t="s">
        <v>2082</v>
      </c>
      <c r="AA23" s="337"/>
      <c r="AC23" s="384" t="s">
        <v>2083</v>
      </c>
      <c r="AD23" s="389"/>
      <c r="AE23" s="389"/>
    </row>
    <row r="24" spans="2:31" s="2" customFormat="1" ht="20.100000000000001" customHeight="1" x14ac:dyDescent="0.25">
      <c r="B24" s="4" t="s">
        <v>2073</v>
      </c>
      <c r="C24" s="337" t="str">
        <f>IF(ISBLANK('Configure Management Domain'!D444),"Value Missing",'Configure Management Domain'!D444)</f>
        <v>Value Missing</v>
      </c>
      <c r="E24" s="4" t="s">
        <v>2084</v>
      </c>
      <c r="F24" s="337" t="str">
        <f>IF(ISBLANK(input_wld_avilb_mgra_ip),"Value Missing",input_wld_avilb_mgra_ip)</f>
        <v>Value Missing</v>
      </c>
      <c r="H24" s="17" t="s">
        <v>461</v>
      </c>
      <c r="I24" s="337" t="str">
        <f>IF(ISBLANK(input_cluster_az1_vmotion_pool_end_ip),"Value Missing",input_cluster_az1_vmotion_pool_end_ip)</f>
        <v>Value Missing</v>
      </c>
      <c r="K24" s="17" t="s">
        <v>2069</v>
      </c>
      <c r="L24" s="337" t="str">
        <f>IF(ISBLANK(input_wld_nsxt_gm_root_password),"Value Missing",input_wld_nsxt_gm_root_password)</f>
        <v>Value Missing</v>
      </c>
      <c r="N24" s="4" t="s">
        <v>2085</v>
      </c>
      <c r="O24" s="337" t="str">
        <f>IF(ISBLANK('Configure Management Domain'!D512),"Value Missing",'Configure Management Domain'!D512)</f>
        <v>Value Missing</v>
      </c>
      <c r="Q24" s="4"/>
      <c r="R24" s="337" t="str">
        <f>IF(ISBLANK('Private AI Ready Infrastructure'!D72),"Value Missing",'Private AI Ready Infrastructure'!D72)</f>
        <v>Value Missing</v>
      </c>
      <c r="T24" s="4" t="s">
        <v>2086</v>
      </c>
      <c r="U24" s="337" t="str">
        <f>IF(ISBLANK(input_k8s_vcenter_category),"Value Missing",input_k8s_vcenter_category)</f>
        <v>Value Missing</v>
      </c>
      <c r="V24" s="3"/>
      <c r="W24" s="4" t="s">
        <v>2000</v>
      </c>
      <c r="X24" s="337"/>
      <c r="Z24" s="22" t="s">
        <v>2087</v>
      </c>
      <c r="AA24" s="337"/>
      <c r="AC24" s="166" t="s">
        <v>259</v>
      </c>
      <c r="AD24" s="167" t="s">
        <v>1652</v>
      </c>
      <c r="AE24" s="167" t="s">
        <v>1943</v>
      </c>
    </row>
    <row r="25" spans="2:31" s="2" customFormat="1" ht="20.100000000000001" customHeight="1" x14ac:dyDescent="0.25">
      <c r="B25" s="4" t="s">
        <v>2078</v>
      </c>
      <c r="C25" s="337" t="str">
        <f>IF(ISBLANK('Configure Management Domain'!D216),"Value Missing",'Configure Management Domain'!D216)</f>
        <v>Value Missing</v>
      </c>
      <c r="E25" s="4" t="s">
        <v>2088</v>
      </c>
      <c r="F25" s="337" t="str">
        <f>IF(ISBLANK(input_wld_avilb_mgrb_ip),"Value Missing",input_wld_avilb_mgrb_ip)</f>
        <v>Value Missing</v>
      </c>
      <c r="H25" s="528" t="s">
        <v>713</v>
      </c>
      <c r="I25" s="530"/>
      <c r="K25" s="17" t="s">
        <v>2074</v>
      </c>
      <c r="L25" s="337" t="str">
        <f>IF(ISBLANK(input_wld_nsxt_gm_admin_password),"Value Missing",input_wld_nsxt_gm_admin_password)</f>
        <v>Value Missing</v>
      </c>
      <c r="N25" s="4" t="s">
        <v>2089</v>
      </c>
      <c r="O25" s="337" t="str">
        <f>IF(ISBLANK('Configure Management Domain'!D510),"Value Missing",'Configure Management Domain'!D510)</f>
        <v>Value Missing</v>
      </c>
      <c r="Q25" s="4"/>
      <c r="R25" s="337" t="str">
        <f>IF(ISBLANK('Private AI Ready Infrastructure'!D71),"Value Missing",'Private AI Ready Infrastructure'!D71)</f>
        <v>Value Missing</v>
      </c>
      <c r="T25" s="4" t="s">
        <v>2090</v>
      </c>
      <c r="U25" s="337" t="str">
        <f>IF(ISBLANK(input_k8s_vcenter_tag),"Value Missing",input_k8s_vcenter_tag)</f>
        <v>Value Missing</v>
      </c>
      <c r="V25" s="3"/>
      <c r="Z25" s="22" t="s">
        <v>2091</v>
      </c>
      <c r="AA25" s="337"/>
      <c r="AC25" s="4" t="s">
        <v>1993</v>
      </c>
      <c r="AD25" s="337">
        <f>'Value Reference Tables - MR'!F70</f>
        <v>1500</v>
      </c>
      <c r="AE25" s="337" t="str">
        <f>'Value Reference Tables - MR'!F349</f>
        <v>Value Missing</v>
      </c>
    </row>
    <row r="26" spans="2:31" s="2" customFormat="1" ht="20.100000000000001" customHeight="1" x14ac:dyDescent="0.25">
      <c r="B26" s="4" t="s">
        <v>676</v>
      </c>
      <c r="C26" s="337" t="str">
        <f>IF(ISBLANK(input_mgmt_avilb_mgra_ip),"Value Missing",input_mgmt_avilb_mgra_ip)</f>
        <v>Value Missing</v>
      </c>
      <c r="E26" s="4" t="s">
        <v>2092</v>
      </c>
      <c r="F26" s="337" t="str">
        <f>IF(ISBLANK(input_wld_avilb_mgrc_ip),"Value Missing",input_wld_avilb_mgrc_ip)</f>
        <v>Value Missing</v>
      </c>
      <c r="H26" s="4" t="s">
        <v>398</v>
      </c>
      <c r="I26" s="337" t="str">
        <f>IF(ISBLANK(input_cluster_az1_principal_storage_vlan),"Value Missing",input_cluster_az1_principal_storage_vlan)</f>
        <v>Value Missing</v>
      </c>
      <c r="K26" s="17" t="s">
        <v>2079</v>
      </c>
      <c r="L26" s="337" t="str">
        <f>IF(ISBLANK(input_wld_nsxt_gm_audit_password),"Value Missing",input_wld_nsxt_gm_audit_password)</f>
        <v>Value Missing</v>
      </c>
      <c r="N26" s="4" t="s">
        <v>2093</v>
      </c>
      <c r="O26" s="337" t="str">
        <f>IF(ISBLANK('Configure Management Domain'!D501),"Value Missing",'Configure Management Domain'!D501)</f>
        <v>Value Missing</v>
      </c>
      <c r="Q26" s="6"/>
      <c r="R26" s="6"/>
      <c r="T26" s="4" t="s">
        <v>2094</v>
      </c>
      <c r="U26" s="337" t="str">
        <f>IF(ISBLANK(input_k8s_vcenter_storage_policy),"Value Missing",input_k8s_vcenter_storage_policy)</f>
        <v>Value Missing</v>
      </c>
      <c r="V26" s="3"/>
      <c r="W26" s="384" t="s">
        <v>2095</v>
      </c>
      <c r="X26" s="389"/>
      <c r="Z26" s="22" t="s">
        <v>2096</v>
      </c>
      <c r="AA26" s="337"/>
    </row>
    <row r="27" spans="2:31" s="2" customFormat="1" ht="20.100000000000001" customHeight="1" x14ac:dyDescent="0.25">
      <c r="B27" s="4" t="s">
        <v>678</v>
      </c>
      <c r="C27" s="337" t="str">
        <f>IF(ISBLANK(input_mgmt_avilb_mgrb_ip),"Value Missing",input_mgmt_avilb_mgrb_ip)</f>
        <v>Value Missing</v>
      </c>
      <c r="H27" s="4" t="s">
        <v>401</v>
      </c>
      <c r="I27" s="337" t="str">
        <f>IF(ISBLANK(input_cluster_az1_principal_storage_mtu),"Value Missing",input_cluster_az1_principal_storage_mtu)</f>
        <v>Value Missing</v>
      </c>
      <c r="K27" s="17" t="s">
        <v>2097</v>
      </c>
      <c r="L27" s="337" t="str">
        <f>IF(ISBLANK(input_sddc_mgr_root_password),"Value Missing",input_sddc_mgr_root_password)</f>
        <v>VMware123!VMware123!</v>
      </c>
      <c r="N27" s="4" t="s">
        <v>2098</v>
      </c>
      <c r="O27" s="337" t="str">
        <f>IF(ISBLANK('Configure Management Domain'!D522),"Value Missing",'Configure Management Domain'!D522)</f>
        <v>Value Missing</v>
      </c>
      <c r="Q27" s="575" t="s">
        <v>2099</v>
      </c>
      <c r="R27" s="576"/>
      <c r="T27" s="4" t="s">
        <v>2100</v>
      </c>
      <c r="U27" s="337" t="str">
        <f>IF(ISBLANK(input_k8s_vcenter_content_library),"Value Missing",input_k8s_vcenter_content_library)</f>
        <v>Value Missing</v>
      </c>
      <c r="W27" s="166" t="s">
        <v>259</v>
      </c>
      <c r="X27" s="167" t="s">
        <v>277</v>
      </c>
      <c r="Z27" s="22" t="s">
        <v>2101</v>
      </c>
      <c r="AA27" s="337"/>
      <c r="AC27" s="384" t="s">
        <v>2102</v>
      </c>
      <c r="AD27" s="389"/>
      <c r="AE27" s="389"/>
    </row>
    <row r="28" spans="2:31" s="2" customFormat="1" ht="20.100000000000001" customHeight="1" x14ac:dyDescent="0.25">
      <c r="B28" s="4" t="s">
        <v>680</v>
      </c>
      <c r="C28" s="337" t="str">
        <f>IF(ISBLANK(input_mgmt_avilb_mgrc_ip),"Value Missing",input_mgmt_avilb_mgrc_ip)</f>
        <v>Value Missing</v>
      </c>
      <c r="E28" s="578" t="s">
        <v>2103</v>
      </c>
      <c r="F28" s="579"/>
      <c r="H28" s="4" t="s">
        <v>706</v>
      </c>
      <c r="I28" s="337" t="str">
        <f>IF(ISBLANK(input_cluster_az1_principal_storage_network),"Value Missing",input_cluster_az1_principal_storage_network)</f>
        <v>Value Missing</v>
      </c>
      <c r="K28" s="17" t="s">
        <v>2104</v>
      </c>
      <c r="L28" s="337" t="str">
        <f>IF(ISBLANK(input_sddc_mgr_vcf_password),"Value Missing",input_sddc_mgr_vcf_password)</f>
        <v>VMware123!VMware123!</v>
      </c>
      <c r="N28" s="4" t="s">
        <v>2105</v>
      </c>
      <c r="O28" s="337"/>
      <c r="Q28" s="361" t="s">
        <v>2106</v>
      </c>
      <c r="R28" s="337"/>
      <c r="T28" s="4" t="s">
        <v>2107</v>
      </c>
      <c r="U28" s="337" t="s">
        <v>189</v>
      </c>
      <c r="W28" s="4" t="s">
        <v>2108</v>
      </c>
      <c r="X28" s="337" t="str">
        <f>IF(ISBLANK('Private AI Ready Infrastructure'!D19),"Value Missing",'Private AI Ready Infrastructure'!D19)</f>
        <v>Value Missing</v>
      </c>
      <c r="Z28" s="22" t="s">
        <v>2109</v>
      </c>
      <c r="AA28" s="337" t="s">
        <v>717</v>
      </c>
      <c r="AC28" s="166" t="s">
        <v>259</v>
      </c>
      <c r="AD28" s="167" t="s">
        <v>1652</v>
      </c>
      <c r="AE28" s="167" t="s">
        <v>1943</v>
      </c>
    </row>
    <row r="29" spans="2:31" s="2" customFormat="1" ht="20.100000000000001" customHeight="1" x14ac:dyDescent="0.25">
      <c r="B29" s="4" t="s">
        <v>2110</v>
      </c>
      <c r="C29" s="337" t="str">
        <f>IF(ISBLANK(input_flt_vidb_vip_ip),"Value Missing",input_flt_vidb_vip_ip)</f>
        <v>Value Missing</v>
      </c>
      <c r="E29" s="336" t="s">
        <v>259</v>
      </c>
      <c r="F29" s="184" t="s">
        <v>277</v>
      </c>
      <c r="H29" s="4" t="s">
        <v>732</v>
      </c>
      <c r="I29" s="337" t="str">
        <f>IF(ISBLANK(input_cluster_az1_principal_storage_mask),"Value Missing",input_cluster_az1_principal_storage_mask)</f>
        <v>Value Missing</v>
      </c>
      <c r="K29" s="17" t="s">
        <v>2111</v>
      </c>
      <c r="L29" s="337" t="str">
        <f>IF(ISBLANK(input_sddc_mgr_admin_local_password),"Value Missing",input_sddc_mgr_admin_local_password)</f>
        <v>VMware123!VMware123!</v>
      </c>
      <c r="N29" s="4" t="s">
        <v>2112</v>
      </c>
      <c r="O29" s="337"/>
      <c r="Q29" s="6"/>
      <c r="R29" s="6"/>
      <c r="T29" s="4" t="s">
        <v>2113</v>
      </c>
      <c r="U29" s="337" t="s">
        <v>2114</v>
      </c>
      <c r="V29" s="3"/>
      <c r="Z29" s="4" t="s">
        <v>2115</v>
      </c>
      <c r="AA29" s="337"/>
      <c r="AC29" s="4" t="s">
        <v>1993</v>
      </c>
      <c r="AD29" s="337" t="str">
        <f>'Value Reference Tables - MR'!I9</f>
        <v>Value Missing</v>
      </c>
      <c r="AE29" s="337" t="str">
        <f>'Value Reference Tables - MR'!I279</f>
        <v>Value Missing</v>
      </c>
    </row>
    <row r="30" spans="2:31" s="2" customFormat="1" ht="20.100000000000001" customHeight="1" x14ac:dyDescent="0.25">
      <c r="B30" s="4" t="s">
        <v>2116</v>
      </c>
      <c r="C30" s="337" t="str">
        <f>IF(ISBLANK(input_flt_vidb_nodea_ip),"Value Missing",input_flt_vidb_nodea_ip)</f>
        <v>Value Missing</v>
      </c>
      <c r="E30" s="4" t="s">
        <v>2026</v>
      </c>
      <c r="F30" s="337" t="str">
        <f>IF(wld_vc_fqdn="Value Missing",wld_vc_fqdn,LEFT(wld_vc_fqdn,FIND(".",wld_vc_fqdn)-1))</f>
        <v>Value Missing</v>
      </c>
      <c r="H30" s="4" t="s">
        <v>459</v>
      </c>
      <c r="I30" s="337" t="str">
        <f>IF(OR(cluster_az1_principal_storage_network="Value Missing",cluster_az1_principal_storage_mask="Value Missing"),"Value Missing",(CONCATENATE(cluster_az1_principal_storage_network,"/",VLOOKUP(cluster_az1_principal_storage_mask,table_mask_to_cidr,2,FALSE))))</f>
        <v>Value Missing</v>
      </c>
      <c r="K30" s="17" t="s">
        <v>2117</v>
      </c>
      <c r="L30" s="337" t="str">
        <f>IF(ISBLANK(input_svc_my_vmware_password),"Value Missing",input_svc_my_vmware_password)</f>
        <v>N/A</v>
      </c>
      <c r="N30" s="4" t="s">
        <v>2118</v>
      </c>
      <c r="O30" s="337" t="str">
        <f>IF(ISBLANK(input_mgmt_avilb_cluster_name),"Value Missing",input_mgmt_avilb_cluster_name)</f>
        <v>Value Missing</v>
      </c>
      <c r="Q30" s="575" t="s">
        <v>2119</v>
      </c>
      <c r="R30" s="576"/>
      <c r="T30" s="4" t="s">
        <v>2120</v>
      </c>
      <c r="U30" s="337">
        <v>5</v>
      </c>
      <c r="V30" s="3"/>
      <c r="W30" s="384" t="s">
        <v>2121</v>
      </c>
      <c r="X30" s="389"/>
      <c r="Z30" s="4" t="s">
        <v>2122</v>
      </c>
      <c r="AA30" s="337" t="s">
        <v>2123</v>
      </c>
    </row>
    <row r="31" spans="2:31" s="2" customFormat="1" ht="20.100000000000001" customHeight="1" x14ac:dyDescent="0.25">
      <c r="B31" s="4" t="s">
        <v>2124</v>
      </c>
      <c r="C31" s="337" t="str">
        <f>IF(ISBLANK(input_flt_vidb_nodeb_ip),"Value Missing",input_flt_vidb_nodeb_ip)</f>
        <v>Value Missing</v>
      </c>
      <c r="E31" s="4" t="s">
        <v>2033</v>
      </c>
      <c r="F31" s="337" t="str">
        <f>IF(wld_nsxt_vip_fqdn="Value Missing",wld_nsxt_vip_fqdn,LEFT(wld_nsxt_vip_fqdn,FIND(".",wld_nsxt_vip_fqdn)-1))</f>
        <v>Value Missing</v>
      </c>
      <c r="H31" s="4" t="s">
        <v>399</v>
      </c>
      <c r="I31" s="337" t="str">
        <f>IF(ISBLANK(input_cluster_az1_principal_storage_gateway_ip),"Value Missing",input_cluster_az1_principal_storage_gateway_ip)</f>
        <v>Value Missing</v>
      </c>
      <c r="K31" s="17" t="s">
        <v>1987</v>
      </c>
      <c r="L31" s="337" t="str">
        <f>IF(ISBLANK(input_ca_administrator_password),"Value Missing",input_ca_administrator_password)</f>
        <v>Value Missing</v>
      </c>
      <c r="N31" s="4" t="s">
        <v>2125</v>
      </c>
      <c r="O31" s="337" t="str">
        <f>IF(ISBLANK(input_mgmt_avilb_cluster_version),"Value Missing",input_mgmt_avilb_cluster_version)</f>
        <v>Value Missing</v>
      </c>
      <c r="Q31" s="361" t="s">
        <v>2126</v>
      </c>
      <c r="R31" s="337"/>
      <c r="T31" s="361" t="s">
        <v>2127</v>
      </c>
      <c r="U31" s="337"/>
      <c r="V31" s="3"/>
      <c r="W31" s="166" t="s">
        <v>259</v>
      </c>
      <c r="X31" s="167" t="s">
        <v>277</v>
      </c>
      <c r="Z31" s="4" t="s">
        <v>2128</v>
      </c>
      <c r="AA31" s="337"/>
      <c r="AC31" s="384" t="s">
        <v>2129</v>
      </c>
      <c r="AD31" s="389"/>
      <c r="AE31" s="389"/>
    </row>
    <row r="32" spans="2:31" s="2" customFormat="1" ht="20.100000000000001" customHeight="1" x14ac:dyDescent="0.25">
      <c r="B32" s="4" t="s">
        <v>2130</v>
      </c>
      <c r="C32" s="337" t="str">
        <f>IF(ISBLANK(input_flt_vidb_nodec_ip),"Value Missing",input_flt_vidb_nodec_ip)</f>
        <v>Value Missing</v>
      </c>
      <c r="E32" s="4" t="s">
        <v>2039</v>
      </c>
      <c r="F32" s="337" t="str">
        <f>IF(wld_nsxt_mgra_fqdn="Value Missing",wld_nsxt_mgra_fqdn,LEFT(wld_nsxt_mgra_fqdn,FIND(".",wld_nsxt_mgra_fqdn)-1))</f>
        <v>Value Missing</v>
      </c>
      <c r="H32" s="17" t="s">
        <v>460</v>
      </c>
      <c r="I32" s="337" t="str">
        <f>IF(ISBLANK(input_cluster_az1_principal_storage_pool_start_ip),"Value Missing",input_cluster_az1_principal_storage_pool_start_ip)</f>
        <v>Value Missing</v>
      </c>
      <c r="K32" s="17" t="s">
        <v>2131</v>
      </c>
      <c r="L32" s="337" t="str">
        <f>IF(ISBLANK(input_avilb_root_password),"Value Missing",input_avilb_root_password)</f>
        <v>Value Missing</v>
      </c>
      <c r="N32" s="4" t="s">
        <v>655</v>
      </c>
      <c r="O32" s="337" t="str">
        <f>IF(ISBLANK(input_mgmt_vpc_ext_ip_blocks),"Value Missing",input_mgmt_vpc_ext_ip_blocks)</f>
        <v>Value Missing</v>
      </c>
      <c r="Q32" s="6"/>
      <c r="R32" s="6"/>
      <c r="T32" s="361" t="s">
        <v>2132</v>
      </c>
      <c r="U32" s="337"/>
      <c r="V32" s="3"/>
      <c r="W32" s="4" t="s">
        <v>728</v>
      </c>
      <c r="X32" s="337" t="str">
        <f>IF(ISBLANK(input_mgmt_witnessaz_mgmt_vlan),"Value Missing",input_mgmt_witnessaz_mgmt_vlan)</f>
        <v>Value Missing</v>
      </c>
      <c r="Z32" s="4" t="s">
        <v>2133</v>
      </c>
      <c r="AA32" s="337"/>
      <c r="AC32" s="166" t="s">
        <v>259</v>
      </c>
      <c r="AD32" s="167" t="s">
        <v>1652</v>
      </c>
      <c r="AE32" s="167" t="s">
        <v>1943</v>
      </c>
    </row>
    <row r="33" spans="2:31" s="2" customFormat="1" ht="20.100000000000001" customHeight="1" x14ac:dyDescent="0.25">
      <c r="B33" s="4" t="s">
        <v>2134</v>
      </c>
      <c r="C33" s="337" t="str">
        <f>IF(ISBLANK(input_flt_vidb_noded_ip),"Value Missing",input_flt_vidb_noded_ip)</f>
        <v>Value Missing</v>
      </c>
      <c r="E33" s="4" t="s">
        <v>2046</v>
      </c>
      <c r="F33" s="337" t="str">
        <f>IF(wld_nsxt_mgrb_fqdn="Value Missing",wld_nsxt_mgrb_fqdn,LEFT(wld_nsxt_mgrb_fqdn,FIND(".",wld_nsxt_mgrb_fqdn)-1))</f>
        <v>Value Missing</v>
      </c>
      <c r="H33" s="17" t="s">
        <v>461</v>
      </c>
      <c r="I33" s="337" t="str">
        <f>IF(ISBLANK(input_cluster_az1_principal_storage_pool_end_ip),"Value Missing",input_cluster_az1_principal_storage_pool_end_ip)</f>
        <v>Value Missing</v>
      </c>
      <c r="K33" s="17" t="s">
        <v>2135</v>
      </c>
      <c r="L33" s="337" t="str">
        <f>IF(ISBLANK(input_svc_vcf_bck_password),"Value Missing",input_svc_vcf_bck_password)</f>
        <v>Value Missing</v>
      </c>
      <c r="N33" s="4" t="s">
        <v>658</v>
      </c>
      <c r="O33" s="337" t="str">
        <f>IF(ISBLANK(input_mgmt_vpc_transit_gateway_ip_blocks),"Value Missing",input_mgmt_vpc_transit_gateway_ip_blocks)</f>
        <v>Value Missing</v>
      </c>
      <c r="Q33" s="575" t="s">
        <v>2136</v>
      </c>
      <c r="R33" s="576"/>
      <c r="T33" s="361" t="s">
        <v>2137</v>
      </c>
      <c r="U33" s="337" t="str">
        <f>IF(mgmt_consolidated_result="Included",CONCATENATE(mgmt_cl01_cluster,".",child_dns_zone),CONCATENATE(wld_cl01_cluster,".",child_dns_zone))</f>
        <v>Value Missing.Value Missing</v>
      </c>
      <c r="V33" s="3"/>
      <c r="AC33" s="4" t="s">
        <v>1993</v>
      </c>
      <c r="AD33" s="337" t="s">
        <v>2138</v>
      </c>
      <c r="AE33" s="337" t="str">
        <f>wld_cl01_az1_vm_pg</f>
        <v>VM Network</v>
      </c>
    </row>
    <row r="34" spans="2:31" s="2" customFormat="1" ht="20.100000000000001" customHeight="1" x14ac:dyDescent="0.25">
      <c r="E34" s="4" t="s">
        <v>2051</v>
      </c>
      <c r="F34" s="337" t="str">
        <f>IF(wld_nsxt_mgrc_fqdn="Value Missing",wld_nsxt_mgrc_fqdn,LEFT(wld_nsxt_mgrc_fqdn,FIND(".",wld_nsxt_mgrc_fqdn)-1))</f>
        <v>Value Missing</v>
      </c>
      <c r="H34" s="528" t="s">
        <v>2139</v>
      </c>
      <c r="I34" s="530"/>
      <c r="K34" s="17" t="s">
        <v>2140</v>
      </c>
      <c r="L34" s="337" t="str">
        <f t="array" ref="L34">IF(ISBLANK(input_mgmt_witness_root_password),"Value Missing",input_mgmt_witness_root_password)</f>
        <v>Value Missing</v>
      </c>
      <c r="N34" s="4" t="s">
        <v>2141</v>
      </c>
      <c r="O34" s="337" t="str">
        <f>IF(ISBLANK(input_mgmt_sddc_domain),"Value Missing",CONCATENATE(input_mgmt_sddc_domain,"-fd-mgmt"))</f>
        <v>vcf-lab-mgmt01-fd-mgmt</v>
      </c>
      <c r="Q34" s="361" t="s">
        <v>2142</v>
      </c>
      <c r="R34" s="337"/>
      <c r="T34" s="361" t="s">
        <v>2143</v>
      </c>
      <c r="U34" s="337" t="str">
        <f>IF(ISBLANK(input_k8s_kubectl_path),"Value Missing",input_k8s_kubectl_path)</f>
        <v>Value Missing</v>
      </c>
      <c r="V34" s="3"/>
      <c r="W34" s="384" t="s">
        <v>2144</v>
      </c>
      <c r="X34" s="389"/>
      <c r="Z34" s="575" t="s">
        <v>2145</v>
      </c>
      <c r="AA34" s="576"/>
    </row>
    <row r="35" spans="2:31" s="2" customFormat="1" ht="20.100000000000001" customHeight="1" x14ac:dyDescent="0.25">
      <c r="B35" s="583" t="s">
        <v>2146</v>
      </c>
      <c r="C35" s="583"/>
      <c r="E35" s="4" t="s">
        <v>2057</v>
      </c>
      <c r="F35" s="337" t="str">
        <f>IF(wld_nsxt_gm_vip_fqdn="Value Missing",wld_nsxt_gm_vip_fqdn,LEFT(wld_nsxt_gm_vip_fqdn,FIND(".",wld_nsxt_gm_vip_fqdn)-1))</f>
        <v>Value Missing</v>
      </c>
      <c r="H35" s="4" t="s">
        <v>398</v>
      </c>
      <c r="I35" s="337" t="str">
        <f>IF(ISBLANK(input_cluster_az1_secondary_storage_vlan),"Value Missing",input_cluster_az1_secondary_storage_vlan)</f>
        <v>Value Missing</v>
      </c>
      <c r="K35" s="17" t="s">
        <v>2147</v>
      </c>
      <c r="L35" s="337" t="str">
        <f>IF(ISBLANK(input_wld_witness_root_password),"Value Missing",input_wld_witness_root_password)</f>
        <v>Value Missing</v>
      </c>
      <c r="N35" s="4" t="s">
        <v>2148</v>
      </c>
      <c r="O35" s="337" t="str">
        <f>IF(ISBLANK(input_mgmt_sddc_domain),"Value Missing",CONCATENATE(input_mgmt_sddc_domain,"-fd-nsx"))</f>
        <v>vcf-lab-mgmt01-fd-nsx</v>
      </c>
      <c r="Q35" s="6"/>
      <c r="R35" s="6"/>
      <c r="T35" s="361" t="s">
        <v>2149</v>
      </c>
      <c r="U35" s="337"/>
      <c r="V35" s="3"/>
      <c r="W35" s="166" t="s">
        <v>259</v>
      </c>
      <c r="X35" s="167" t="s">
        <v>277</v>
      </c>
      <c r="Z35" s="166" t="s">
        <v>259</v>
      </c>
      <c r="AA35" s="167" t="s">
        <v>277</v>
      </c>
      <c r="AC35" s="384" t="s">
        <v>2150</v>
      </c>
      <c r="AD35" s="389"/>
      <c r="AE35" s="389"/>
    </row>
    <row r="36" spans="2:31" s="2" customFormat="1" ht="20.100000000000001" customHeight="1" x14ac:dyDescent="0.25">
      <c r="B36" s="336" t="s">
        <v>259</v>
      </c>
      <c r="C36" s="336" t="s">
        <v>277</v>
      </c>
      <c r="E36" s="4" t="s">
        <v>2063</v>
      </c>
      <c r="F36" s="337" t="str">
        <f>IF(wld_nsxt_global_mgra_fqdn="Value Missing",wld_nsxt_global_mgra_fqdn,LEFT(wld_nsxt_global_mgra_fqdn,FIND(".",wld_nsxt_global_mgra_fqdn)-1))</f>
        <v>Value Missing</v>
      </c>
      <c r="H36" s="4" t="s">
        <v>401</v>
      </c>
      <c r="I36" s="337" t="str">
        <f>IF(ISBLANK(input_cluster_az1_secondary_storage_mtu),"Value Missing",input_cluster_az1_secondary_storage_mtu)</f>
        <v>Value Missing</v>
      </c>
      <c r="K36" s="4" t="s">
        <v>1997</v>
      </c>
      <c r="L36" s="337"/>
      <c r="N36" s="4" t="s">
        <v>2151</v>
      </c>
      <c r="O36" s="337" t="str">
        <f>IF(ISBLANK(input_mgmt_sddc_domain),"Value Missing",CONCATENATE(input_mgmt_sddc_domain,"-fd-edge"))</f>
        <v>vcf-lab-mgmt01-fd-edge</v>
      </c>
      <c r="Q36" s="580" t="s">
        <v>2152</v>
      </c>
      <c r="R36" s="581"/>
      <c r="T36" s="361" t="s">
        <v>2153</v>
      </c>
      <c r="U36" s="337"/>
      <c r="V36" s="3"/>
      <c r="W36" s="4" t="s">
        <v>728</v>
      </c>
      <c r="X36" s="337" t="str">
        <f>IF(ISBLANK(input_mgmt_witness_mgmt_pg),"Value Missing",input_mgmt_witness_mgmt_pg)</f>
        <v>Value Missing</v>
      </c>
      <c r="Z36" s="4" t="s">
        <v>2154</v>
      </c>
      <c r="AA36" s="337" t="str">
        <f>IF(ISBLANK(input_mgmt_az1_mgmt_cidr),"Value Missing",VLOOKUP(INT(RIGHT(input_mgmt_az1_mgmt_cidr,LEN(input_mgmt_az1_mgmt_cidr)-FIND("/",input_mgmt_az1_mgmt_cidr))),table_cidr_to_mask,2,FALSE))</f>
        <v>255.255.255.0</v>
      </c>
      <c r="AC36" s="166" t="s">
        <v>259</v>
      </c>
      <c r="AD36" s="167" t="s">
        <v>1652</v>
      </c>
      <c r="AE36" s="167" t="s">
        <v>1943</v>
      </c>
    </row>
    <row r="37" spans="2:31" s="2" customFormat="1" ht="20.100000000000001" customHeight="1" x14ac:dyDescent="0.25">
      <c r="B37" s="4" t="s">
        <v>2025</v>
      </c>
      <c r="C37" s="337" t="str">
        <f>IF(vcf_installer_fqdn="Value Missing",vcf_installer_fqdn,LEFT(vcf_installer_fqdn,FIND(".",vcf_installer_fqdn)-1))</f>
        <v>Value Missing</v>
      </c>
      <c r="E37" s="4" t="s">
        <v>2068</v>
      </c>
      <c r="F37" s="337" t="str">
        <f>IF(wld_nsxt_global_mgrb_fqdn="Value Missing",wld_nsxt_global_mgrb_fqdn,LEFT(wld_nsxt_global_mgrb_fqdn,FIND(".",wld_nsxt_global_mgrb_fqdn)-1))</f>
        <v>Value Missing</v>
      </c>
      <c r="H37" s="4" t="s">
        <v>706</v>
      </c>
      <c r="I37" s="337" t="str">
        <f>IF(ISBLANK(input_cluster_az1_secondary_storage_network),"Value Missing",input_cluster_az1_secondary_storage_network)</f>
        <v>Value Missing</v>
      </c>
      <c r="K37" s="4" t="s">
        <v>2155</v>
      </c>
      <c r="L37" s="337" t="str">
        <f>IF(ISBLANK(input_mgmt_internet_proxy_email),"Value Missing",input_mgmt_internet_proxy_email)</f>
        <v>vcf</v>
      </c>
      <c r="N37" s="4" t="s">
        <v>536</v>
      </c>
      <c r="O37" s="337" t="str">
        <f>IF(ISBLANK('Configure Management Domain'!D45),"Value Missing",'Configure Management Domain'!D45)</f>
        <v>Value Missing</v>
      </c>
      <c r="Q37" s="184" t="s">
        <v>259</v>
      </c>
      <c r="R37" s="184" t="s">
        <v>277</v>
      </c>
      <c r="T37" s="361" t="s">
        <v>2156</v>
      </c>
      <c r="U37" s="337"/>
      <c r="V37" s="3"/>
      <c r="Z37" s="4" t="s">
        <v>2157</v>
      </c>
      <c r="AA37" s="337" t="str">
        <f>IF(ISBLANK(input_wld_witnessaz_mgmt_cidr),"Value Missing",VLOOKUP(INT(RIGHT(input_wld_witnessaz_mgmt_cidr,LEN(input_wld_witnessaz_mgmt_cidr)-FIND("/",input_wld_witnessaz_mgmt_cidr))),table_cidr_to_mask,2,FALSE))</f>
        <v>Value Missing</v>
      </c>
      <c r="AC37" s="4" t="s">
        <v>1993</v>
      </c>
      <c r="AD37" s="337" t="str">
        <f>'Value Reference Tables - MR'!I24</f>
        <v>Value Missing</v>
      </c>
      <c r="AE37" s="337" t="str">
        <f>'Value Reference Tables - MR'!I294</f>
        <v>Value Missing</v>
      </c>
    </row>
    <row r="38" spans="2:31" s="2" customFormat="1" ht="20.100000000000001" customHeight="1" x14ac:dyDescent="0.25">
      <c r="B38" s="4" t="s">
        <v>147</v>
      </c>
      <c r="C38" s="337" t="str">
        <f>IF(sddc_mgr_fqdn="Value Missing",sddc_mgr_fqdn,LEFT(sddc_mgr_fqdn,FIND(".",sddc_mgr_fqdn)-1))</f>
        <v>labvcfsddc01v</v>
      </c>
      <c r="E38" s="4" t="s">
        <v>2073</v>
      </c>
      <c r="F38" s="337" t="str">
        <f>IF(wld_nsxt_global_mgrc_fqdn="Value Missing",wld_nsxt_global_mgrc_fqdn,LEFT(wld_nsxt_global_mgrc_fqdn,FIND(".",wld_nsxt_global_mgrc_fqdn)-1))</f>
        <v>Value Missing</v>
      </c>
      <c r="H38" s="4" t="s">
        <v>732</v>
      </c>
      <c r="I38" s="337" t="str">
        <f>IF(ISBLANK(input_cluster_az1_secondary_storage_mask),"Value Missing",input_cluster_az1_secondary_storage_mask)</f>
        <v>Value Missing</v>
      </c>
      <c r="K38" s="4" t="s">
        <v>2158</v>
      </c>
      <c r="L38" s="337" t="str">
        <f>IF(ISBLANK(input_mgmt_internet_proxy_password),"Value Missing",input_mgmt_internet_proxy_password)</f>
        <v>VMware123!VMware123!</v>
      </c>
      <c r="N38" s="4" t="s">
        <v>549</v>
      </c>
      <c r="O38" s="337" t="str">
        <f>IF(ISBLANK('Configure Management Domain'!D61),"Value Missing",'Configure Management Domain'!D61)</f>
        <v>Value Missing</v>
      </c>
      <c r="Q38" s="17" t="s">
        <v>2159</v>
      </c>
      <c r="R38" s="337" t="str">
        <f>IF(ISBLANK('Deploy Management Domain'!L315),"Value Missing",'Deploy Management Domain'!L315)</f>
        <v>10.100.50.106</v>
      </c>
      <c r="T38" s="361" t="s">
        <v>2160</v>
      </c>
      <c r="U38" s="337" t="str">
        <f>IF(ISBLANK(input_k8s_vm_class),"Value Missing",input_k8s_vm_class)</f>
        <v>Value Missing</v>
      </c>
      <c r="V38" s="3"/>
      <c r="W38" s="384" t="s">
        <v>2161</v>
      </c>
      <c r="X38" s="389"/>
      <c r="Z38" s="4" t="s">
        <v>2162</v>
      </c>
      <c r="AA38" s="337" t="str">
        <f>IF(ISBLANK(input_mgmt_az1_uplink01_cidr),"Value Missing",VLOOKUP(INT(RIGHT(input_mgmt_az1_uplink01_cidr,LEN(input_mgmt_az1_uplink01_cidr)-FIND("/",input_mgmt_az1_uplink01_cidr))),table_cidr_to_mask,2,FALSE))</f>
        <v>Value Missing</v>
      </c>
      <c r="AC38" s="4" t="s">
        <v>1662</v>
      </c>
    </row>
    <row r="39" spans="2:31" s="2" customFormat="1" ht="20.100000000000001" customHeight="1" x14ac:dyDescent="0.25">
      <c r="B39" s="4" t="s">
        <v>2026</v>
      </c>
      <c r="C39" s="337" t="str">
        <f>IF(mgmt_vc_fqdn="Value Missing",mgmt_vc_fqdn,LEFT(mgmt_vc_fqdn,FIND(".",mgmt_vc_fqdn)-1))</f>
        <v>labvcvcf01v</v>
      </c>
      <c r="E39" s="4" t="s">
        <v>2078</v>
      </c>
      <c r="F39" s="337" t="str">
        <f>IF(wld_avilb_cluster_fqdn="Value Missing",wld_avilb_cluster_fqdn,LEFT(wld_avilb_cluster_fqdn,FIND(".",wld_avilb_cluster_fqdn)-1))</f>
        <v>Value Missing</v>
      </c>
      <c r="H39" s="4" t="s">
        <v>459</v>
      </c>
      <c r="I39" s="337" t="str">
        <f>IF(OR(cluster_az1_secondary_storage_network="Value Missing",cluster_az1_secondary_storage_mask="Value Missing"),"Value Missing",(CONCATENATE(cluster_az1_secondary_storage_network,"/",VLOOKUP(cluster_az1_secondary_storage_mask,table_mask_to_cidr,2,FALSE))))</f>
        <v>Value Missing</v>
      </c>
      <c r="K39" s="4" t="s">
        <v>2163</v>
      </c>
      <c r="L39" s="337" t="str">
        <f>IF(ISBLANK(input_xreg_vrops_collector_root_password),"Value Missing",input_xreg_vrops_collector_root_password)</f>
        <v>Value Missing</v>
      </c>
      <c r="N39" s="4" t="s">
        <v>544</v>
      </c>
      <c r="O39" s="337" t="str">
        <f>IF(ISBLANK('Configure Management Domain'!D58),"Value Missing",'Configure Management Domain'!D58)</f>
        <v>Value Missing</v>
      </c>
      <c r="Q39" s="17" t="s">
        <v>2164</v>
      </c>
      <c r="R39" s="337" t="str">
        <f>IF(ISBLANK('Deploy Management Domain'!L80),"Value Missing",'Deploy Management Domain'!L80)</f>
        <v>10.100.50.107</v>
      </c>
      <c r="T39" s="361" t="s">
        <v>1043</v>
      </c>
      <c r="U39" s="337" t="str">
        <f>CONCATENATE(IF(ISBLANK(input_region_dns1_ip),"Value Missing",region_dns1_ip),",",IF(ISBLANK(input_region_dns2_ip),"Value Missing",region_dns2_ip))</f>
        <v>10.255.50.26,Value Missing</v>
      </c>
      <c r="W39" s="166" t="s">
        <v>259</v>
      </c>
      <c r="X39" s="167" t="s">
        <v>277</v>
      </c>
      <c r="Z39" s="4" t="s">
        <v>2165</v>
      </c>
      <c r="AA39" s="337" t="str">
        <f>IF(ISBLANK(input_mgmt_az1_uplink02_cidr),"Value Missing",VLOOKUP(INT(RIGHT(input_mgmt_az1_uplink02_cidr,LEN(input_mgmt_az1_uplink02_cidr)-FIND("/",input_mgmt_az1_uplink02_cidr))),table_cidr_to_mask,2,FALSE))</f>
        <v>Value Missing</v>
      </c>
    </row>
    <row r="40" spans="2:31" s="2" customFormat="1" ht="20.100000000000001" customHeight="1" x14ac:dyDescent="0.25">
      <c r="B40" s="4" t="s">
        <v>2033</v>
      </c>
      <c r="C40" s="337" t="str">
        <f>IF(mgmt_nsxt_vip_fqdn="Value Missing",mgmt_nsxt_vip_fqdn,LEFT(mgmt_nsxt_vip_fqdn,FIND(".",mgmt_nsxt_vip_fqdn)-1))</f>
        <v>nsx</v>
      </c>
      <c r="H40" s="4" t="s">
        <v>399</v>
      </c>
      <c r="I40" s="337" t="str">
        <f>IF(ISBLANK(input_cluster_az1_secondary_storage_gateway_ip),"Value Missing",input_cluster_az1_secondary_storage_gateway_ip)</f>
        <v>Value Missing</v>
      </c>
      <c r="K40" s="4" t="s">
        <v>2166</v>
      </c>
      <c r="L40" s="337" t="str">
        <f>IF(ISBLANK(input_wld_esx_root_username),"Value Missing",input_wld_esx_root_username)</f>
        <v>Value Missing</v>
      </c>
      <c r="N40" s="4" t="s">
        <v>557</v>
      </c>
      <c r="O40" s="337" t="str">
        <f>IF(ISBLANK('Configure Management Domain'!D65),"Value Missing",'Configure Management Domain'!D65)</f>
        <v>Value Missing</v>
      </c>
      <c r="Q40" s="17" t="s">
        <v>2167</v>
      </c>
      <c r="R40" s="337" t="str">
        <f>IF(ISBLANK('Deploy Management Domain'!L81),"Value Missing",'Deploy Management Domain'!L81)</f>
        <v>10.100.50.108</v>
      </c>
      <c r="T40" s="361" t="s">
        <v>746</v>
      </c>
      <c r="U40" s="337" t="str">
        <f>IF(AND((NOT(ISBLANK(region_ntp2_server))),(region_ntp2_server &lt;&gt; "n/a"),(region_ntp2_server &lt;&gt; "")),CONCATENATE(region_ntp1_server,",",region_ntp2_server),region_ntp1_server)</f>
        <v>10.255.50.26,Value Missing</v>
      </c>
      <c r="W40" s="4" t="s">
        <v>728</v>
      </c>
      <c r="X40" s="337" t="str">
        <f>IF(ISBLANK(input_mgmt_witnessaz_mgmt_cidr),"Value Missing",input_mgmt_witnessaz_mgmt_cidr)</f>
        <v>Value Missing</v>
      </c>
      <c r="Z40" s="4" t="s">
        <v>2168</v>
      </c>
      <c r="AA40" s="337"/>
      <c r="AC40" s="384" t="s">
        <v>2169</v>
      </c>
      <c r="AD40" s="389"/>
      <c r="AE40" s="389"/>
    </row>
    <row r="41" spans="2:31" s="2" customFormat="1" ht="20.100000000000001" customHeight="1" x14ac:dyDescent="0.25">
      <c r="B41" s="4" t="s">
        <v>2039</v>
      </c>
      <c r="C41" s="337" t="str">
        <f>IF(mgmt_nsxt_mgra_fqdn="Value Missing",mgmt_nsxt_mgra_fqdn,LEFT(mgmt_nsxt_mgra_fqdn,FIND(".",mgmt_nsxt_mgra_fqdn)-1))</f>
        <v>labnsxmanager01v</v>
      </c>
      <c r="E41" s="578" t="s">
        <v>2170</v>
      </c>
      <c r="F41" s="582"/>
      <c r="H41" s="17" t="s">
        <v>460</v>
      </c>
      <c r="I41" s="337" t="str">
        <f>IF(ISBLANK(input_cluster_az1_secondary_storage_pool_start_ip),"Value Missing",input_cluster_az1_secondary_storage_pool_start_ip)</f>
        <v>Value Missing</v>
      </c>
      <c r="N41" s="4" t="s">
        <v>2115</v>
      </c>
      <c r="O41" s="337" t="str">
        <f>IF(ISBLANK(input_ca_email_address),"Value Missing",input_ca_email_address)</f>
        <v>Value Missing</v>
      </c>
      <c r="Q41" s="17" t="s">
        <v>2171</v>
      </c>
      <c r="R41" s="337" t="str">
        <f>IF(ISBLANK('Deploy Management Domain'!L82),"Value Missing",'Deploy Management Domain'!L82)</f>
        <v>10.100.50.109</v>
      </c>
      <c r="V41" s="3"/>
      <c r="Z41" s="4" t="s">
        <v>2172</v>
      </c>
      <c r="AA41" s="337"/>
      <c r="AC41" s="166" t="s">
        <v>259</v>
      </c>
      <c r="AD41" s="167" t="s">
        <v>1652</v>
      </c>
      <c r="AE41" s="167" t="s">
        <v>1943</v>
      </c>
    </row>
    <row r="42" spans="2:31" s="2" customFormat="1" ht="20.100000000000001" customHeight="1" x14ac:dyDescent="0.25">
      <c r="B42" s="4" t="s">
        <v>2046</v>
      </c>
      <c r="C42" s="337" t="str">
        <f>IF(mgmt_nsxt_mgrb_fqdn="Value Missing",mgmt_nsxt_mgrb_fqdn,LEFT(mgmt_nsxt_mgrb_fqdn,FIND(".",mgmt_nsxt_mgrb_fqdn)-1))</f>
        <v>labnsxmanager02v</v>
      </c>
      <c r="E42" s="336" t="s">
        <v>259</v>
      </c>
      <c r="F42" s="184" t="s">
        <v>277</v>
      </c>
      <c r="H42" s="17" t="s">
        <v>461</v>
      </c>
      <c r="I42" s="337" t="str">
        <f>IF(ISBLANK(input_cluster_az1_secondary_storage_pool_end_ip),"Value Missing",input_cluster_az1_secondary_storage_pool_end_ip)</f>
        <v>Value Missing</v>
      </c>
      <c r="K42" s="387" t="s">
        <v>2173</v>
      </c>
      <c r="L42" s="387"/>
      <c r="N42" s="4" t="s">
        <v>553</v>
      </c>
      <c r="O42" s="337" t="str">
        <f>IF(ISBLANK('Configure Management Domain'!D63),"Value Missing",'Configure Management Domain'!D63)</f>
        <v>Value Missing</v>
      </c>
      <c r="Q42" s="17" t="s">
        <v>2174</v>
      </c>
      <c r="R42" s="337" t="str">
        <f>IF(ISBLANK('Deploy Management Domain'!L83),"Value Missing",'Deploy Management Domain'!L83)</f>
        <v>10.100.50.110</v>
      </c>
      <c r="T42" s="575" t="s">
        <v>2175</v>
      </c>
      <c r="U42" s="577"/>
      <c r="V42" s="3"/>
      <c r="W42" s="384" t="s">
        <v>2176</v>
      </c>
      <c r="X42" s="389"/>
      <c r="Z42" s="4" t="s">
        <v>2177</v>
      </c>
      <c r="AA42" s="337" t="str">
        <f>IF(ISBLANK(input_wld_az1_mgmt_cidr),"Value Missing",VLOOKUP(INT(RIGHT(input_wld_az1_mgmt_cidr,LEN(input_wld_az1_mgmt_cidr)-FIND("/",input_wld_az1_mgmt_cidr))),table_cidr_to_mask,2,FALSE))</f>
        <v>Value Missing</v>
      </c>
      <c r="AC42" s="4" t="s">
        <v>1993</v>
      </c>
      <c r="AD42" s="337" t="str">
        <f>'Value Reference Tables - MR'!I86</f>
        <v>Value Missing</v>
      </c>
      <c r="AE42" s="337" t="str">
        <f>'Value Reference Tables - MR'!I339</f>
        <v>Value Missing</v>
      </c>
    </row>
    <row r="43" spans="2:31" s="2" customFormat="1" ht="20.100000000000001" customHeight="1" x14ac:dyDescent="0.25">
      <c r="B43" s="4" t="s">
        <v>2051</v>
      </c>
      <c r="C43" s="337" t="str">
        <f>IF(mgmt_nsxt_mgrc_fqdn="Value Missing",mgmt_nsxt_mgrc_fqdn,LEFT(mgmt_nsxt_mgrc_fqdn,FIND(".",mgmt_nsxt_mgrc_fqdn)-1))</f>
        <v>labnsxmanager03v</v>
      </c>
      <c r="E43" s="4" t="s">
        <v>2026</v>
      </c>
      <c r="F43" s="337" t="str">
        <f>IF(ISBLANK(input_wld_vc_fqdn),"Value Missing",input_wld_vc_fqdn)</f>
        <v>Value Missing</v>
      </c>
      <c r="H43" s="528" t="s">
        <v>1231</v>
      </c>
      <c r="I43" s="530"/>
      <c r="K43" s="166" t="s">
        <v>259</v>
      </c>
      <c r="L43" s="167" t="s">
        <v>277</v>
      </c>
      <c r="N43" s="4" t="s">
        <v>546</v>
      </c>
      <c r="O43" s="337" t="str">
        <f>IF(ISBLANK('Configure Management Domain'!D60),"Value Missing",'Configure Management Domain'!D60)</f>
        <v>Value Missing</v>
      </c>
      <c r="Q43" s="17" t="s">
        <v>347</v>
      </c>
      <c r="R43" s="337" t="str">
        <f>xreg_vra_k8s_cluster_cidr_chosen</f>
        <v>198.18.0.0/15</v>
      </c>
      <c r="T43" s="166" t="s">
        <v>259</v>
      </c>
      <c r="U43" s="167" t="s">
        <v>277</v>
      </c>
      <c r="V43" s="3"/>
      <c r="W43" s="166" t="s">
        <v>259</v>
      </c>
      <c r="X43" s="167" t="s">
        <v>277</v>
      </c>
      <c r="Z43" s="4" t="s">
        <v>2178</v>
      </c>
      <c r="AA43" s="337" t="str">
        <f>IF(ISBLANK(input_wld_witnessaz_mgmt_cidr),"Value Missing",VLOOKUP(INT(RIGHT(input_wld_witnessaz_mgmt_cidr,LEN(input_wld_witnessaz_mgmt_cidr)-FIND("/",input_wld_witnessaz_mgmt_cidr))),table_cidr_to_mask,2,FALSE))</f>
        <v>Value Missing</v>
      </c>
      <c r="AC43" s="4" t="s">
        <v>1662</v>
      </c>
      <c r="AE43" s="337" t="str">
        <f>IF(input_wld_az2_host_overlay_gateway_ip="DHCP","",IF(ISBLANK('Configure Workload Domain'!D217),"Value Missing",'Configure Workload Domain'!D217))</f>
        <v>Value Missing</v>
      </c>
    </row>
    <row r="44" spans="2:31" s="2" customFormat="1" ht="20.100000000000001" customHeight="1" x14ac:dyDescent="0.25">
      <c r="B44" s="4" t="s">
        <v>2057</v>
      </c>
      <c r="C44" s="337" t="str">
        <f>IF(mgmt_nsxt_gm_vip_fqdn="Value Missing",mgmt_nsxt_gm_vip_fqdn,LEFT(mgmt_nsxt_gm_vip_fqdn,FIND(".",mgmt_nsxt_gm_vip_fqdn)-1))</f>
        <v>Value Missing</v>
      </c>
      <c r="E44" s="4" t="s">
        <v>2033</v>
      </c>
      <c r="F44" s="337" t="str">
        <f>IF(ISBLANK(input_wld_nsxt_vip_fqdn),"Value Missing",input_wld_nsxt_vip_fqdn)</f>
        <v>Value Missing</v>
      </c>
      <c r="H44" s="4" t="s">
        <v>398</v>
      </c>
      <c r="I44" s="337" t="str">
        <f>IF(ISBLANK(input_cluster_az1_storage_cluster_vlan),"Value Missing",input_cluster_az1_storage_cluster_vlan)</f>
        <v>Value Missing</v>
      </c>
      <c r="K44" s="4" t="s">
        <v>2179</v>
      </c>
      <c r="L44" s="337" t="str">
        <f>IF(ISBLANK(input_region_ntp1_server),"Value Missing",input_region_ntp1_server)</f>
        <v>10.255.50.26</v>
      </c>
      <c r="N44" s="4" t="s">
        <v>2180</v>
      </c>
      <c r="O44" s="337" t="str">
        <f>IF(ISBLANK('Configure Management Domain'!D59),"Value Missing",'Configure Management Domain'!D59)</f>
        <v>Value Missing</v>
      </c>
      <c r="T44" s="361" t="s">
        <v>2181</v>
      </c>
      <c r="U44" s="337" t="str">
        <f>IF(ISBLANK(input_air_license),"Value Missing",input_air_license)</f>
        <v>Value Missing</v>
      </c>
      <c r="V44" s="3"/>
      <c r="W44" s="4" t="s">
        <v>728</v>
      </c>
      <c r="X44" s="337" t="str">
        <f>IF(ISBLANK(input_mgmt_witnessaz_mgmt_gateway_ip),"Value Missing",input_mgmt_witnessaz_mgmt_gateway_ip)</f>
        <v>Value Missing</v>
      </c>
      <c r="Z44" s="4" t="s">
        <v>2182</v>
      </c>
      <c r="AA44" s="337"/>
    </row>
    <row r="45" spans="2:31" s="2" customFormat="1" ht="20.100000000000001" customHeight="1" x14ac:dyDescent="0.25">
      <c r="B45" s="4" t="s">
        <v>2063</v>
      </c>
      <c r="C45" s="337" t="str">
        <f>IF(mgmt_nsxt_global_mgra_fqdn="Value Missing",mgmt_nsxt_global_mgra_fqdn,LEFT(mgmt_nsxt_global_mgra_fqdn,FIND(".",mgmt_nsxt_global_mgra_fqdn)-1))</f>
        <v>Value Missing</v>
      </c>
      <c r="E45" s="4" t="s">
        <v>2039</v>
      </c>
      <c r="F45" s="337" t="str">
        <f>IF(ISBLANK(input_wld_nsxt_mgra_fqdn),"Value Missing",input_wld_nsxt_mgra_fqdn)</f>
        <v>Value Missing</v>
      </c>
      <c r="H45" s="4" t="s">
        <v>401</v>
      </c>
      <c r="I45" s="337" t="str">
        <f>IF(ISBLANK(input_cluster_az1_storage_cluster_mtu),"Value Missing",input_cluster_az1_storage_cluster_mtu)</f>
        <v>Value Missing</v>
      </c>
      <c r="K45" s="4" t="s">
        <v>2183</v>
      </c>
      <c r="L45" s="337" t="str">
        <f>IF(ISBLANK(input_region_ntp2_server),"Value Missing",input_region_ntp2_server)</f>
        <v>Value Missing</v>
      </c>
      <c r="N45" s="4" t="s">
        <v>551</v>
      </c>
      <c r="O45" s="337" t="str">
        <f>IF(ISBLANK('Configure Management Domain'!D62),"Value Missing",'Configure Management Domain'!D62)</f>
        <v>Value Missing</v>
      </c>
      <c r="T45" s="4" t="s">
        <v>2184</v>
      </c>
      <c r="U45" s="337" t="str">
        <f>IF(ISBLANK(input_air_GPU_VM_class),"Value Missing",input_air_GPU_VM_class)</f>
        <v>Value Missing</v>
      </c>
      <c r="V45" s="3"/>
      <c r="Z45" s="4" t="s">
        <v>2185</v>
      </c>
      <c r="AA45" s="337"/>
      <c r="AC45" s="384" t="s">
        <v>2186</v>
      </c>
      <c r="AD45" s="389"/>
      <c r="AE45" s="389"/>
    </row>
    <row r="46" spans="2:31" s="2" customFormat="1" ht="20.100000000000001" customHeight="1" x14ac:dyDescent="0.25">
      <c r="B46" s="4" t="s">
        <v>2068</v>
      </c>
      <c r="C46" s="337" t="str">
        <f>IF(mgmt_nsxt_global_mgrb_fqdn="Value Missing",mgmt_nsxt_global_mgrb_fqdn,LEFT(mgmt_nsxt_global_mgrb_fqdn,FIND(".",mgmt_nsxt_global_mgrb_fqdn)-1))</f>
        <v>Value Missing</v>
      </c>
      <c r="E46" s="4" t="s">
        <v>2046</v>
      </c>
      <c r="F46" s="337" t="str">
        <f>IF(ISBLANK(input_wld_nsxt_mgrb_fqdn),"Value Missing",input_wld_nsxt_mgrb_fqdn)</f>
        <v>Value Missing</v>
      </c>
      <c r="H46" s="4" t="s">
        <v>706</v>
      </c>
      <c r="I46" s="337" t="str">
        <f>IF(ISBLANK(input_cluster_az1_storage_cluster_network),"Value Missing",input_cluster_az1_storage_cluster_network)</f>
        <v>Value Missing</v>
      </c>
      <c r="K46" s="4" t="s">
        <v>2187</v>
      </c>
      <c r="L46" s="337"/>
      <c r="N46" s="4" t="s">
        <v>516</v>
      </c>
      <c r="O46" s="337" t="str">
        <f>IF(ISBLANK('Configure Management Domain'!D22),"Value Missing",'Configure Management Domain'!D22)</f>
        <v>Value Missing</v>
      </c>
      <c r="Q46" s="580" t="s">
        <v>2188</v>
      </c>
      <c r="R46" s="581"/>
      <c r="T46" s="17" t="s">
        <v>2189</v>
      </c>
      <c r="U46" s="337" t="str">
        <f>IF(ISBLANK(input_air_GPU_operator_namespace),"Value Missing",input_air_GPU_operator_namespace)</f>
        <v>Value Missing</v>
      </c>
      <c r="V46" s="3"/>
      <c r="W46" s="384" t="s">
        <v>2190</v>
      </c>
      <c r="X46" s="389"/>
      <c r="Z46" s="4" t="s">
        <v>2191</v>
      </c>
      <c r="AA46" s="337" t="str">
        <f>IF(ISBLANK(input_wld_az1_uplink01_cidr),"Value Missing",VLOOKUP(INT(RIGHT(input_wld_az1_uplink01_cidr,LEN(input_wld_az1_uplink01_cidr)-FIND("/",input_wld_az1_uplink01_cidr))),table_cidr_to_mask,2,FALSE))</f>
        <v>Value Missing</v>
      </c>
      <c r="AC46" s="166" t="s">
        <v>259</v>
      </c>
      <c r="AD46" s="167" t="s">
        <v>1652</v>
      </c>
      <c r="AE46" s="167" t="s">
        <v>1943</v>
      </c>
    </row>
    <row r="47" spans="2:31" s="2" customFormat="1" ht="20.100000000000001" customHeight="1" x14ac:dyDescent="0.25">
      <c r="B47" s="4" t="s">
        <v>2073</v>
      </c>
      <c r="C47" s="337" t="str">
        <f>IF(mgmt_nsxt_global_mgrc_fqdn="Value Missing",mgmt_nsxt_global_mgrc_fqdn,LEFT(mgmt_nsxt_global_mgrc_fqdn,FIND(".",mgmt_nsxt_global_mgrc_fqdn)-1))</f>
        <v>Value Missing</v>
      </c>
      <c r="E47" s="4" t="s">
        <v>2051</v>
      </c>
      <c r="F47" s="337" t="str">
        <f>IF(ISBLANK(input_wld_nsxt_mgrc_fqdn),"Value Missing",input_wld_nsxt_mgrc_fqdn)</f>
        <v>Value Missing</v>
      </c>
      <c r="H47" s="4" t="s">
        <v>732</v>
      </c>
      <c r="I47" s="337" t="str">
        <f>IF(ISBLANK(input_cluster_az1_storage_cluster_mask),"Value Missing",input_cluster_az1_storage_cluster_mask)</f>
        <v>Value Missing</v>
      </c>
      <c r="K47" s="4" t="s">
        <v>2192</v>
      </c>
      <c r="L47" s="337" t="str">
        <f>IF(ISBLANK(input_xregion_ntp1_server),"Value Missing",input_xregion_ntp1_server)</f>
        <v>Value Missing</v>
      </c>
      <c r="N47" s="4" t="s">
        <v>288</v>
      </c>
      <c r="O47" s="337" t="str">
        <f>IF(ISBLANK('Configure Management Domain'!D23),"Value Missing",'Configure Management Domain'!D23)</f>
        <v>Value Missing</v>
      </c>
      <c r="Q47" s="184" t="s">
        <v>259</v>
      </c>
      <c r="R47" s="184" t="s">
        <v>277</v>
      </c>
      <c r="T47" s="4" t="s">
        <v>2193</v>
      </c>
      <c r="U47" s="337" t="str">
        <f>IF(ISBLANK(input_air_GPU_network_operator_namespace),"Value Missing",input_air_GPU_network_operator_namespace)</f>
        <v>Value Missing</v>
      </c>
      <c r="V47" s="3"/>
      <c r="W47" s="166" t="s">
        <v>259</v>
      </c>
      <c r="X47" s="167" t="s">
        <v>277</v>
      </c>
      <c r="Z47" s="4" t="s">
        <v>2194</v>
      </c>
      <c r="AA47" s="337" t="str">
        <f>IF(ISBLANK(input_wld_az1_uplink02_cidr),"Value Missing",VLOOKUP(INT(RIGHT(input_wld_az1_uplink02_cidr,LEN(input_wld_az1_uplink02_cidr)-FIND("/",input_wld_az1_uplink02_cidr))),table_cidr_to_mask,2,FALSE))</f>
        <v>Value Missing</v>
      </c>
      <c r="AC47" s="4" t="s">
        <v>1993</v>
      </c>
      <c r="AD47" s="337" t="str">
        <f>'Value Reference Tables - MR'!I70</f>
        <v>Value Missing</v>
      </c>
      <c r="AE47" s="337" t="str">
        <f>'Value Reference Tables - MR'!I354</f>
        <v>Value Missing</v>
      </c>
    </row>
    <row r="48" spans="2:31" s="2" customFormat="1" ht="20.100000000000001" customHeight="1" x14ac:dyDescent="0.25">
      <c r="B48" s="4" t="s">
        <v>2078</v>
      </c>
      <c r="C48" s="337" t="str">
        <f>IF(mgmt_avilb_fqdn="Value Missing",mgmt_avilb_fqdn,LEFT(mgmt_avilb_fqdn,FIND(".",mgmt_avilb_fqdn)-1))</f>
        <v>Value Missing</v>
      </c>
      <c r="E48" s="4" t="s">
        <v>2057</v>
      </c>
      <c r="F48" s="337" t="str">
        <f>IF(ISBLANK(input_wld_nsxt_gm_vip_fqdn),"Value Missing",input_wld_nsxt_gm_vip_fqdn)</f>
        <v>Value Missing</v>
      </c>
      <c r="H48" s="4" t="s">
        <v>459</v>
      </c>
      <c r="I48" s="337" t="str">
        <f>IF(OR(cluster_az1_storage_cluster_network="Value Missing",cluster_az1_storage_cluster_mask="Value Missing"),"Value Missing",(CONCATENATE(cluster_az1_storage_cluster_network,"/",VLOOKUP(cluster_az1_storage_cluster_mask,table_mask_to_cidr,2,FALSE))))</f>
        <v>Value Missing</v>
      </c>
      <c r="K48" s="4" t="s">
        <v>2195</v>
      </c>
      <c r="L48" s="337" t="str">
        <f>IF(AND((OR((spr_chosen="Management Only"),(spr_chosen="Management &amp; VI Workload"))),(ISBLANK(input_xregion_ntp2_server))),"Value Missing",IF(ISBLANK(input_xregion_ntp2_server),"",input_xregion_ntp2_server))</f>
        <v/>
      </c>
      <c r="N48" s="4" t="s">
        <v>2196</v>
      </c>
      <c r="O48" s="337" t="str">
        <f>IF(ISBLANK('Configure Management Domain'!D24),"Value Missing",'Configure Management Domain'!D24)</f>
        <v>Value Missing</v>
      </c>
      <c r="Q48" s="17" t="s">
        <v>2159</v>
      </c>
      <c r="R48" s="337" t="str">
        <f>IF(xreg_vra_virtual_fqdn="Value Missing",xreg_vra_virtual_fqdn,LEFT(xreg_vra_virtual_fqdn,FIND(".",xreg_vra_virtual_fqdn)-1))</f>
        <v>labvcfa01v</v>
      </c>
      <c r="V48" s="3"/>
      <c r="W48" s="4" t="s">
        <v>728</v>
      </c>
      <c r="X48" s="337" t="str">
        <f>IF(ISBLANK(input_mgmt_witnessaz_mgmt_mtu),"Value Missing",input_mgmt_witnessaz_mgmt_mtu)</f>
        <v>Value Missing</v>
      </c>
      <c r="Z48" s="4" t="s">
        <v>2108</v>
      </c>
      <c r="AA48" s="337"/>
    </row>
    <row r="49" spans="2:27" s="2" customFormat="1" ht="20.100000000000001" customHeight="1" x14ac:dyDescent="0.25">
      <c r="B49" s="4" t="s">
        <v>2197</v>
      </c>
      <c r="C49" s="337" t="str">
        <f>IF(flt_vidb_vip_fqdn="Value Missing",flt_vidb_vip_fqdn,LEFT(flt_vidb_vip_fqdn,FIND(".",flt_vidb_vip_fqdn)-1))</f>
        <v>Value Missing</v>
      </c>
      <c r="E49" s="4" t="s">
        <v>2063</v>
      </c>
      <c r="F49" s="337" t="str">
        <f>IF(ISBLANK(input_wld_nsxt_global_mgra_fqdn),"Value Missing",input_wld_nsxt_global_mgra_fqdn)</f>
        <v>Value Missing</v>
      </c>
      <c r="H49" s="4" t="s">
        <v>399</v>
      </c>
      <c r="I49" s="337" t="str">
        <f>IF(ISBLANK(input_cluster_az1_storage_cluster_gateway_ip),"Value Missing",input_cluster_az1_storage_cluster_gateway_ip)</f>
        <v>Value Missing</v>
      </c>
      <c r="K49" s="4" t="s">
        <v>2198</v>
      </c>
      <c r="L49" s="337" t="str">
        <f>IF(ISBLANK('Configure Management Domain'!D326),"Value Missing",'Configure Management Domain'!D326)</f>
        <v>Value Missing</v>
      </c>
      <c r="N49" s="4" t="s">
        <v>520</v>
      </c>
      <c r="O49" s="337" t="str">
        <f>IF(ISBLANK('Configure Management Domain'!D26),"Value Missing",'Configure Management Domain'!D26)</f>
        <v>Value Missing</v>
      </c>
      <c r="V49" s="3"/>
      <c r="Z49" s="4" t="s">
        <v>2199</v>
      </c>
      <c r="AA49" s="337"/>
    </row>
    <row r="50" spans="2:27" s="2" customFormat="1" ht="20.100000000000001" customHeight="1" x14ac:dyDescent="0.25">
      <c r="E50" s="4" t="s">
        <v>2068</v>
      </c>
      <c r="F50" s="337" t="str">
        <f t="array" ref="F50">IF(ISBLANK(input_wld_nsxt_global_mgrb_fqdn),"Value Missing",input_wld_nsxt_global_mgrb_fqdn)</f>
        <v>Value Missing</v>
      </c>
      <c r="H50" s="17" t="s">
        <v>460</v>
      </c>
      <c r="I50" s="337" t="str">
        <f>IF(ISBLANK(input_cluster_az1_storage_cluster_pool_start_ip),"Value Missing",input_cluster_az1_storage_cluster_pool_start_ip)</f>
        <v>Value Missing</v>
      </c>
      <c r="K50" s="4" t="s">
        <v>2198</v>
      </c>
      <c r="L50" s="337" t="str">
        <f>IF(ISBLANK('Configure Management Domain'!D327),"Value Missing",'Configure Management Domain'!D327)</f>
        <v>Value Missing</v>
      </c>
      <c r="N50" s="4" t="s">
        <v>2200</v>
      </c>
      <c r="O50" s="337" t="str">
        <f>IF(ISBLANK('Configure Management Domain'!D27),"Value Missing",'Configure Management Domain'!D27)</f>
        <v>Value Missing</v>
      </c>
      <c r="Q50" s="580" t="s">
        <v>2201</v>
      </c>
      <c r="R50" s="581"/>
      <c r="T50" s="575" t="s">
        <v>2202</v>
      </c>
      <c r="U50" s="577"/>
      <c r="V50" s="3"/>
      <c r="W50" s="384" t="s">
        <v>2203</v>
      </c>
      <c r="X50" s="389"/>
      <c r="Z50" s="4" t="s">
        <v>2204</v>
      </c>
      <c r="AA50" s="337" t="str">
        <f>IF(ISBLANK(input_wld_az1_vrms_cidr),"Value Missing",VLOOKUP(INT(RIGHT(input_wld_az1_vrms_cidr,LEN(input_wld_az1_vrms_cidr)-FIND("/",input_wld_az1_vrms_cidr))),table_cidr_to_mask,2,FALSE))</f>
        <v>Value Missing</v>
      </c>
    </row>
    <row r="51" spans="2:27" s="2" customFormat="1" ht="20.100000000000001" customHeight="1" x14ac:dyDescent="0.25">
      <c r="B51" s="385" t="s">
        <v>2205</v>
      </c>
      <c r="C51" s="386"/>
      <c r="E51" s="4" t="s">
        <v>2073</v>
      </c>
      <c r="F51" s="337" t="str">
        <f>IF(ISBLANK(input_wld_nsxt_global_mgrc_fqdn),"Value Missing",input_wld_nsxt_global_mgrc_fqdn)</f>
        <v>Value Missing</v>
      </c>
      <c r="H51" s="17" t="s">
        <v>461</v>
      </c>
      <c r="I51" s="337" t="str">
        <f>IF(ISBLANK(input_cluster_az1_storage_cluster_pool_end_ip),"Value Missing",input_cluster_az1_storage_cluster_pool_end_ip)</f>
        <v>Value Missing</v>
      </c>
      <c r="K51" s="4" t="s">
        <v>2206</v>
      </c>
      <c r="L51" s="337" t="str">
        <f>IF(ISBLANK(input_region_dns1_ip),"Value Missing",input_region_dns1_ip)</f>
        <v>10.255.50.26</v>
      </c>
      <c r="N51" s="4" t="s">
        <v>524</v>
      </c>
      <c r="O51" s="337" t="str">
        <f>IF(ISBLANK('Configure Management Domain'!D28),"Value Missing",'Configure Management Domain'!D28)</f>
        <v>Value Missing</v>
      </c>
      <c r="Q51" s="184" t="s">
        <v>259</v>
      </c>
      <c r="R51" s="184" t="s">
        <v>277</v>
      </c>
      <c r="T51" s="166" t="s">
        <v>259</v>
      </c>
      <c r="U51" s="167" t="s">
        <v>277</v>
      </c>
      <c r="W51" s="166" t="s">
        <v>259</v>
      </c>
      <c r="X51" s="167" t="s">
        <v>277</v>
      </c>
      <c r="Z51" s="4" t="s">
        <v>2207</v>
      </c>
    </row>
    <row r="52" spans="2:27" s="2" customFormat="1" ht="20.100000000000001" customHeight="1" x14ac:dyDescent="0.25">
      <c r="B52" s="336" t="s">
        <v>259</v>
      </c>
      <c r="C52" s="336" t="s">
        <v>277</v>
      </c>
      <c r="E52" s="4" t="s">
        <v>2208</v>
      </c>
      <c r="F52" s="337" t="str">
        <f>IF(ISBLANK(input_wld_az1_en1_fqdn),"Value Missing",input_wld_az1_en1_fqdn)</f>
        <v>Value Missing</v>
      </c>
      <c r="H52" s="528" t="s">
        <v>2209</v>
      </c>
      <c r="I52" s="530"/>
      <c r="K52" s="4" t="s">
        <v>2210</v>
      </c>
      <c r="L52" s="337" t="str">
        <f>IF(ISBLANK(input_region_dns2_ip),"Value Missing",input_region_dns2_ip)</f>
        <v>Value Missing</v>
      </c>
      <c r="N52" s="17" t="s">
        <v>2211</v>
      </c>
      <c r="O52" s="337" t="s">
        <v>357</v>
      </c>
      <c r="Q52" s="17" t="s">
        <v>2159</v>
      </c>
      <c r="R52" s="337" t="str">
        <f>IF(ISBLANK(input_xreg_vra_virtual_fqdn),"Value Missing",input_xreg_vra_virtual_fqdn)</f>
        <v>labvcfa01v.vcf.lab.local</v>
      </c>
      <c r="T52" s="4" t="s">
        <v>2212</v>
      </c>
      <c r="U52" s="337" t="str">
        <f>IF(ISBLANK(input_mgmt_srm_recovery_sddc_manager_fqdn),"Value Missing",input_mgmt_srm_recovery_sddc_manager_fqdn)</f>
        <v>Value Missing</v>
      </c>
      <c r="W52" s="4" t="s">
        <v>728</v>
      </c>
      <c r="X52" s="337" t="str">
        <f>IF(ISBLANK(input_wld_witnessaz_mgmt_vlan),"Value Missing",input_wld_witnessaz_mgmt_vlan)</f>
        <v>Value Missing</v>
      </c>
      <c r="Z52" s="4" t="s">
        <v>2213</v>
      </c>
    </row>
    <row r="53" spans="2:27" s="2" customFormat="1" ht="20.100000000000001" customHeight="1" x14ac:dyDescent="0.25">
      <c r="B53" s="4" t="s">
        <v>2025</v>
      </c>
      <c r="C53" s="337" t="str">
        <f>IF(ISBLANK(input_vcf_installer_fqdn),"Value Missing",input_vcf_installer_fqdn)</f>
        <v>Value Missing</v>
      </c>
      <c r="E53" s="4" t="s">
        <v>2214</v>
      </c>
      <c r="F53" s="337" t="str">
        <f>IF(ISBLANK(input_wld_az1_en2_fqdn),"Value Missing",input_wld_az1_en2_fqdn)</f>
        <v>Value Missing</v>
      </c>
      <c r="H53" s="17" t="s">
        <v>686</v>
      </c>
      <c r="I53" s="337" t="str">
        <f>IF(ISBLANK(input_cluster_az1_host1_mgmt_ip),"Value Missing",input_cluster_az1_host1_mgmt_ip)</f>
        <v>Value Missing</v>
      </c>
      <c r="K53" s="4" t="s">
        <v>2215</v>
      </c>
      <c r="L53" s="337" t="str">
        <f>IF(ISBLANK(Arkham!C13),"Value Missing",Arkham!C13)</f>
        <v>Value Missing</v>
      </c>
      <c r="N53" s="17" t="s">
        <v>2216</v>
      </c>
      <c r="O53" s="337" t="str">
        <f>CONCATENATE(mgmt_cl01_cluster,"_primary-az-vmgroup")</f>
        <v>vcf-mgmt-cluster01_primary-az-vmgroup</v>
      </c>
      <c r="T53" s="4" t="s">
        <v>2217</v>
      </c>
      <c r="U53" s="337" t="str">
        <f>IF(ISBLANK(input_mgmt_srm_recovery_sddc_manager_username),"Value Missing",input_mgmt_srm_recovery_sddc_manager_username)</f>
        <v>Value Missing</v>
      </c>
      <c r="V53" s="3"/>
      <c r="Z53" s="4" t="s">
        <v>2218</v>
      </c>
    </row>
    <row r="54" spans="2:27" s="2" customFormat="1" ht="20.100000000000001" customHeight="1" x14ac:dyDescent="0.25">
      <c r="B54" s="4" t="s">
        <v>147</v>
      </c>
      <c r="C54" s="337" t="str">
        <f>IF(ISBLANK(input_sddc_mgr_fqdn),"Value Missing",input_sddc_mgr_fqdn)</f>
        <v>labvcfsddc01v.vcf.lab.local</v>
      </c>
      <c r="E54" s="4" t="s">
        <v>2078</v>
      </c>
      <c r="F54" s="337" t="str">
        <f>IF(ISBLANK(input_wld_avilb_cluster_fqdn),"Value Missing",input_wld_avilb_cluster_fqdn)</f>
        <v>Value Missing</v>
      </c>
      <c r="H54" s="17" t="s">
        <v>687</v>
      </c>
      <c r="I54" s="337" t="str">
        <f>IF(ISBLANK(input_cluster_az1_host2_mgmt_ip),"Value Missing",input_cluster_az1_host2_mgmt_ip)</f>
        <v>Value Missing</v>
      </c>
      <c r="K54" s="4" t="s">
        <v>2219</v>
      </c>
      <c r="L54" s="337" t="str">
        <f>IF(ISBLANK(Arkham!C14),"Value Missing",Arkham!C14)</f>
        <v>Value Missing</v>
      </c>
      <c r="N54" s="4" t="s">
        <v>2220</v>
      </c>
      <c r="O54" s="337" t="str">
        <f>IF(ISBLANK(mgmt_internet_proxy_type_chosen),"Value Missing",mgmt_internet_proxy_type_chosen)</f>
        <v>HTTPS</v>
      </c>
      <c r="Q54" s="387" t="s">
        <v>2221</v>
      </c>
      <c r="R54" s="389"/>
      <c r="T54" s="4" t="s">
        <v>2222</v>
      </c>
      <c r="U54" s="337" t="str">
        <f>IF(ISBLANK(input_mgmt_srm_recovery_sddc_manager_password),"Value Missing",input_mgmt_srm_recovery_sddc_manager_password)</f>
        <v>Value Missing</v>
      </c>
      <c r="V54" s="3"/>
      <c r="W54" s="387" t="s">
        <v>2223</v>
      </c>
      <c r="X54" s="387"/>
      <c r="Z54" s="4" t="s">
        <v>2224</v>
      </c>
    </row>
    <row r="55" spans="2:27" s="2" customFormat="1" ht="20.100000000000001" customHeight="1" x14ac:dyDescent="0.25">
      <c r="B55" s="4" t="s">
        <v>2026</v>
      </c>
      <c r="C55" s="337" t="str">
        <f>IF(ISBLANK(input_mgmt_vc_fqdn),"Value Missing",input_mgmt_vc_fqdn)</f>
        <v>labvcvcf01v.vcf.lab.local</v>
      </c>
      <c r="H55" s="17" t="s">
        <v>688</v>
      </c>
      <c r="I55" s="337" t="str">
        <f>IF(ISBLANK(input_cluster_az1_host3_mgmt_ip),"Value Missing",input_cluster_az1_host3_mgmt_ip)</f>
        <v>Value Missing</v>
      </c>
      <c r="K55" s="4" t="s">
        <v>2225</v>
      </c>
      <c r="L55" s="337" t="str">
        <f>IF(ISBLANK('Configure Management Domain'!D324),"Value Missing",'Configure Management Domain'!D324)</f>
        <v>Value Missing</v>
      </c>
      <c r="N55" s="4" t="s">
        <v>290</v>
      </c>
      <c r="O55" s="337" t="str">
        <f>IF(ISBLANK(input_mgmt_internet_proxy_address),"Value Missing",input_mgmt_internet_proxy_address)</f>
        <v>labproxy01p</v>
      </c>
      <c r="Q55" s="166" t="s">
        <v>259</v>
      </c>
      <c r="R55" s="167" t="s">
        <v>277</v>
      </c>
      <c r="T55" s="4" t="s">
        <v>2226</v>
      </c>
      <c r="U55" s="337" t="s">
        <v>267</v>
      </c>
      <c r="V55" s="3"/>
      <c r="W55" s="166" t="s">
        <v>259</v>
      </c>
      <c r="X55" s="167" t="s">
        <v>277</v>
      </c>
    </row>
    <row r="56" spans="2:27" s="2" customFormat="1" ht="20.100000000000001" customHeight="1" x14ac:dyDescent="0.25">
      <c r="B56" s="4" t="s">
        <v>2033</v>
      </c>
      <c r="C56" s="337" t="str">
        <f>IF(ISBLANK(input_mgmt_nsxt_vip_fqdn),"Value Missing",input_mgmt_nsxt_vip_fqdn)</f>
        <v>nsx.vcf.lab.local</v>
      </c>
      <c r="E56" s="385" t="s">
        <v>2227</v>
      </c>
      <c r="F56" s="386"/>
      <c r="H56" s="17" t="s">
        <v>689</v>
      </c>
      <c r="I56" s="337" t="str">
        <f>IF(ISBLANK(input_cluster_az1_host4_mgmt_ip),"Value Missing",input_cluster_az1_host4_mgmt_ip)</f>
        <v>Value Missing</v>
      </c>
      <c r="K56" s="4" t="s">
        <v>2228</v>
      </c>
      <c r="L56" s="337" t="str">
        <f>IF(ISBLANK('Configure Management Domain'!D325),"Value Missing",'Configure Management Domain'!D325)</f>
        <v>Value Missing</v>
      </c>
      <c r="N56" s="4" t="s">
        <v>2229</v>
      </c>
      <c r="O56" s="337">
        <f>IF(ISBLANK(input_mgmt_internet_proxy_port),"Value Missing",input_mgmt_internet_proxy_port)</f>
        <v>8888</v>
      </c>
      <c r="Q56" s="17" t="s">
        <v>2230</v>
      </c>
      <c r="R56" s="337"/>
      <c r="T56" s="4" t="s">
        <v>2231</v>
      </c>
      <c r="U56" s="337" t="s">
        <v>267</v>
      </c>
      <c r="V56" s="3"/>
      <c r="W56" s="4" t="s">
        <v>728</v>
      </c>
      <c r="X56" s="337" t="str">
        <f>IF(ISBLANK('Configure Workload Domain'!D271),"Value Missing",'Configure Workload Domain'!D271)</f>
        <v>Value Missing</v>
      </c>
      <c r="Z56" s="575" t="s">
        <v>1651</v>
      </c>
      <c r="AA56" s="577"/>
    </row>
    <row r="57" spans="2:27" s="2" customFormat="1" ht="20.100000000000001" customHeight="1" x14ac:dyDescent="0.25">
      <c r="B57" s="4" t="s">
        <v>2039</v>
      </c>
      <c r="C57" s="337" t="str">
        <f>IF(ISBLANK(input_mgmt_nsxt_mgra_fqdn),"Value Missing",input_mgmt_nsxt_mgra_fqdn)</f>
        <v>labnsxmanager01v.vcf.lab.local</v>
      </c>
      <c r="E57" s="336" t="s">
        <v>259</v>
      </c>
      <c r="F57" s="184" t="s">
        <v>277</v>
      </c>
      <c r="H57" s="17" t="s">
        <v>690</v>
      </c>
      <c r="I57" s="337" t="str">
        <f>IF(ISBLANK(input_cluster_az1_host5_mgmt_ip),"Value Missing",input_cluster_az1_host5_mgmt_ip)</f>
        <v>Value Missing</v>
      </c>
      <c r="K57" s="4" t="s">
        <v>2232</v>
      </c>
      <c r="L57" s="337" t="str">
        <f>IF(ISBLANK(Arkham!C15),"Value Missing",Arkham!C15)</f>
        <v>Value Missing</v>
      </c>
      <c r="N57" s="4" t="s">
        <v>1666</v>
      </c>
      <c r="O57" s="337" t="str">
        <f>mgmt_internet_proxy_auth_chosen</f>
        <v>Selected</v>
      </c>
      <c r="Q57" s="17" t="s">
        <v>2233</v>
      </c>
      <c r="R57" s="337"/>
      <c r="T57" s="4" t="s">
        <v>2234</v>
      </c>
      <c r="U57" s="337" t="str">
        <f>IF(ISBLANK(input_xreg_vrops_vrms_sso_username),"Value Missing",input_xreg_vrops_vrms_sso_username)</f>
        <v>Value Missing</v>
      </c>
      <c r="V57" s="3"/>
      <c r="Z57" s="166" t="s">
        <v>259</v>
      </c>
      <c r="AA57" s="167" t="s">
        <v>277</v>
      </c>
    </row>
    <row r="58" spans="2:27" s="2" customFormat="1" ht="20.100000000000001" customHeight="1" x14ac:dyDescent="0.25">
      <c r="B58" s="4" t="s">
        <v>2046</v>
      </c>
      <c r="C58" s="337" t="str">
        <f>IF(ISBLANK(input_mgmt_nsxt_mgrb_fqdn),"Value Missing",input_mgmt_nsxt_mgrb_fqdn)</f>
        <v>labnsxmanager02v.vcf.lab.local</v>
      </c>
      <c r="E58" s="361" t="s">
        <v>2026</v>
      </c>
      <c r="F58" s="337" t="str">
        <f>(CONCATENATE('Value Reference Tables'!F106,".",(IF(ISBLANK(Arkham!C$11),"Value Missing",Arkham!C$11))))</f>
        <v>Value Missing.Value Missing</v>
      </c>
      <c r="H58" s="17" t="s">
        <v>691</v>
      </c>
      <c r="I58" s="337" t="str">
        <f>IF(ISBLANK(input_cluster_az1_host6_mgmt_ip),"Value Missing",input_cluster_az1_host6_mgmt_ip)</f>
        <v>Value Missing</v>
      </c>
      <c r="K58" s="4" t="s">
        <v>2235</v>
      </c>
      <c r="L58" s="337" t="str">
        <f>IF(ISBLANK('Configure Management Domain'!D33),"Value Missing",'Configure Management Domain'!D33)</f>
        <v>Value Missing</v>
      </c>
      <c r="N58" s="4" t="s">
        <v>2236</v>
      </c>
      <c r="O58" s="337" t="str">
        <f>IF(ISBLANK(input_mgmt_offline_depot_fqdn),"Value Missing",input_mgmt_offline_depot_fqdn)</f>
        <v>labproxy01p</v>
      </c>
      <c r="Q58" s="17" t="s">
        <v>2237</v>
      </c>
      <c r="R58" s="337"/>
      <c r="T58" s="4" t="s">
        <v>2238</v>
      </c>
      <c r="U58" s="337" t="str">
        <f>IF(ISBLANK(input_xreg_vrops_vrms_sso_password),"Value Missing",input_xreg_vrops_vrms_sso_password)</f>
        <v>Value Missing</v>
      </c>
      <c r="V58" s="3"/>
      <c r="W58" s="387" t="s">
        <v>2239</v>
      </c>
      <c r="X58" s="387"/>
      <c r="Z58" s="4"/>
    </row>
    <row r="59" spans="2:27" s="2" customFormat="1" ht="20.100000000000001" customHeight="1" x14ac:dyDescent="0.25">
      <c r="B59" s="4" t="s">
        <v>2051</v>
      </c>
      <c r="C59" s="337" t="str">
        <f>IF(ISBLANK(input_mgmt_nsxt_mgrc_fqdn),"Value Missing",input_mgmt_nsxt_mgrc_fqdn)</f>
        <v>labnsxmanager03v.vcf.lab.local</v>
      </c>
      <c r="E59" s="361" t="s">
        <v>726</v>
      </c>
      <c r="F59" s="337" t="str">
        <f>IF(ISBLANK(input_wld_witness_fqdn),"Value Missing",input_wld_witness_fqdn)</f>
        <v>Value Missing</v>
      </c>
      <c r="H59" s="17" t="s">
        <v>692</v>
      </c>
      <c r="I59" s="337" t="str">
        <f>IF(ISBLANK(input_cluster_az1_host7_mgmt_ip),"Value Missing",input_cluster_az1_host7_mgmt_ip)</f>
        <v>Value Missing</v>
      </c>
      <c r="K59" s="4" t="s">
        <v>2240</v>
      </c>
      <c r="L59" s="337" t="str">
        <f>IF(ISBLANK('Configure Management Domain'!D67),"Value Missing",'Configure Management Domain'!D67)</f>
        <v>Value Missing</v>
      </c>
      <c r="N59" s="4" t="s">
        <v>2241</v>
      </c>
      <c r="O59" s="337">
        <f t="array" ref="O59">IF(ISBLANK(input_mgmt_offline_depot_port),"Value Missing",input_mgmt_offline_depot_port)</f>
        <v>8888</v>
      </c>
      <c r="Q59" s="17" t="s">
        <v>2242</v>
      </c>
      <c r="R59" s="337"/>
      <c r="T59" s="4" t="s">
        <v>2243</v>
      </c>
      <c r="U59" s="337" t="str">
        <f>IF(ISBLANK(input_xreg_vrops_srm_sso_username),"Value Missing",input_xreg_vrops_srm_sso_username)</f>
        <v>Value Missing</v>
      </c>
      <c r="V59" s="3"/>
      <c r="W59" s="166" t="s">
        <v>259</v>
      </c>
      <c r="X59" s="167" t="s">
        <v>277</v>
      </c>
      <c r="Z59" s="4" t="s">
        <v>2244</v>
      </c>
      <c r="AA59" s="337" t="str">
        <f>IF(mgmt_domain_chosen="First Instance","sfo","lax")</f>
        <v>sfo</v>
      </c>
    </row>
    <row r="60" spans="2:27" s="2" customFormat="1" ht="20.100000000000001" customHeight="1" x14ac:dyDescent="0.25">
      <c r="B60" s="4" t="s">
        <v>2057</v>
      </c>
      <c r="C60" s="337" t="str">
        <f>IF(ISBLANK(input_mgmt_nsxt_gm_vip_fqdn),"Value Missing",input_mgmt_nsxt_gm_vip_fqdn)</f>
        <v>Value Missing</v>
      </c>
      <c r="H60" s="17" t="s">
        <v>693</v>
      </c>
      <c r="I60" s="337" t="str">
        <f>IF(ISBLANK(input_cluster_az1_host8_mgmt_ip),"Value Missing",input_cluster_az1_host8_mgmt_ip)</f>
        <v>Value Missing</v>
      </c>
      <c r="K60" s="4" t="s">
        <v>113</v>
      </c>
      <c r="L60" s="337" t="str">
        <f>IF(ISBLANK('Configure Management Domain'!D21),"Value Missing",'Configure Management Domain'!D21)</f>
        <v>Value Missing</v>
      </c>
      <c r="R60" s="3"/>
      <c r="T60" s="4" t="s">
        <v>2245</v>
      </c>
      <c r="U60" s="337" t="str">
        <f>IF(ISBLANK(input_xreg_vrops_srm_sso_password),"Value Missing",input_xreg_vrops_srm_sso_password)</f>
        <v>Value Missing</v>
      </c>
      <c r="V60" s="3"/>
      <c r="W60" s="4" t="s">
        <v>728</v>
      </c>
      <c r="X60" s="337" t="str">
        <f>IF(ISBLANK(input_wld_witnessaz_mgmt_cidr),"Value Missing",input_wld_witnessaz_mgmt_cidr)</f>
        <v>Value Missing</v>
      </c>
      <c r="Z60" s="4" t="s">
        <v>2246</v>
      </c>
      <c r="AA60" s="337" t="str">
        <f>IF(this_instance="sfo","lax","sfo")</f>
        <v>lax</v>
      </c>
    </row>
    <row r="61" spans="2:27" s="2" customFormat="1" ht="20.100000000000001" customHeight="1" x14ac:dyDescent="0.25">
      <c r="B61" s="4" t="s">
        <v>2063</v>
      </c>
      <c r="C61" s="337" t="str">
        <f>IF(ISBLANK(input_mgmt_nsxt_global_mgra_fqdn),"Value Missing",input_mgmt_nsxt_global_mgra_fqdn)</f>
        <v>Value Missing</v>
      </c>
      <c r="E61" s="385" t="s">
        <v>2247</v>
      </c>
      <c r="F61" s="386"/>
      <c r="H61" s="17" t="s">
        <v>694</v>
      </c>
      <c r="I61" s="337" t="str">
        <f>IF(ISBLANK(input_cluster_az1_host9_mgmt_ip),"Value Missing",input_cluster_az1_host9_mgmt_ip)</f>
        <v>Value Missing</v>
      </c>
      <c r="K61" s="4" t="s">
        <v>1367</v>
      </c>
      <c r="L61" s="337" t="str">
        <f>IF(ISBLANK(Arkham!C16),"Value Missing",Arkham!C16)</f>
        <v>Value Missing</v>
      </c>
      <c r="N61" s="387" t="s">
        <v>2248</v>
      </c>
      <c r="O61" s="387"/>
      <c r="Q61" s="387" t="s">
        <v>2249</v>
      </c>
      <c r="R61" s="387"/>
      <c r="V61" s="3"/>
      <c r="Z61" s="4" t="s">
        <v>2250</v>
      </c>
      <c r="AA61" s="337" t="str">
        <f>IF(mgmt_consolidated_result="Included","m01",CONCATENATE("w0",wld_domain_number_chosen))</f>
        <v>w01</v>
      </c>
    </row>
    <row r="62" spans="2:27" s="2" customFormat="1" ht="20.100000000000001" customHeight="1" x14ac:dyDescent="0.25">
      <c r="B62" s="4" t="s">
        <v>2068</v>
      </c>
      <c r="C62" s="337" t="str">
        <f>IF(ISBLANK(input_mgmt_nsxt_global_mgrb_fqdn),"Value Missing",input_mgmt_nsxt_global_mgrb_fqdn)</f>
        <v>Value Missing</v>
      </c>
      <c r="E62" s="336" t="s">
        <v>259</v>
      </c>
      <c r="F62" s="184" t="s">
        <v>277</v>
      </c>
      <c r="H62" s="17" t="s">
        <v>695</v>
      </c>
      <c r="I62" s="337" t="str">
        <f>IF(ISBLANK(input_cluster_az1_host10_mgmt_ip),"Value Missing",input_cluster_az1_host10_mgmt_ip)</f>
        <v>Value Missing</v>
      </c>
      <c r="K62" s="4" t="s">
        <v>1370</v>
      </c>
      <c r="L62" s="337" t="str">
        <f>IF(ISBLANK(Arkham!C17),"Value Missing",Arkham!C17)</f>
        <v>Value Missing</v>
      </c>
      <c r="N62" s="166" t="s">
        <v>259</v>
      </c>
      <c r="O62" s="167" t="s">
        <v>277</v>
      </c>
      <c r="Q62" s="166" t="s">
        <v>259</v>
      </c>
      <c r="R62" s="167" t="s">
        <v>277</v>
      </c>
      <c r="T62" s="387" t="s">
        <v>2251</v>
      </c>
      <c r="U62" s="387"/>
      <c r="V62" s="3"/>
      <c r="W62" s="387" t="s">
        <v>2252</v>
      </c>
      <c r="X62" s="387"/>
      <c r="Z62" s="4" t="s">
        <v>2253</v>
      </c>
      <c r="AA62" s="337" t="str">
        <f>IF(this_instance="sfo","11","21")</f>
        <v>11</v>
      </c>
    </row>
    <row r="63" spans="2:27" s="2" customFormat="1" ht="20.100000000000001" customHeight="1" x14ac:dyDescent="0.25">
      <c r="B63" s="4" t="s">
        <v>2073</v>
      </c>
      <c r="C63" s="337" t="str">
        <f>IF(ISBLANK(input_mgmt_nsxt_global_mgrc_fqdn),"Value Missing",input_mgmt_nsxt_global_mgrc_fqdn)</f>
        <v>Value Missing</v>
      </c>
      <c r="E63" s="4" t="s">
        <v>2254</v>
      </c>
      <c r="F63" s="337" t="str">
        <f>IF(ISBLANK('Deploy Workload Domain'!D163),"Value Missing",'Deploy Workload Domain'!D163)</f>
        <v>Value Missing</v>
      </c>
      <c r="H63" s="17" t="s">
        <v>696</v>
      </c>
      <c r="I63" s="337" t="str">
        <f>IF(ISBLANK(input_cluster_az1_host11_mgmt_ip),"Value Missing",input_cluster_az1_host11_mgmt_ip)</f>
        <v>Value Missing</v>
      </c>
      <c r="N63" s="4" t="s">
        <v>2255</v>
      </c>
      <c r="O63" s="337" t="str">
        <f>IF(ISBLANK('Deploy Workload Domain'!D148),"Value Missing",'Deploy Workload Domain'!D148)</f>
        <v>Value Missing</v>
      </c>
      <c r="Q63" s="17" t="s">
        <v>2230</v>
      </c>
      <c r="R63" s="337"/>
      <c r="T63" s="166" t="s">
        <v>259</v>
      </c>
      <c r="U63" s="167" t="s">
        <v>277</v>
      </c>
      <c r="W63" s="166" t="s">
        <v>259</v>
      </c>
      <c r="X63" s="167" t="s">
        <v>277</v>
      </c>
      <c r="Z63" s="4" t="s">
        <v>2256</v>
      </c>
      <c r="AA63" s="337" t="str">
        <f>IF(this_instance="sfo","10.11.","10.21.")</f>
        <v>10.11.</v>
      </c>
    </row>
    <row r="64" spans="2:27" s="2" customFormat="1" ht="20.100000000000001" customHeight="1" x14ac:dyDescent="0.25">
      <c r="B64" s="4" t="s">
        <v>2208</v>
      </c>
      <c r="C64" s="337" t="str">
        <f>IF(ISBLANK(input_mgmt_az1_en1_fqdn),"Value Missing",input_mgmt_az1_en1_fqdn)</f>
        <v>Value Missing</v>
      </c>
      <c r="E64" s="4" t="s">
        <v>2257</v>
      </c>
      <c r="F64" s="337" t="str">
        <f>IF(ISBLANK(input_wld_cl01_evc_mode),"Value Missing",input_wld_cl01_evc_mode)</f>
        <v>Value Missing</v>
      </c>
      <c r="H64" s="17" t="s">
        <v>697</v>
      </c>
      <c r="I64" s="337" t="str">
        <f>IF(ISBLANK(input_cluster_az1_host12_mgmt_ip),"Value Missing",input_cluster_az1_host12_mgmt_ip)</f>
        <v>Value Missing</v>
      </c>
      <c r="K64" s="575" t="s">
        <v>2258</v>
      </c>
      <c r="L64" s="576"/>
      <c r="N64" s="4" t="s">
        <v>562</v>
      </c>
      <c r="O64" s="337"/>
      <c r="Q64" s="17" t="s">
        <v>2233</v>
      </c>
      <c r="R64" s="337"/>
      <c r="T64" s="4" t="s">
        <v>2259</v>
      </c>
      <c r="U64" s="337" t="str">
        <f>IF(ISBLANK(input_mgmt_recovery_lb_creation_method),"Value Missing",input_mgmt_recovery_lb_creation_method)</f>
        <v>Value Missing</v>
      </c>
      <c r="W64" s="4" t="s">
        <v>728</v>
      </c>
      <c r="X64" s="337" t="str">
        <f>IF(ISBLANK(input_wld_witnessaz_mgmt_gateway_ip),"Value Missing",input_wld_witnessaz_mgmt_gateway_ip)</f>
        <v>Value Missing</v>
      </c>
      <c r="Z64" s="4" t="s">
        <v>2260</v>
      </c>
      <c r="AA64" s="337" t="str">
        <f>IF(this_instance="sfo","12","22")</f>
        <v>12</v>
      </c>
    </row>
    <row r="65" spans="2:27" s="2" customFormat="1" ht="20.100000000000001" customHeight="1" x14ac:dyDescent="0.25">
      <c r="B65" s="4" t="s">
        <v>2214</v>
      </c>
      <c r="C65" s="337" t="str">
        <f>IF(ISBLANK(input_mgmt_az1_en2_fqdn),"Value Missing",input_mgmt_az1_en2_fqdn)</f>
        <v>Value Missing</v>
      </c>
      <c r="H65" s="17" t="s">
        <v>698</v>
      </c>
      <c r="I65" s="337" t="str">
        <f>IF(ISBLANK(input_cluster_az1_host13_mgmt_ip),"Value Missing",input_cluster_az1_host13_mgmt_ip)</f>
        <v>Value Missing</v>
      </c>
      <c r="K65" s="166" t="s">
        <v>259</v>
      </c>
      <c r="L65" s="167" t="s">
        <v>277</v>
      </c>
      <c r="N65" s="4" t="s">
        <v>2261</v>
      </c>
      <c r="O65" s="337" t="str">
        <f>IF(ISBLANK('Configure Workload Domain'!D332),"Value Missing",'Configure Workload Domain'!D332)</f>
        <v>Value Missing</v>
      </c>
      <c r="Q65" s="17" t="s">
        <v>2237</v>
      </c>
      <c r="R65" s="337"/>
      <c r="T65" s="4" t="s">
        <v>2262</v>
      </c>
      <c r="U65" s="337" t="str">
        <f>IF(ISBLANK(input_mgmt_vrms_vm_folder),"Value Missing",input_mgmt_vrms_vm_folder)</f>
        <v>Value Missing</v>
      </c>
      <c r="V65" s="3"/>
      <c r="Z65" s="4" t="s">
        <v>2263</v>
      </c>
      <c r="AA65" s="337" t="str">
        <f>IF(this_instance="sfo","10.12.","10.22.")</f>
        <v>10.12.</v>
      </c>
    </row>
    <row r="66" spans="2:27" s="2" customFormat="1" ht="20.100000000000001" customHeight="1" x14ac:dyDescent="0.25">
      <c r="B66" s="4" t="s">
        <v>2078</v>
      </c>
      <c r="C66" s="337" t="str">
        <f>IF(ISBLANK(input_mgmt_avilb_fqdn),"Value Missing",input_mgmt_avilb_fqdn)</f>
        <v>Value Missing</v>
      </c>
      <c r="E66" s="578" t="s">
        <v>2264</v>
      </c>
      <c r="F66" s="579"/>
      <c r="H66" s="17" t="s">
        <v>699</v>
      </c>
      <c r="I66" s="337" t="str">
        <f>IF(ISBLANK(input_cluster_az1_host14_mgmt_ip),"Value Missing",input_cluster_az1_host14_mgmt_ip)</f>
        <v>Value Missing</v>
      </c>
      <c r="K66" s="4" t="s">
        <v>2265</v>
      </c>
      <c r="L66" s="337" t="str">
        <f>IF(ISBLANK(input_parent_dns_zone),"Value Missing",input_parent_dns_zone)</f>
        <v>vcf.lab.local</v>
      </c>
      <c r="N66" s="4" t="s">
        <v>2266</v>
      </c>
      <c r="O66" s="337" t="str">
        <f>IF(ISBLANK('Deploy Workload Domain'!D239),"Value Missing",'Deploy Workload Domain'!D239)</f>
        <v>Value Missing</v>
      </c>
      <c r="Q66" s="17" t="s">
        <v>2242</v>
      </c>
      <c r="R66" s="337"/>
      <c r="T66" s="4" t="s">
        <v>2267</v>
      </c>
      <c r="U66" s="337" t="str">
        <f>IF(ISBLANK(input_mgmt_vrms_root_password),"Value Missing",input_mgmt_vrms_root_password)</f>
        <v>Value Missing</v>
      </c>
      <c r="V66" s="3"/>
      <c r="W66" s="387" t="s">
        <v>2268</v>
      </c>
      <c r="X66" s="387"/>
      <c r="Z66" s="4" t="s">
        <v>2269</v>
      </c>
      <c r="AA66" s="337"/>
    </row>
    <row r="67" spans="2:27" s="2" customFormat="1" ht="20.100000000000001" customHeight="1" x14ac:dyDescent="0.25">
      <c r="B67" s="4" t="s">
        <v>2197</v>
      </c>
      <c r="C67" s="337" t="str">
        <f>IF(ISBLANK(input_flt_vidb_vip_fqdn),"Value Missing",input_flt_vidb_vip_fqdn)</f>
        <v>Value Missing</v>
      </c>
      <c r="E67" s="336" t="s">
        <v>259</v>
      </c>
      <c r="F67" s="336" t="s">
        <v>2270</v>
      </c>
      <c r="H67" s="17" t="s">
        <v>700</v>
      </c>
      <c r="I67" s="337" t="str">
        <f>IF(ISBLANK(input_cluster_az1_host15_mgmt_ip),"Value Missing",input_cluster_az1_host15_mgmt_ip)</f>
        <v>Value Missing</v>
      </c>
      <c r="K67" s="4" t="s">
        <v>2271</v>
      </c>
      <c r="L67" s="337" t="str">
        <f>IF(ISBLANK(input_child_dns_zone),"Value Missing",input_child_dns_zone)</f>
        <v>Value Missing</v>
      </c>
      <c r="N67" s="4" t="s">
        <v>2035</v>
      </c>
      <c r="O67" s="337" t="str">
        <f>IF(ISBLANK('Configure Workload Domain'!D38),"Value Missing",'Configure Workload Domain'!D38)</f>
        <v>Value Missing</v>
      </c>
      <c r="R67" s="3"/>
      <c r="T67" s="4" t="s">
        <v>2272</v>
      </c>
      <c r="U67" s="337" t="str">
        <f>IF(ISBLANK(input_mgmt_vrms_admin_password),"Value Missing",input_mgmt_vrms_admin_password)</f>
        <v>Value Missing</v>
      </c>
      <c r="V67" s="3"/>
      <c r="W67" s="166" t="s">
        <v>259</v>
      </c>
      <c r="X67" s="167" t="s">
        <v>277</v>
      </c>
      <c r="Z67" s="4" t="s">
        <v>2273</v>
      </c>
      <c r="AA67" s="337"/>
    </row>
    <row r="68" spans="2:27" s="2" customFormat="1" ht="20.100000000000001" customHeight="1" x14ac:dyDescent="0.25">
      <c r="E68" s="4" t="s">
        <v>2274</v>
      </c>
      <c r="F68" s="337" t="str">
        <f>IF(ISBLANK(wld_cl01_vds_profile_chosen),"Value Missing",wld_cl01_vds_profile_chosen)</f>
        <v>Default</v>
      </c>
      <c r="H68" s="17" t="s">
        <v>701</v>
      </c>
      <c r="I68" s="337" t="str">
        <f>IF(ISBLANK(input_cluster_az1_host16_mgmt_ip),"Value Missing",input_cluster_az1_host16_mgmt_ip)</f>
        <v>Value Missing</v>
      </c>
      <c r="K68" s="4" t="s">
        <v>2275</v>
      </c>
      <c r="L68" s="337" t="str">
        <f>IF(ISBLANK(input_witness_dns_zone),"Value Missing",input_witness_dns_zone)</f>
        <v>Value Missing</v>
      </c>
      <c r="N68" s="4" t="s">
        <v>2276</v>
      </c>
      <c r="O68" s="337" t="str">
        <f>IF(ISBLANK('Configure Workload Domain'!D40),"Value Missing",'Configure Workload Domain'!D40)</f>
        <v>Large</v>
      </c>
      <c r="Q68" s="387" t="s">
        <v>2277</v>
      </c>
      <c r="R68" s="387"/>
      <c r="T68" s="4" t="s">
        <v>2278</v>
      </c>
      <c r="U68" s="337" t="str">
        <f>IF(ISBLANK(input_mgmt_vrms_site_name),"Value Missing",input_mgmt_vrms_site_name)</f>
        <v>Value Missing</v>
      </c>
      <c r="W68" s="4" t="s">
        <v>728</v>
      </c>
      <c r="X68" s="337" t="str">
        <f>IF(ISBLANK(input_wld_witnessaz_mgmt_mtu),"Value Missing",input_wld_witnessaz_mgmt_mtu)</f>
        <v>Value Missing</v>
      </c>
      <c r="Z68" s="4" t="s">
        <v>2279</v>
      </c>
      <c r="AA68" s="337" t="str">
        <f>IF(this_instance="sfo","192.168.31","192.168.32")</f>
        <v>192.168.31</v>
      </c>
    </row>
    <row r="69" spans="2:27" s="2" customFormat="1" ht="20.100000000000001" customHeight="1" x14ac:dyDescent="0.25">
      <c r="B69" s="385" t="s">
        <v>2280</v>
      </c>
      <c r="C69" s="386"/>
      <c r="E69" s="336" t="s">
        <v>1274</v>
      </c>
      <c r="F69" s="336" t="s">
        <v>277</v>
      </c>
      <c r="H69" s="17" t="s">
        <v>705</v>
      </c>
      <c r="I69" s="337" t="str">
        <f>IF(ISBLANK(input_cluster_az1_pool_name),"Value Missing",input_cluster_az1_pool_name)</f>
        <v>Value Missing</v>
      </c>
      <c r="N69" s="4" t="s">
        <v>2281</v>
      </c>
      <c r="O69" s="337" t="str">
        <f>IF(ISBLANK('Configure Workload Domain'!D96),"Value Missing",'Configure Workload Domain'!D96)</f>
        <v>Value Missing</v>
      </c>
      <c r="Q69" s="166" t="s">
        <v>259</v>
      </c>
      <c r="R69" s="167" t="s">
        <v>277</v>
      </c>
      <c r="T69" s="4" t="s">
        <v>2282</v>
      </c>
      <c r="U69" s="337" t="str">
        <f>IF(ISBLANK(input_mgmt_vrms_admin_email),"Value Missing",input_mgmt_vrms_admin_email)</f>
        <v>Value Missing</v>
      </c>
      <c r="Z69" s="4" t="s">
        <v>2283</v>
      </c>
      <c r="AA69" s="337" t="str">
        <f>IF(this_instance="sfo","192.168.11","192.168.12")</f>
        <v>192.168.11</v>
      </c>
    </row>
    <row r="70" spans="2:27" s="2" customFormat="1" ht="20.100000000000001" customHeight="1" x14ac:dyDescent="0.25">
      <c r="B70" s="336" t="s">
        <v>259</v>
      </c>
      <c r="C70" s="336" t="s">
        <v>277</v>
      </c>
      <c r="E70" s="4" t="s">
        <v>2284</v>
      </c>
      <c r="F70" s="337" t="str">
        <f>IF(ISBLANK(input_wld_cl01_vds01_name),"Value Missing",input_wld_cl01_vds01_name)</f>
        <v>Value Missing</v>
      </c>
      <c r="H70" s="336" t="s">
        <v>2285</v>
      </c>
      <c r="I70" s="336"/>
      <c r="K70" s="387" t="s">
        <v>2286</v>
      </c>
      <c r="L70" s="387"/>
      <c r="N70" s="4" t="s">
        <v>2287</v>
      </c>
      <c r="O70" s="337"/>
      <c r="Q70" s="17" t="s">
        <v>2230</v>
      </c>
      <c r="R70" s="337" t="str">
        <f>(CONCATENATE('Value Reference Tables'!R63,".",(IF(ISBLANK(Arkham!C$11),"Value Missing",Arkham!C$11))))</f>
        <v>.Value Missing</v>
      </c>
      <c r="T70" s="4" t="s">
        <v>2288</v>
      </c>
      <c r="U70" s="337" t="str">
        <f>IF(ISBLANK(input_mgmt_vrms_pg),"Value Missing",input_mgmt_vrms_pg)</f>
        <v>Value Missing</v>
      </c>
      <c r="V70" s="3"/>
      <c r="Z70" s="4" t="s">
        <v>2289</v>
      </c>
      <c r="AA70" s="337" t="str">
        <f>IF(this_instance="sfo","21","11")</f>
        <v>21</v>
      </c>
    </row>
    <row r="71" spans="2:27" s="2" customFormat="1" ht="20.100000000000001" customHeight="1" x14ac:dyDescent="0.25">
      <c r="B71" s="361" t="s">
        <v>2026</v>
      </c>
      <c r="C71" s="337" t="str">
        <f>(CONCATENATE('Value Reference Tables'!C192,".",(IF(ISBLANK(Arkham!C$11),"Value Missing",Arkham!C$11))))</f>
        <v>Value Missing.Value Missing</v>
      </c>
      <c r="E71" s="185" t="s">
        <v>2290</v>
      </c>
      <c r="F71" s="337" t="str">
        <f>IF(ISBLANK(input_wld_cl01_vds01_pnics),"Value Missing",input_wld_cl01_vds01_pnics)</f>
        <v>Value Missing</v>
      </c>
      <c r="H71" s="17" t="s">
        <v>686</v>
      </c>
      <c r="I71" s="337" t="str">
        <f>IF(ISBLANK(input_cluster_az1_host1_fqdn),"Value Missing",input_cluster_az1_host1_fqdn)</f>
        <v>Value Missing</v>
      </c>
      <c r="K71" s="166" t="s">
        <v>259</v>
      </c>
      <c r="L71" s="167" t="s">
        <v>277</v>
      </c>
      <c r="N71" s="4" t="s">
        <v>655</v>
      </c>
      <c r="O71" s="337" t="str">
        <f>IF(ISBLANK(input_wld_vpc_ext_ip_blocks),"Value Missing",input_wld_vpc_ext_ip_blocks)</f>
        <v>Value Missing</v>
      </c>
      <c r="Q71" s="17" t="s">
        <v>2233</v>
      </c>
      <c r="R71" s="337" t="str">
        <f>(CONCATENATE('Value Reference Tables'!R64,".",(IF(ISBLANK(Arkham!C$11),"Value Missing",Arkham!C$11))))</f>
        <v>.Value Missing</v>
      </c>
      <c r="T71" s="4" t="s">
        <v>2291</v>
      </c>
      <c r="U71" s="337" t="str">
        <f>IF(ISBLANK(input_mgmt_vrms_p12_password),"Value Missing",input_mgmt_vrms_p12_password)</f>
        <v>Value Missing</v>
      </c>
      <c r="V71" s="3"/>
      <c r="Z71" s="4" t="s">
        <v>2292</v>
      </c>
      <c r="AA71" s="337" t="str">
        <f>IF(this_instance="sfo","10.21.","10.11.")</f>
        <v>10.21.</v>
      </c>
    </row>
    <row r="72" spans="2:27" s="2" customFormat="1" ht="20.100000000000001" customHeight="1" x14ac:dyDescent="0.25">
      <c r="B72" s="361" t="s">
        <v>726</v>
      </c>
      <c r="C72" s="337" t="str">
        <f>IF(ISBLANK(input_mgmt_witness_fqdn),"Value Missing",input_mgmt_witness_fqdn)</f>
        <v>Value Missing</v>
      </c>
      <c r="E72" s="4" t="s">
        <v>2293</v>
      </c>
      <c r="F72" s="337" t="str">
        <f>IF(ISBLANK(input_wld_cl01_vds01_uplink_count),"Value Missing",input_wld_cl01_vds01_uplink_count)</f>
        <v>Value Missing</v>
      </c>
      <c r="H72" s="17" t="s">
        <v>687</v>
      </c>
      <c r="I72" s="337" t="str">
        <f>IF(ISBLANK(input_cluster_az1_host2_fqdn),"Value Missing",input_cluster_az1_host2_fqdn)</f>
        <v>Value Missing</v>
      </c>
      <c r="K72" s="4" t="s">
        <v>2294</v>
      </c>
      <c r="L72" s="337" t="str">
        <f>IF(ISBLANK('Active Directory Inputs'!E8),"Value Missing",'Active Directory Inputs'!E8)</f>
        <v>Value Missing</v>
      </c>
      <c r="N72" s="4" t="s">
        <v>658</v>
      </c>
      <c r="O72" s="337" t="str">
        <f>IF(ISBLANK(input_wld_vpc_transit_gateway_ip_blocks),"Value Missing",input_wld_vpc_transit_gateway_ip_blocks)</f>
        <v>Value Missing</v>
      </c>
      <c r="Q72" s="17" t="s">
        <v>2237</v>
      </c>
      <c r="R72" s="337" t="str">
        <f>(CONCATENATE('Value Reference Tables'!R65,".",(IF(ISBLANK(Arkham!C$11),"Value Missing",Arkham!C$11))))</f>
        <v>.Value Missing</v>
      </c>
      <c r="T72" s="4" t="s">
        <v>2295</v>
      </c>
      <c r="U72" s="337"/>
      <c r="V72" s="3"/>
      <c r="Z72" s="4" t="s">
        <v>2296</v>
      </c>
      <c r="AA72" s="337" t="str">
        <f>IF(mgmt_domain_chosen="First Domain","6500","6502")</f>
        <v>6502</v>
      </c>
    </row>
    <row r="73" spans="2:27" s="2" customFormat="1" ht="20.100000000000001" customHeight="1" x14ac:dyDescent="0.25">
      <c r="E73" s="4" t="s">
        <v>2297</v>
      </c>
      <c r="F73" s="337" t="str">
        <f t="array" ref="F73">IF(ISBLANK(input_wld_cl01_vds01_mtu),"Value Missing",input_wld_cl01_vds01_mtu)</f>
        <v>Value Missing</v>
      </c>
      <c r="H73" s="17" t="s">
        <v>688</v>
      </c>
      <c r="I73" s="337" t="str">
        <f>IF(ISBLANK(input_cluster_az1_host3_fqdn),"Value Missing",input_cluster_az1_host3_fqdn)</f>
        <v>Value Missing</v>
      </c>
      <c r="K73" s="4" t="s">
        <v>2298</v>
      </c>
      <c r="L73" s="337" t="str">
        <f>IF(ISBLANK('Active Directory Inputs'!E9),"Value Missing",'Active Directory Inputs'!E9)</f>
        <v>Value Missing</v>
      </c>
      <c r="N73" s="4" t="s">
        <v>2118</v>
      </c>
      <c r="O73" s="337" t="str">
        <f t="array" ref="O73">IF(ISBLANK(input_wld_avilb_cluster_name),"Value Missing",input_wld_avilb_cluster_name)</f>
        <v>Value Missing</v>
      </c>
      <c r="Q73" s="17" t="s">
        <v>2242</v>
      </c>
      <c r="R73" s="337" t="str">
        <f>(CONCATENATE('Value Reference Tables'!R66,".",(IF(ISBLANK(Arkham!C$11),"Value Missing",Arkham!C$11))))</f>
        <v>.Value Missing</v>
      </c>
      <c r="T73" s="4" t="s">
        <v>2299</v>
      </c>
      <c r="U73" s="337" t="str">
        <f>IF(ISBLANK(input_mgmt_srm_vm_folder),"Value Missing",input_mgmt_srm_vm_folder)</f>
        <v>Value Missing</v>
      </c>
      <c r="V73" s="3"/>
      <c r="Z73" s="4" t="s">
        <v>2300</v>
      </c>
      <c r="AA73"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74" spans="2:27" s="2" customFormat="1" ht="20.100000000000001" customHeight="1" x14ac:dyDescent="0.2">
      <c r="B74" s="578" t="s">
        <v>2301</v>
      </c>
      <c r="C74" s="582"/>
      <c r="E74" s="4" t="s">
        <v>2302</v>
      </c>
      <c r="F74" s="337" t="str">
        <f>IF(wld_cl01_vds_profile_chosen&lt;&gt;"Custom","Route Based on Physicial Nic Load","Value Missing")</f>
        <v>Route Based on Physicial Nic Load</v>
      </c>
      <c r="H74" s="17" t="s">
        <v>689</v>
      </c>
      <c r="I74" s="337" t="str">
        <f>IF(ISBLANK(input_cluster_az1_host4_fqdn),"Value Missing",input_cluster_az1_host4_fqdn)</f>
        <v>Value Missing</v>
      </c>
      <c r="N74" s="4" t="s">
        <v>2303</v>
      </c>
      <c r="O74" s="337" t="str">
        <f>IF(ISBLANK(input_wld_avilb_cluster_version),"Value Missing",input_wld_avilb_cluster_version)</f>
        <v>Value Missing</v>
      </c>
      <c r="Q74" s="8"/>
      <c r="R74" s="8"/>
      <c r="T74" s="4" t="s">
        <v>2304</v>
      </c>
      <c r="U74" s="337" t="str">
        <f>IF(ISBLANK(input_mgmt_srm_root_password),"Value Missing",input_mgmt_srm_root_password)</f>
        <v>Value Missing</v>
      </c>
      <c r="Z74" s="4" t="s">
        <v>2305</v>
      </c>
      <c r="AA74" s="337"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75" spans="2:27" s="2" customFormat="1" ht="20.100000000000001" customHeight="1" x14ac:dyDescent="0.25">
      <c r="B75" s="336" t="s">
        <v>259</v>
      </c>
      <c r="C75" s="336" t="s">
        <v>277</v>
      </c>
      <c r="E75" s="4" t="s">
        <v>2306</v>
      </c>
      <c r="F75" s="337"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5" s="17" t="s">
        <v>690</v>
      </c>
      <c r="I75" s="337" t="str">
        <f>IF(ISBLANK(input_cluster_az1_host5_fqdn),"Value Missing",input_cluster_az1_host5_fqdn)</f>
        <v>Value Missing</v>
      </c>
      <c r="K75" s="387" t="s">
        <v>2307</v>
      </c>
      <c r="L75" s="387"/>
      <c r="N75" s="4" t="s">
        <v>2059</v>
      </c>
      <c r="O75" s="337" t="str">
        <f>IF(ISBLANK(input_wld_nsxt_global_mgr_vmca_signed_thumbprint),"Value Missing",input_wld_nsxt_global_mgr_vmca_signed_thumbprint)</f>
        <v>Value Missing</v>
      </c>
      <c r="Q75" s="580" t="s">
        <v>2308</v>
      </c>
      <c r="R75" s="581"/>
      <c r="T75" s="4" t="s">
        <v>2309</v>
      </c>
      <c r="U75" s="337" t="str">
        <f>IF(ISBLANK(input_mgmt_srm_admin_password),"Value Missing",input_mgmt_srm_admin_password)</f>
        <v>Value Missing</v>
      </c>
      <c r="Z75" s="4" t="s">
        <v>2310</v>
      </c>
      <c r="AA7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76" spans="2:27" s="2" customFormat="1" ht="20.100000000000001" customHeight="1" x14ac:dyDescent="0.25">
      <c r="B76" s="4" t="s">
        <v>352</v>
      </c>
      <c r="C76" s="337" t="str">
        <f>IF(ISBLANK(input_mgmt_datacenter),"Value Missing",input_mgmt_datacenter)</f>
        <v>Site01</v>
      </c>
      <c r="E76" s="4" t="s">
        <v>2311</v>
      </c>
      <c r="F76" s="337" t="str">
        <f>IF(ISBLANK(input_wld_cl01_vds01_lag_name),"Value Missing",input_wld_cl01_vds01_lag_name)</f>
        <v>Value Missing</v>
      </c>
      <c r="H76" s="17" t="s">
        <v>691</v>
      </c>
      <c r="I76" s="337" t="str">
        <f>IF(ISBLANK(input_cluster_az1_host6_fqdn),"Value Missing",input_cluster_az1_host6_fqdn)</f>
        <v>Value Missing</v>
      </c>
      <c r="K76" s="166" t="s">
        <v>259</v>
      </c>
      <c r="L76" s="167" t="s">
        <v>277</v>
      </c>
      <c r="N76" s="4" t="s">
        <v>2065</v>
      </c>
      <c r="O76" s="337" t="str">
        <f>IF(ISBLANK(input_wld_nsxt_global_mgr_cluster_id),"Value Missing",input_wld_nsxt_global_mgr_cluster_id)</f>
        <v>Value Missing</v>
      </c>
      <c r="Q76" s="184" t="s">
        <v>259</v>
      </c>
      <c r="R76" s="184" t="s">
        <v>277</v>
      </c>
      <c r="T76" s="4" t="s">
        <v>2312</v>
      </c>
      <c r="U76" s="337" t="str">
        <f>IF(ISBLANK(input_mgmt_srm_database_password),"Value Missing",input_mgmt_srm_database_password)</f>
        <v>Value Missing</v>
      </c>
      <c r="V76" s="3"/>
      <c r="Z76" s="4" t="s">
        <v>2313</v>
      </c>
      <c r="AA76"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77" spans="2:27" s="2" customFormat="1" ht="20.100000000000001" customHeight="1" x14ac:dyDescent="0.25">
      <c r="B77" s="4" t="s">
        <v>2314</v>
      </c>
      <c r="C77" s="337" t="str">
        <f>IF(ISBLANK(input_mgmt_cl01_cluster),"Value Missing",input_mgmt_cl01_cluster)</f>
        <v>vcf-mgmt-cluster01</v>
      </c>
      <c r="E77" s="336" t="s">
        <v>1280</v>
      </c>
      <c r="F77" s="336" t="s">
        <v>277</v>
      </c>
      <c r="H77" s="17" t="s">
        <v>692</v>
      </c>
      <c r="I77" s="337" t="str">
        <f>IF(ISBLANK(input_cluster_az1_host7_fqdn),"Value Missing",input_cluster_az1_host7_fqdn)</f>
        <v>Value Missing</v>
      </c>
      <c r="K77" s="4" t="s">
        <v>2294</v>
      </c>
      <c r="L77" s="337" t="str">
        <f>IF(ISBLANK('Active Directory Inputs'!G8),"Value Missing",'Active Directory Inputs'!G8)</f>
        <v>Value Missing</v>
      </c>
      <c r="N77" s="4" t="s">
        <v>2070</v>
      </c>
      <c r="O77" s="337" t="str">
        <f>IF(ISBLANK('Configure Workload Domain'!D434),"Value Missing",'Configure Workload Domain'!D434)</f>
        <v>Value Missing</v>
      </c>
      <c r="Q77" s="17" t="s">
        <v>2315</v>
      </c>
      <c r="R77" s="337" t="str">
        <f>IF(ISBLANK(input_xreg_vrops_virtual_ip),"Value Missing",input_xreg_vrops_virtual_ip)</f>
        <v>10.100.50.105</v>
      </c>
      <c r="T77" s="4" t="s">
        <v>2316</v>
      </c>
      <c r="U77" s="337" t="str">
        <f>IF(ISBLANK(input_mgmt_srm_site_name),"Value Missing",input_mgmt_srm_site_name)</f>
        <v>Value Missing</v>
      </c>
      <c r="V77" s="3"/>
      <c r="Z77" s="4" t="s">
        <v>2317</v>
      </c>
      <c r="AA77" s="337"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row>
    <row r="78" spans="2:27" s="2" customFormat="1" ht="20.100000000000001" customHeight="1" x14ac:dyDescent="0.25">
      <c r="B78" s="4" t="s">
        <v>495</v>
      </c>
      <c r="C78" s="337" t="str">
        <f>IF(ISBLANK('Deploy Management Domain'!M349),"Value Missing",'Deploy Management Domain'!M349)</f>
        <v>N/A</v>
      </c>
      <c r="E78" s="4" t="s">
        <v>2318</v>
      </c>
      <c r="F78" s="337" t="str">
        <f>IF(ISBLANK(input_wld_cl01_vds02_name),"Value Missing",input_wld_cl01_vds02_name)</f>
        <v>Value Missing</v>
      </c>
      <c r="H78" s="17" t="s">
        <v>693</v>
      </c>
      <c r="I78" s="337" t="str">
        <f>IF(ISBLANK(input_cluster_az1_host8_fqdn),"Value Missing",input_cluster_az1_host8_fqdn)</f>
        <v>Value Missing</v>
      </c>
      <c r="K78" s="4" t="s">
        <v>2298</v>
      </c>
      <c r="L78" s="337" t="str">
        <f>IF(ISBLANK('Active Directory Inputs'!G9),"Value Missing",'Active Directory Inputs'!G9)</f>
        <v>Value Missing</v>
      </c>
      <c r="N78" s="4" t="s">
        <v>2075</v>
      </c>
      <c r="O78" s="337" t="str">
        <f>IF(ISBLANK('Configure Workload Domain'!D452),"Value Missing",'Configure Workload Domain'!D452)</f>
        <v>Value Missing</v>
      </c>
      <c r="Q78" s="17" t="s">
        <v>2319</v>
      </c>
      <c r="R78" s="337" t="str">
        <f>IF(ISBLANK(input_xreg_vrops_nodea_ip),"Value Missing",input_xreg_vrops_nodea_ip)</f>
        <v>10.100.50.101</v>
      </c>
      <c r="T78" s="4" t="s">
        <v>2320</v>
      </c>
      <c r="U78" s="337" t="str">
        <f>IF(ISBLANK(input_mgmt_srm_admin_email),"Value Missing",input_mgmt_srm_admin_email)</f>
        <v>Value Missing</v>
      </c>
      <c r="V78" s="3"/>
      <c r="Z78" s="4" t="s">
        <v>2321</v>
      </c>
      <c r="AA78" s="337"/>
    </row>
    <row r="79" spans="2:27" s="2" customFormat="1" ht="20.100000000000001" customHeight="1" x14ac:dyDescent="0.25">
      <c r="B79" s="4" t="s">
        <v>497</v>
      </c>
      <c r="C79" s="337" t="str">
        <f>IF(ISBLANK('Deploy Management Domain'!M350),"Value Missing",'Deploy Management Domain'!M350)</f>
        <v>Value Missing</v>
      </c>
      <c r="E79" s="185" t="s">
        <v>2322</v>
      </c>
      <c r="F79" s="337" t="str">
        <f>IF(input_wld_cl01_vds02_pnics="","Value Missing",input_wld_cl01_vds02_pnics)</f>
        <v>Value Missing</v>
      </c>
      <c r="H79" s="17" t="s">
        <v>694</v>
      </c>
      <c r="I79" s="337" t="str">
        <f>IF(ISBLANK(input_cluster_az1_host9_fqdn),"Value Missing",input_cluster_az1_host9_fqdn)</f>
        <v>Value Missing</v>
      </c>
      <c r="N79" s="4" t="s">
        <v>2323</v>
      </c>
      <c r="O79" s="337" t="str">
        <f>IF(ISBLANK(input_wld_az1_rtep_ip_pool_name),"Value Missing",input_wld_az1_rtep_ip_pool_name)</f>
        <v>Value Missing</v>
      </c>
      <c r="Q79" s="17" t="s">
        <v>2324</v>
      </c>
      <c r="R79" s="337" t="str">
        <f>IF(ISBLANK(input_xreg_vrops_nodeb_ip),"Value Missing",input_xreg_vrops_nodeb_ip)</f>
        <v>10.100.50.102</v>
      </c>
      <c r="T79" s="4" t="s">
        <v>2325</v>
      </c>
      <c r="U79" s="337" t="str">
        <f>IF(ISBLANK(input_mgmt_srm_p12_password),"Value Missing",input_mgmt_srm_p12_password)</f>
        <v>Value Missing</v>
      </c>
      <c r="V79" s="3"/>
      <c r="Z79" s="4" t="s">
        <v>2326</v>
      </c>
      <c r="AA79" s="337"/>
    </row>
    <row r="80" spans="2:27" s="2" customFormat="1" ht="20.100000000000001" customHeight="1" x14ac:dyDescent="0.25">
      <c r="B80" s="4" t="s">
        <v>498</v>
      </c>
      <c r="C80" s="337" t="str">
        <f>IF(ISBLANK('Deploy Management Domain'!M351),"Value Missing",'Deploy Management Domain'!M351)</f>
        <v>Value Missing</v>
      </c>
      <c r="E80" s="4" t="s">
        <v>2327</v>
      </c>
      <c r="F80" s="337" t="str">
        <f t="array" ref="F80">IF(ISBLANK(input_wld_cl01_vds02_uplink_count),"Value Missing",input_wld_cl01_vds02_uplink_count)</f>
        <v>Value Missing</v>
      </c>
      <c r="H80" s="17" t="s">
        <v>695</v>
      </c>
      <c r="I80" s="337" t="str">
        <f>IF(ISBLANK(input_cluster_az1_host10_fqdn),"Value Missing",input_cluster_az1_host10_fqdn)</f>
        <v>Value Missing</v>
      </c>
      <c r="K80" s="387" t="s">
        <v>2328</v>
      </c>
      <c r="L80" s="387"/>
      <c r="N80" s="4" t="s">
        <v>2080</v>
      </c>
      <c r="O80" s="337" t="str">
        <f>IF(ISBLANK(input_wld_nsxt_federation_global_manager_name),"Value Missing",input_wld_nsxt_federation_global_manager_name)</f>
        <v>Value Missing</v>
      </c>
      <c r="Q80" s="17" t="s">
        <v>2329</v>
      </c>
      <c r="R80" s="337" t="str">
        <f>IF(ISBLANK(input_xreg_vrops_nodec_ip),"Value Missing",input_xreg_vrops_nodec_ip)</f>
        <v>10.100.50.103</v>
      </c>
      <c r="T80" s="4" t="s">
        <v>2330</v>
      </c>
      <c r="U80" s="337">
        <f>input_mgmt_srm_vm_size</f>
        <v>0</v>
      </c>
      <c r="V80" s="3"/>
      <c r="Z80" s="4" t="s">
        <v>2331</v>
      </c>
      <c r="AA80" s="337" t="str">
        <f>IF(this_instance="sfo","21","11")</f>
        <v>21</v>
      </c>
    </row>
    <row r="81" spans="2:27" s="2" customFormat="1" ht="20.100000000000001" customHeight="1" x14ac:dyDescent="0.25">
      <c r="B81" s="4" t="s">
        <v>499</v>
      </c>
      <c r="C81" s="337" t="str">
        <f>IF(ISBLANK('Deploy Management Domain'!M352),"Value Missing",'Deploy Management Domain'!M352)</f>
        <v>Value Missing</v>
      </c>
      <c r="E81" s="4" t="s">
        <v>2332</v>
      </c>
      <c r="F81" s="337" t="str">
        <f>IF(input_wld_cl01_vds02_mtu="","Value Missing",input_wld_cl01_vds02_mtu)</f>
        <v>Value Missing</v>
      </c>
      <c r="H81" s="17" t="s">
        <v>696</v>
      </c>
      <c r="I81" s="337" t="str">
        <f>IF(ISBLANK(input_cluster_az1_host11_fqdn),"Value Missing",input_cluster_az1_host11_fqdn)</f>
        <v>Value Missing</v>
      </c>
      <c r="K81" s="166" t="s">
        <v>259</v>
      </c>
      <c r="L81" s="167" t="s">
        <v>277</v>
      </c>
      <c r="N81" s="4" t="s">
        <v>2085</v>
      </c>
      <c r="O81" s="337" t="str">
        <f>IF(ISBLANK('Configure Workload Domain'!D493),"Value Missing",'Configure Workload Domain'!D493)</f>
        <v>Value Missing</v>
      </c>
      <c r="Q81" s="17" t="s">
        <v>338</v>
      </c>
      <c r="R81" s="337" t="str">
        <f>IF(ISBLANK(input_xreg_vrops_collector_ip),"Value Missing",input_xreg_vrops_collector_ip)</f>
        <v>10.100.50.104</v>
      </c>
      <c r="T81" s="4" t="s">
        <v>2333</v>
      </c>
      <c r="U81" s="337" t="str">
        <f>IF(ISBLANK(input_mgmt_srm_rpo),"Value Missing",input_mgmt_srm_rpo)</f>
        <v>Value Missing</v>
      </c>
      <c r="V81" s="3"/>
      <c r="Z81" s="4" t="s">
        <v>2334</v>
      </c>
      <c r="AA81" s="337" t="str">
        <f>IF(this_instance="sfo","10.21.","10.11.")</f>
        <v>10.21.</v>
      </c>
    </row>
    <row r="82" spans="2:27" s="2" customFormat="1" ht="20.100000000000001" customHeight="1" x14ac:dyDescent="0.25">
      <c r="B82" s="4" t="s">
        <v>500</v>
      </c>
      <c r="C82" s="337" t="str">
        <f>IF(ISBLANK('Deploy Management Domain'!M353),"Value Missing",'Deploy Management Domain'!M353)</f>
        <v>Value Missing</v>
      </c>
      <c r="E82" s="4" t="s">
        <v>2335</v>
      </c>
      <c r="F82" s="337" t="str">
        <f>IF(wld_cl01_vds_profile_chosen="Default","Value Missing",IF(wld_cl01_vds_profile_chosen&lt;&gt;"Custom","Route Based on Physical Nic Load","Value Missing"))</f>
        <v>Value Missing</v>
      </c>
      <c r="H82" s="17" t="s">
        <v>697</v>
      </c>
      <c r="I82" s="337" t="str">
        <f>IF(ISBLANK(input_cluster_az1_host12_fqdn),"Value Missing",input_cluster_az1_host12_fqdn)</f>
        <v>Value Missing</v>
      </c>
      <c r="K82" s="4" t="s">
        <v>2294</v>
      </c>
      <c r="L82" s="337" t="str">
        <f>IF(ISBLANK('Active Directory Inputs'!E10),"Value Missing",'Active Directory Inputs'!E10)</f>
        <v>Value Missing</v>
      </c>
      <c r="N82" s="4" t="s">
        <v>2336</v>
      </c>
      <c r="O82" s="337" t="str">
        <f>IF(ISBLANK('Configure Workload Domain'!D491),"Value Missing",'Configure Workload Domain'!D491)</f>
        <v>Value Missing</v>
      </c>
      <c r="Q82" s="6"/>
      <c r="T82" s="4" t="s">
        <v>2337</v>
      </c>
      <c r="U82" s="337" t="str">
        <f>IF(ISBLANK(input_mgmt_srm_instances_per_day),"Value Missing",input_mgmt_srm_instances_per_day)</f>
        <v>Value Missing</v>
      </c>
      <c r="V82" s="3"/>
      <c r="Z82" s="4" t="s">
        <v>2338</v>
      </c>
      <c r="AA82" s="337" t="str">
        <f>IF(mgmt_domain_chosen="First Domain","6501","6503")</f>
        <v>6503</v>
      </c>
    </row>
    <row r="83" spans="2:27" s="2" customFormat="1" ht="20.100000000000001" customHeight="1" x14ac:dyDescent="0.25">
      <c r="B83" s="4" t="s">
        <v>2339</v>
      </c>
      <c r="C83" s="337"/>
      <c r="E83" s="4" t="s">
        <v>2340</v>
      </c>
      <c r="F83" s="337"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3" s="17" t="s">
        <v>698</v>
      </c>
      <c r="I83" s="337" t="str">
        <f>IF(ISBLANK(input_cluster_az1_host13_fqdn),"Value Missing",input_cluster_az1_host13_fqdn)</f>
        <v>Value Missing</v>
      </c>
      <c r="K83" s="4" t="s">
        <v>2298</v>
      </c>
      <c r="L83" s="337" t="str">
        <f>IF(ISBLANK('Active Directory Inputs'!E11),"Value Missing",'Active Directory Inputs'!E11)</f>
        <v>Value Missing</v>
      </c>
      <c r="N83" s="4" t="s">
        <v>2341</v>
      </c>
      <c r="O83" s="337" t="str">
        <f>IF(ISBLANK('Configure Workload Domain'!D480),"Value Missing",'Configure Workload Domain'!D480)</f>
        <v>Value Missing</v>
      </c>
      <c r="Q83" s="580" t="s">
        <v>2342</v>
      </c>
      <c r="R83" s="581"/>
      <c r="T83" s="4" t="s">
        <v>2343</v>
      </c>
      <c r="U83" s="337" t="str">
        <f>IF(ISBLANK(input_mgmt_srm_days),"Value Missing",input_mgmt_srm_days)</f>
        <v>Value Missing</v>
      </c>
      <c r="V83" s="3"/>
      <c r="Z83" s="4" t="s">
        <v>2344</v>
      </c>
      <c r="AA83" s="337" t="str">
        <f>IF(this_instance="sfo","192.168.2","192.168.4")</f>
        <v>192.168.2</v>
      </c>
    </row>
    <row r="84" spans="2:27" s="2" customFormat="1" ht="20.100000000000001" customHeight="1" x14ac:dyDescent="0.25">
      <c r="B84" s="337" t="s">
        <v>2345</v>
      </c>
      <c r="C84" s="337" t="str">
        <f>IF(ISBLANK(input_mgmt_sso_domain),"Value Missing",input_mgmt_sso_domain)</f>
        <v>vsphere.local</v>
      </c>
      <c r="E84" s="4" t="s">
        <v>2311</v>
      </c>
      <c r="F84" s="337" t="str">
        <f t="array" ref="F84">IF(ISBLANK(input_wld_cl01_vds02_lag_name),"Value Missing",input_wld_cl01_vds02_lag_name)</f>
        <v>Value Missing</v>
      </c>
      <c r="H84" s="17" t="s">
        <v>699</v>
      </c>
      <c r="I84" s="337" t="str">
        <f>IF(ISBLANK(input_cluster_az1_host14_fqdn),"Value Missing",input_cluster_az1_host14_fqdn)</f>
        <v>Value Missing</v>
      </c>
      <c r="N84" s="4" t="s">
        <v>2098</v>
      </c>
      <c r="O84" s="337" t="str">
        <f>IF(ISBLANK('Configure Workload Domain'!D505),"Value Missing",'Configure Workload Domain'!D505)</f>
        <v>Value Missing</v>
      </c>
      <c r="Q84" s="184" t="s">
        <v>259</v>
      </c>
      <c r="R84" s="184" t="s">
        <v>277</v>
      </c>
      <c r="T84" s="4" t="s">
        <v>2346</v>
      </c>
      <c r="U84" s="337" t="str">
        <f>IF(ISBLANK(input_mgmt_srm_vrslcm_wsa_pg),"Value Missing",input_mgmt_srm_vrslcm_wsa_pg)</f>
        <v>Value Missing</v>
      </c>
      <c r="V84" s="3"/>
      <c r="Z84" s="4" t="s">
        <v>2347</v>
      </c>
      <c r="AA84" s="337" t="str">
        <f>IF(this_instance="sfo","10.21.","10.11.")</f>
        <v>10.21.</v>
      </c>
    </row>
    <row r="85" spans="2:27" s="2" customFormat="1" ht="20.100000000000001" customHeight="1" x14ac:dyDescent="0.25">
      <c r="B85" s="337" t="s">
        <v>2348</v>
      </c>
      <c r="C85" s="337" t="str">
        <f>IF(ISBLANK(input_mgmt_sso_domain_username),"Value Missing",input_mgmt_sso_domain_username)</f>
        <v>Value Missing</v>
      </c>
      <c r="E85" s="336" t="s">
        <v>1282</v>
      </c>
      <c r="F85" s="336" t="s">
        <v>277</v>
      </c>
      <c r="H85" s="17" t="s">
        <v>700</v>
      </c>
      <c r="I85" s="337" t="str">
        <f>IF(ISBLANK(input_cluster_az1_host15_fqdn),"Value Missing",input_cluster_az1_host15_fqdn)</f>
        <v>Value Missing</v>
      </c>
      <c r="K85" s="387" t="s">
        <v>2349</v>
      </c>
      <c r="L85" s="387"/>
      <c r="N85" s="4" t="s">
        <v>2105</v>
      </c>
      <c r="O85" s="337" t="str">
        <f>IF(ISBLANK('Configure Workload Domain'!D512),"Value Missing",'Configure Workload Domain'!D512)</f>
        <v>Value Missing</v>
      </c>
      <c r="Q85" s="17" t="s">
        <v>2315</v>
      </c>
      <c r="R85" s="337" t="str">
        <f>IF(xreg_vrops_virtual_fqdn="Value Missing",xreg_vrops_virtual_fqdn,LEFT(xreg_vrops_virtual_fqdn,FIND(".",xreg_vrops_virtual_fqdn)-1))</f>
        <v>operations</v>
      </c>
      <c r="T85" s="4" t="s">
        <v>2350</v>
      </c>
      <c r="U85" s="337" t="str">
        <f>IF(ISBLANK(input_mgmt_srm_vrslcm_wsa_rp),"Value Missing",input_mgmt_srm_vrslcm_wsa_rp)</f>
        <v>Value Missing</v>
      </c>
      <c r="V85" s="3"/>
      <c r="Z85" s="4" t="s">
        <v>2351</v>
      </c>
      <c r="AA85" s="337" t="s">
        <v>2352</v>
      </c>
    </row>
    <row r="86" spans="2:27" s="2" customFormat="1" ht="20.100000000000001" customHeight="1" x14ac:dyDescent="0.25">
      <c r="B86" s="4" t="s">
        <v>311</v>
      </c>
      <c r="C86" s="337" t="str">
        <f>IF(ISBLANK(input_vcf_instance_name),"Value Missing",input_vcf_instance_name)</f>
        <v>Lab-Main-Site</v>
      </c>
      <c r="E86" s="4" t="s">
        <v>2353</v>
      </c>
      <c r="F86" s="337" t="str">
        <f>IF(ISBLANK(input_wld_cl01_vds03_name),"Value Missing",input_wld_cl01_vds03_name)</f>
        <v>Value Missing</v>
      </c>
      <c r="H86" s="17" t="s">
        <v>701</v>
      </c>
      <c r="I86" s="337" t="str">
        <f>IF(ISBLANK(input_cluster_az1_host16_fqdn),"Value Missing",input_cluster_az1_host16_fqdn)</f>
        <v>Value Missing</v>
      </c>
      <c r="K86" s="166" t="s">
        <v>259</v>
      </c>
      <c r="L86" s="167" t="s">
        <v>277</v>
      </c>
      <c r="N86" s="4" t="s">
        <v>2112</v>
      </c>
      <c r="O86" s="337" t="str">
        <f>IF(ISBLANK(input_wld_existing_cross_instance_t0_name),"Value Missing",input_wld_existing_cross_instance_t0_name)</f>
        <v>Value Missing</v>
      </c>
      <c r="Q86" s="17" t="s">
        <v>2319</v>
      </c>
      <c r="R86" s="337" t="str">
        <f>IF(xreg_vrops_nodea_fqdn="Value Missing",xreg_vrops_nodea_fqdn,LEFT(xreg_vrops_nodea_fqdn,FIND(".",xreg_vrops_nodea_fqdn)-1))</f>
        <v>labvcfops01v</v>
      </c>
      <c r="T86" s="4" t="s">
        <v>2354</v>
      </c>
      <c r="U86" s="337" t="str">
        <f>IF(ISBLANK(input_mgmt_srm_vrops_pg),"Value Missing",input_mgmt_srm_vrops_pg)</f>
        <v>Value Missing</v>
      </c>
      <c r="V86" s="3"/>
      <c r="Z86" s="4" t="s">
        <v>2355</v>
      </c>
      <c r="AA86" s="337"/>
    </row>
    <row r="87" spans="2:27" s="2" customFormat="1" ht="20.100000000000001" customHeight="1" x14ac:dyDescent="0.25">
      <c r="E87" s="4" t="s">
        <v>2356</v>
      </c>
      <c r="F87" s="337" t="str">
        <f>IF(input_wld_cl01_vds03_mtu="","Value Missing",input_wld_cl01_vds03_mtu)</f>
        <v>Value Missing</v>
      </c>
      <c r="H87" s="17" t="s">
        <v>712</v>
      </c>
      <c r="I87" s="337" t="str">
        <f>cluster_principal_storage_chosen</f>
        <v>vSAN-ESA</v>
      </c>
      <c r="K87" s="4" t="s">
        <v>2294</v>
      </c>
      <c r="L87" s="337" t="str">
        <f>IF(ISBLANK('Active Directory Inputs'!G10),"Value Missing",'Active Directory Inputs'!G10)</f>
        <v>Value Missing</v>
      </c>
      <c r="N87" s="4" t="s">
        <v>1811</v>
      </c>
      <c r="O87" s="337"/>
      <c r="Q87" s="17" t="s">
        <v>2357</v>
      </c>
      <c r="R87" s="337" t="str">
        <f>IF(xreg_vrops_nodeb_fqdn="Value Missing",xreg_vrops_nodeb_fqdn,LEFT(xreg_vrops_nodeb_fqdn,FIND(".",xreg_vrops_nodeb_fqdn)-1))</f>
        <v>labvcfops02v</v>
      </c>
      <c r="T87" s="4" t="s">
        <v>2358</v>
      </c>
      <c r="U87" s="337" t="str">
        <f>IF(ISBLANK(input_mgmt_srm_vrops_rp),"Value Missing",input_mgmt_srm_vrops_rp)</f>
        <v>Value Missing</v>
      </c>
      <c r="V87" s="3"/>
      <c r="Z87" s="4" t="s">
        <v>2359</v>
      </c>
      <c r="AA87" s="337"/>
    </row>
    <row r="88" spans="2:27" s="2" customFormat="1" ht="20.100000000000001" customHeight="1" x14ac:dyDescent="0.25">
      <c r="B88" s="578" t="s">
        <v>2360</v>
      </c>
      <c r="C88" s="582"/>
      <c r="E88" s="4" t="s">
        <v>2361</v>
      </c>
      <c r="F88" s="337" t="str">
        <f>IF(input_wld_cl01_vds03_pnics="","Value Missing",input_wld_cl01_vds03_pnics)</f>
        <v>Value Missing</v>
      </c>
      <c r="H88" s="17" t="s">
        <v>714</v>
      </c>
      <c r="I88" s="337"/>
      <c r="K88" s="4" t="s">
        <v>2298</v>
      </c>
      <c r="L88" s="337" t="str">
        <f>IF(ISBLANK('Active Directory Inputs'!G11),"Value Missing",'Active Directory Inputs'!G11)</f>
        <v>Value Missing</v>
      </c>
      <c r="N88" s="4" t="s">
        <v>352</v>
      </c>
      <c r="O88" s="337" t="str">
        <f>IF(ISBLANK(input_wld_datacenter),"Value Missing",input_wld_datacenter)</f>
        <v>Value Missing</v>
      </c>
      <c r="Q88" s="17" t="s">
        <v>2362</v>
      </c>
      <c r="R88" s="337" t="str">
        <f>IF(xreg_vrops_nodec_fqdn="Value Missing",xreg_vrops_nodec_fqdn,LEFT(xreg_vrops_nodec_fqdn,FIND(".",xreg_vrops_nodec_fqdn)-1))</f>
        <v>labvcfops03v</v>
      </c>
      <c r="T88" s="4" t="s">
        <v>2363</v>
      </c>
      <c r="U88" s="337" t="str">
        <f>IF(ISBLANK(input_mgmt_srm_vra_pg),"Value Missing",input_mgmt_srm_vra_pg)</f>
        <v>Value Missing</v>
      </c>
      <c r="V88" s="3"/>
      <c r="Z88" s="4" t="s">
        <v>2364</v>
      </c>
      <c r="AA88" s="337" t="str">
        <f>IF(this_instance="sfo","10.11.99","10.21.99")</f>
        <v>10.11.99</v>
      </c>
    </row>
    <row r="89" spans="2:27" s="2" customFormat="1" ht="20.100000000000001" customHeight="1" x14ac:dyDescent="0.25">
      <c r="B89" s="336" t="s">
        <v>259</v>
      </c>
      <c r="C89" s="336" t="s">
        <v>2270</v>
      </c>
      <c r="E89" s="4" t="s">
        <v>2365</v>
      </c>
      <c r="F89" s="337" t="str">
        <f t="array" ref="F89">IF(ISBLANK(input_wld_cl01_vds03_uplink_count),"Value Missing",input_wld_cl01_vds03_uplink_count)</f>
        <v>Value Missing</v>
      </c>
      <c r="H89" s="17" t="s">
        <v>716</v>
      </c>
      <c r="I89" s="337"/>
      <c r="N89" s="4" t="s">
        <v>2366</v>
      </c>
      <c r="O89" s="337" t="str">
        <f>IF(ISBLANK('Private AI Ready Infrastructure'!D15),"Value Missing",'Private AI Ready Infrastructure'!D15)</f>
        <v>Value Missing</v>
      </c>
      <c r="Q89" s="17" t="s">
        <v>338</v>
      </c>
      <c r="R89" s="337" t="str">
        <f>IF(xreg_vrops_collector_fqdn="Value Missing",xreg_vrops_collector_fqdn,LEFT(xreg_vrops_collector_fqdn,FIND(".",xreg_vrops_collector_fqdn)-1))</f>
        <v>labvcfopscollector01v</v>
      </c>
      <c r="T89" s="4" t="s">
        <v>2367</v>
      </c>
      <c r="U89" s="337" t="str">
        <f>IF(ISBLANK(input_mgmt_srm_vra_rp),"Value Missing",input_mgmt_srm_vra_rp)</f>
        <v>Value Missing</v>
      </c>
      <c r="V89" s="3"/>
      <c r="Z89" s="4"/>
      <c r="AA89" s="337"/>
    </row>
    <row r="90" spans="2:27" s="2" customFormat="1" ht="20.100000000000001" customHeight="1" x14ac:dyDescent="0.2">
      <c r="B90" s="4" t="s">
        <v>2368</v>
      </c>
      <c r="C90" s="337" t="str">
        <f>IF(ISBLANK(mgmt_cl01_vds_profile_chosen),"Value Missing",mgmt_cl01_vds_profile_chosen)</f>
        <v>Storage Traffic Separation</v>
      </c>
      <c r="E90" s="4" t="s">
        <v>2369</v>
      </c>
      <c r="F90" s="337" t="str">
        <f>IF(wld_cl01_vds_profile_chosen&lt;&gt;"Storage Traffic and NSX Traffic Separation","Value Missing","Route Based on Physical Nic Load")</f>
        <v>Value Missing</v>
      </c>
      <c r="H90" s="17" t="s">
        <v>2370</v>
      </c>
      <c r="I90" s="337"/>
      <c r="K90" s="387" t="s">
        <v>2371</v>
      </c>
      <c r="L90" s="387"/>
      <c r="N90" s="4" t="s">
        <v>2372</v>
      </c>
      <c r="O90" s="337" t="str">
        <f>CONCATENATE(wld_sddc_domain,"-",wld_vc_hostname,"-",wld_cl01_cluster,"-vds01-management")</f>
        <v>Value Missing-Value Missing-Value Missing-vds01-management</v>
      </c>
      <c r="Q90" s="8"/>
      <c r="R90" s="8"/>
      <c r="T90" s="4" t="s">
        <v>2373</v>
      </c>
      <c r="U90" s="337" t="str">
        <f>IF(ISBLANK(input_mgmt_srm_recovery_vcenter_fqdn),"Value Missing",input_mgmt_srm_recovery_vcenter_fqdn)</f>
        <v>Value Missing</v>
      </c>
      <c r="V90" s="3"/>
      <c r="Z90" s="6"/>
    </row>
    <row r="91" spans="2:27" s="2" customFormat="1" ht="20.100000000000001" customHeight="1" x14ac:dyDescent="0.25">
      <c r="B91" s="336" t="s">
        <v>1274</v>
      </c>
      <c r="C91" s="336" t="s">
        <v>277</v>
      </c>
      <c r="E91" s="4" t="s">
        <v>2374</v>
      </c>
      <c r="F91" s="337"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1" s="17" t="s">
        <v>535</v>
      </c>
      <c r="I91" s="337" t="str">
        <f>IF(ISBLANK(input_cluster_esx_root_username),"Value Missing",input_cluster_esx_root_username)</f>
        <v>Value Missing</v>
      </c>
      <c r="K91" s="166" t="s">
        <v>259</v>
      </c>
      <c r="L91" s="167" t="s">
        <v>277</v>
      </c>
      <c r="Q91" s="580" t="s">
        <v>2375</v>
      </c>
      <c r="R91" s="581"/>
      <c r="T91" s="4" t="s">
        <v>2376</v>
      </c>
      <c r="U91" s="337" t="str">
        <f>IF(ISBLANK(input_mgmt_srm_recovery_vcenter_username),"Value Missing",input_mgmt_srm_recovery_vcenter_username)</f>
        <v>Value Missing</v>
      </c>
      <c r="V91" s="3"/>
    </row>
    <row r="92" spans="2:27" s="2" customFormat="1" ht="20.100000000000001" customHeight="1" x14ac:dyDescent="0.25">
      <c r="B92" s="4" t="s">
        <v>2284</v>
      </c>
      <c r="C92" s="337" t="str">
        <f>IF(ISBLANK('Deploy Management Domain'!L188),"Value Missing",'Deploy Management Domain'!L188)</f>
        <v>LABVCFLAN01</v>
      </c>
      <c r="E92" s="4" t="s">
        <v>2311</v>
      </c>
      <c r="F92" s="2" t="str">
        <f t="array" ref="F92">IF(ISBLANK(input_wld_cl01_vds03_lag_name),"Value Missing",input_wld_cl01_vds03_lag_name)</f>
        <v>Value Missing</v>
      </c>
      <c r="H92" s="17" t="s">
        <v>296</v>
      </c>
      <c r="I92" s="337" t="str">
        <f>IF(ISBLANK(input_cluster_esx_root_password),"Value Missing",input_cluster_esx_root_password)</f>
        <v>Value Missing</v>
      </c>
      <c r="K92" s="4" t="s">
        <v>2294</v>
      </c>
      <c r="L92" s="337"/>
      <c r="N92" s="584" t="s">
        <v>2377</v>
      </c>
      <c r="O92" s="585"/>
      <c r="Q92" s="184" t="s">
        <v>259</v>
      </c>
      <c r="R92" s="184" t="s">
        <v>277</v>
      </c>
      <c r="T92" s="4" t="s">
        <v>2378</v>
      </c>
      <c r="U92" s="337" t="str">
        <f>IF(ISBLANK(input_mgmt_srm_recovery_vcenter_password),"Value Missing",input_mgmt_srm_recovery_vcenter_password)</f>
        <v>Value Missing</v>
      </c>
      <c r="V92" s="3"/>
      <c r="Z92" s="384" t="s">
        <v>2379</v>
      </c>
      <c r="AA92" s="389"/>
    </row>
    <row r="93" spans="2:27" s="2" customFormat="1" ht="20.100000000000001" customHeight="1" x14ac:dyDescent="0.2">
      <c r="B93" s="4" t="s">
        <v>2380</v>
      </c>
      <c r="C93" s="337" t="str">
        <f>IF(ISBLANK(input_mgmt_cl01_vds01_uplink1),"Value Missing",input_mgmt_cl01_vds01_uplink1)</f>
        <v>vmnic1</v>
      </c>
      <c r="E93" s="8"/>
      <c r="F93" s="8"/>
      <c r="H93" s="17" t="s">
        <v>2381</v>
      </c>
      <c r="I93" s="337" t="str">
        <f>IF(ISBLANK(input_cluster_name),"Value Missing",input_cluster_name)</f>
        <v>Value Missing</v>
      </c>
      <c r="K93" s="4" t="s">
        <v>2298</v>
      </c>
      <c r="L93" s="337"/>
      <c r="N93" s="4" t="s">
        <v>100</v>
      </c>
      <c r="O93" s="337" t="str">
        <f>IF(ISBLANK(input_vvs_dr_ntp1_server),"Value Missing",input_vvs_dr_ntp1_server)</f>
        <v>Value Missing</v>
      </c>
      <c r="Q93" s="17" t="s">
        <v>2315</v>
      </c>
      <c r="R93" s="337" t="str">
        <f>IF(ISBLANK(input_xreg_vrops_virtual_fqdn),"Value Missing",input_xreg_vrops_virtual_fqdn)</f>
        <v>operations.vcf.lab.local</v>
      </c>
      <c r="T93" s="4" t="s">
        <v>2382</v>
      </c>
      <c r="U93" s="337" t="str">
        <f>IF(ISBLANK(input_mgmt_srm_recovery_sddc_manager_domain),"Value Missing",input_mgmt_srm_recovery_sddc_manager_domain)</f>
        <v>Value Missing</v>
      </c>
      <c r="V93" s="3"/>
      <c r="Z93" s="166" t="s">
        <v>259</v>
      </c>
      <c r="AA93" s="167" t="s">
        <v>2270</v>
      </c>
    </row>
    <row r="94" spans="2:27" s="2" customFormat="1" ht="20.100000000000001" customHeight="1" x14ac:dyDescent="0.25">
      <c r="B94" s="4" t="s">
        <v>2383</v>
      </c>
      <c r="C94" s="337" t="str">
        <f>IF(ISBLANK(input_mgmt_cl01_vds01_uplink2),"Value Missing",input_mgmt_cl01_vds01_uplink2)</f>
        <v>vmnic2</v>
      </c>
      <c r="E94" s="384" t="s">
        <v>2384</v>
      </c>
      <c r="F94" s="389"/>
      <c r="H94" s="17" t="s">
        <v>2385</v>
      </c>
      <c r="I94" s="337" t="str">
        <f>IF(ISBLANK(input_cluster_image_name),"Value Missing",input_cluster_image_name)</f>
        <v>Value Missing</v>
      </c>
      <c r="N94" s="4" t="s">
        <v>2386</v>
      </c>
      <c r="O94" s="337" t="str">
        <f>IF(ISBLANK(input_vvs_dr_dns1_ip),"Value Missing",input_vvs_dr_dns1_ip)</f>
        <v>Value Missing</v>
      </c>
      <c r="Q94" s="17" t="s">
        <v>2319</v>
      </c>
      <c r="R94" s="337" t="str">
        <f>IF(ISBLANK(input_xreg_vrops_nodea_fqdn),"Value Missing",input_xreg_vrops_nodea_fqdn)</f>
        <v>labvcfops01v.vcf.lab.local</v>
      </c>
      <c r="T94" s="4" t="s">
        <v>2387</v>
      </c>
      <c r="U94" s="337" t="str">
        <f>IF(ISBLANK(input_mgmt_srm_recovery_nsx_location),"Value Missing",input_mgmt_srm_recovery_nsx_location)</f>
        <v>Value Missing</v>
      </c>
      <c r="V94" s="3"/>
      <c r="Z94" s="4" t="s">
        <v>2388</v>
      </c>
      <c r="AA94" s="337" t="str">
        <f>IF(AND((spr_chosen="Management Only"),(spr_result="Included")),"True","False")</f>
        <v>False</v>
      </c>
    </row>
    <row r="95" spans="2:27" s="2" customFormat="1" ht="20.100000000000001" customHeight="1" x14ac:dyDescent="0.25">
      <c r="B95" s="4" t="s">
        <v>2293</v>
      </c>
      <c r="C95" s="337">
        <f>IF(ISBLANK(input_mgmt_cl01_vds01_uplink_count),"Value Missing",input_mgmt_cl01_vds01_uplink_count)</f>
        <v>2</v>
      </c>
      <c r="E95" s="166" t="s">
        <v>259</v>
      </c>
      <c r="F95" s="167" t="s">
        <v>2270</v>
      </c>
      <c r="H95" s="17" t="s">
        <v>1260</v>
      </c>
      <c r="I95" s="337"/>
      <c r="K95" s="387" t="s">
        <v>2389</v>
      </c>
      <c r="L95" s="387"/>
      <c r="N95" s="4" t="s">
        <v>2390</v>
      </c>
      <c r="O95" s="337" t="str">
        <f>IF(ISBLANK(input_vvs_dr_dns2_ip),"Value Missing",input_vvs_dr_dns2_ip)</f>
        <v>Value Missing</v>
      </c>
      <c r="Q95" s="17" t="s">
        <v>2324</v>
      </c>
      <c r="R95" s="337" t="str">
        <f>IF(ISBLANK(input_xreg_vrops_nodeb_fqdn),"Value Missing",input_xreg_vrops_nodeb_fqdn)</f>
        <v>labvcfops02v.vcf.lab.local</v>
      </c>
      <c r="T95" s="4" t="s">
        <v>2391</v>
      </c>
      <c r="U95" s="337" t="str">
        <f>IF(ISBLANK(input_mgmt_srm_recovery_nsx_ec_name),"Value Missing",input_mgmt_srm_recovery_nsx_ec_name)</f>
        <v>Value Missing</v>
      </c>
      <c r="V95" s="3"/>
      <c r="Z95" s="4" t="s">
        <v>2392</v>
      </c>
      <c r="AA95" s="337" t="str">
        <f>IF(AND((spr_chosen="VI Workload Only"),(spr_result="Included")),"True","False")</f>
        <v>False</v>
      </c>
    </row>
    <row r="96" spans="2:27" s="2" customFormat="1" ht="20.100000000000001" customHeight="1" x14ac:dyDescent="0.25">
      <c r="B96" s="4" t="s">
        <v>2297</v>
      </c>
      <c r="C96" s="337">
        <f>IF(ISBLANK(input_mgmt_cl01_vds01_mtu),"Value Missing",input_mgmt_cl01_vds01_mtu)</f>
        <v>9000</v>
      </c>
      <c r="E96" s="4" t="s">
        <v>2393</v>
      </c>
      <c r="F96" s="337" t="str">
        <f>IF(ISBLANK(input_wld_cl01_vsan_datastore),"Value Missing",input_wld_cl01_vsan_datastore)</f>
        <v>Value Missing</v>
      </c>
      <c r="H96" s="22" t="s">
        <v>1554</v>
      </c>
      <c r="I96" s="337" t="str">
        <f>IF(ISBLANK(input_cluster_storage_cluster_name),"Value Missing",input_cluster_storage_cluster_name)</f>
        <v>Value Missing</v>
      </c>
      <c r="K96" s="166" t="s">
        <v>259</v>
      </c>
      <c r="L96" s="167" t="s">
        <v>277</v>
      </c>
      <c r="N96" s="4" t="s">
        <v>2394</v>
      </c>
      <c r="O96" s="337" t="str">
        <f>IF(ISBLANK(input_vvs_dr_parent_dns_zone),"Value Missing",input_vvs_dr_parent_dns_zone)</f>
        <v>Value Missing</v>
      </c>
      <c r="Q96" s="17" t="s">
        <v>2329</v>
      </c>
      <c r="R96" s="337" t="str">
        <f>IF(ISBLANK(input_xreg_vrops_nodec_fqdn),"Value Missing",input_xreg_vrops_nodec_fqdn)</f>
        <v>labvcfops03v.vcf.lab.local</v>
      </c>
      <c r="T96" s="4" t="s">
        <v>2395</v>
      </c>
      <c r="U96" s="337" t="str">
        <f>IF(ISBLANK(input_mgmt_srm_recovery_cluster),"Value Missing",input_mgmt_srm_recovery_cluster)</f>
        <v>Value Missing</v>
      </c>
      <c r="V96" s="3"/>
      <c r="Z96" s="4" t="s">
        <v>2396</v>
      </c>
      <c r="AA96" s="337" t="str">
        <f>IF(spr_chosen="Management &amp; VI Workload","True","False")</f>
        <v>False</v>
      </c>
    </row>
    <row r="97" spans="2:27" s="2" customFormat="1" ht="20.100000000000001" customHeight="1" x14ac:dyDescent="0.25">
      <c r="B97" s="4" t="s">
        <v>2311</v>
      </c>
      <c r="C97" s="337" t="str">
        <f>IF(ISBLANK(input_mgmt_cl01_vds01_lag_name),"Value Missing",input_mgmt_cl01_vds01_lag_name)</f>
        <v>Value Missing</v>
      </c>
      <c r="E97" s="4" t="s">
        <v>2397</v>
      </c>
      <c r="F97" s="337"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7" s="22" t="s">
        <v>727</v>
      </c>
      <c r="I97" s="337" t="str">
        <f>IF(ISBLANK(input_cluster_vsan_datastore),"Value Missing",input_cluster_vsan_datastore)</f>
        <v>Value Missing</v>
      </c>
      <c r="K97" s="4" t="s">
        <v>2398</v>
      </c>
      <c r="L97" s="337" t="s">
        <v>357</v>
      </c>
      <c r="N97" s="4" t="s">
        <v>2399</v>
      </c>
      <c r="O97" s="337" t="str">
        <f>IF(ISBLANK(input_vvs_dr_flt_fleet_manager_fqdn),"Value Missing",input_vvs_dr_flt_fleet_manager_fqdn)</f>
        <v>Value Missing</v>
      </c>
      <c r="Q97" s="17" t="s">
        <v>338</v>
      </c>
      <c r="R97" s="337" t="str">
        <f>IF(ISBLANK(input_xreg_vrops_collector_fqdn),"Value Missing",input_xreg_vrops_collector_fqdn)</f>
        <v>labvcfopscollector01v.vcf.lab.local</v>
      </c>
      <c r="T97" s="4" t="s">
        <v>2400</v>
      </c>
      <c r="U97" s="337" t="str">
        <f>IF(ISBLANK(input_mgmt_srm_recovery_datastore),"Value Missing",input_mgmt_srm_recovery_datastore)</f>
        <v>Value Missing</v>
      </c>
      <c r="V97" s="3"/>
      <c r="Z97" s="4" t="s">
        <v>2401</v>
      </c>
      <c r="AA97" s="337" t="str">
        <f>IF(AND((mgmt_domain_chosen="Deploy a new VCF fleet"),(OR((spr_mo_result="True"),(spr_mw_result="True")))),"True","False")</f>
        <v>False</v>
      </c>
    </row>
    <row r="98" spans="2:27" s="2" customFormat="1" ht="20.100000000000001" customHeight="1" x14ac:dyDescent="0.2">
      <c r="B98" s="336" t="s">
        <v>1280</v>
      </c>
      <c r="C98" s="336" t="s">
        <v>277</v>
      </c>
      <c r="E98" s="4" t="s">
        <v>1264</v>
      </c>
      <c r="F98" s="337" t="str">
        <f>IF(ISBLANK('Deploy Workload Domain'!D204),"Value Missing",'Deploy Workload Domain'!D204)</f>
        <v>Unselected</v>
      </c>
      <c r="H98" s="22" t="s">
        <v>1263</v>
      </c>
      <c r="I98" s="337"/>
      <c r="K98" s="4" t="s">
        <v>2402</v>
      </c>
      <c r="L98" s="337" t="s">
        <v>357</v>
      </c>
      <c r="N98" s="4" t="s">
        <v>2403</v>
      </c>
      <c r="O98" s="337" t="str">
        <f>IF(ISBLANK(input_vvs_dr_flt_ops_nodea_fqdn),"Value Missing",input_vvs_dr_flt_ops_nodea_fqdn)</f>
        <v>Value Missing</v>
      </c>
      <c r="Q98" s="8"/>
      <c r="R98" s="8"/>
      <c r="T98" s="4" t="s">
        <v>2404</v>
      </c>
      <c r="U98" s="337" t="str">
        <f>IF(ISBLANK(input_mgmt_vrms_recovery_replication_cidr),"Value Missing",input_mgmt_vrms_recovery_replication_cidr)</f>
        <v>Value Missing</v>
      </c>
      <c r="V98" s="3"/>
      <c r="Z98" s="4" t="s">
        <v>2405</v>
      </c>
      <c r="AA98" s="337" t="str">
        <f>IF(AND((mgmt_domain_chosen&lt;&gt;"First Domain"),(OR((spr_mo_result="True"),(spr_mw_result="True")))),"True","False")</f>
        <v>False</v>
      </c>
    </row>
    <row r="99" spans="2:27" s="2" customFormat="1" ht="20.100000000000001" customHeight="1" x14ac:dyDescent="0.25">
      <c r="B99" s="4" t="s">
        <v>2318</v>
      </c>
      <c r="C99" s="337" t="str">
        <f>IF(ISBLANK(input_mgmt_cl01_vds02_name),"Value Missing",input_mgmt_cl01_vds02_name)</f>
        <v>LABVCFSAN01</v>
      </c>
      <c r="E99" s="4" t="s">
        <v>1265</v>
      </c>
      <c r="F99" s="337" t="str">
        <f>IF(ISBLANK(input_wld_cl01_vmfs_datastore_name),"Value Missing",input_wld_cl01_vmfs_datastore_name)</f>
        <v>Value Missing</v>
      </c>
      <c r="H99" s="22" t="s">
        <v>2406</v>
      </c>
      <c r="I99" s="337" t="str">
        <f>IF(ISBLANK(cluster_vsan_ftt_chosen),"Value Missing",cluster_vsan_ftt_chosen)</f>
        <v>1</v>
      </c>
      <c r="K99" s="4" t="s">
        <v>2407</v>
      </c>
      <c r="L99" s="337" t="s">
        <v>878</v>
      </c>
      <c r="N99" s="4" t="s">
        <v>2408</v>
      </c>
      <c r="O99" s="337" t="str">
        <f t="array" ref="O99">IF(ISBLANK(input_vvs_dr_flt_ops_nodeb_fqdn),"Value Missing",input_vvs_dr_flt_ops_nodeb_fqdn)</f>
        <v>Value Missing</v>
      </c>
      <c r="Q99" s="387" t="s">
        <v>2409</v>
      </c>
      <c r="R99" s="387"/>
      <c r="T99" s="4" t="s">
        <v>2410</v>
      </c>
      <c r="U99" s="337" t="str">
        <f>IF(ISBLANK(input_mgmt_srm_sso_domain_membership),"Value Missing",input_mgmt_srm_sso_domain_membership)</f>
        <v>Value Missing</v>
      </c>
      <c r="V99" s="3"/>
      <c r="Z99" s="4" t="s">
        <v>2411</v>
      </c>
      <c r="AA99" s="337" t="str">
        <f>IF(AND((mgmt_domain_chosen="First Domain"),(OR((spr_wo_result="True"),(spr_mw_result="True")))),"True","False")</f>
        <v>False</v>
      </c>
    </row>
    <row r="100" spans="2:27" s="2" customFormat="1" ht="20.100000000000001" customHeight="1" x14ac:dyDescent="0.2">
      <c r="B100" s="4" t="s">
        <v>2412</v>
      </c>
      <c r="C100" s="337" t="str">
        <f>IF(ISBLANK(input_mgmt_cl01_vds02_uplink1),"Value Missing",input_mgmt_cl01_vds02_uplink1)</f>
        <v>vmnic3</v>
      </c>
      <c r="E100" s="22" t="s">
        <v>1266</v>
      </c>
      <c r="F100" s="337" t="str">
        <f>IF(ISBLANK('Deploy Workload Domain'!D206),"Value Missing",'Deploy Workload Domain'!D206)</f>
        <v>Value Missing</v>
      </c>
      <c r="H100" s="22" t="s">
        <v>1264</v>
      </c>
      <c r="I100" s="337" t="str">
        <f>IF(ISBLANK(cluster_vsan_dedupe_compression_chosen),"Value Missing",cluster_vsan_dedupe_compression_chosen)</f>
        <v>Unselected</v>
      </c>
      <c r="K100" s="4" t="s">
        <v>2413</v>
      </c>
      <c r="L100" s="337" t="str">
        <f>IF(ISBLANK(input_svc_vrops_vra_user),"Value Missing",input_svc_vrops_vra_user)</f>
        <v>Value Missing</v>
      </c>
      <c r="N100" s="4" t="s">
        <v>2414</v>
      </c>
      <c r="O100" s="337" t="str">
        <f t="array" ref="O100">IF(ISBLANK(input_vvs_dr_flt_ops_nodec_fqdn),"Value Missing",input_vvs_dr_flt_ops_nodec_fqdn)</f>
        <v>Value Missing</v>
      </c>
      <c r="Q100" s="166" t="s">
        <v>259</v>
      </c>
      <c r="R100" s="167" t="s">
        <v>277</v>
      </c>
      <c r="T100" s="8"/>
      <c r="U100" s="8"/>
      <c r="V100" s="3"/>
      <c r="Z100" s="4" t="s">
        <v>2415</v>
      </c>
      <c r="AA100" s="337" t="str">
        <f>IF((mgmt_nsxt_federation_result="Included"),"True","False")</f>
        <v>False</v>
      </c>
    </row>
    <row r="101" spans="2:27" s="2" customFormat="1" ht="20.100000000000001" customHeight="1" x14ac:dyDescent="0.25">
      <c r="B101" s="4" t="s">
        <v>2416</v>
      </c>
      <c r="C101" s="337" t="str">
        <f>IF(ISBLANK(input_mgmt_cl01_vds02_uplink2),"Value Missing",input_mgmt_cl01_vds02_uplink2)</f>
        <v>vmnic4</v>
      </c>
      <c r="E101" s="22" t="s">
        <v>1267</v>
      </c>
      <c r="F101" s="337" t="str">
        <f>IF(ISBLANK('Deploy Workload Domain'!D207),"Value Missing",'Deploy Workload Domain'!D207)</f>
        <v>Value Missing</v>
      </c>
      <c r="H101" s="22" t="s">
        <v>1265</v>
      </c>
      <c r="I101" s="337" t="str">
        <f>IF(ISBLANK(input_cluster_vmfs_datastore_name),"Value Missing",input_cluster_vmfs_datastore_name)</f>
        <v>Value Missing</v>
      </c>
      <c r="K101" s="4" t="s">
        <v>2417</v>
      </c>
      <c r="L101" s="337" t="s">
        <v>878</v>
      </c>
      <c r="N101" s="4" t="s">
        <v>2418</v>
      </c>
      <c r="O101" s="337" t="str">
        <f>IF(ISBLANK(input_vvs_dr_flt_logs_nodea_fqdn),"Value Missing",input_vvs_dr_flt_logs_nodea_fqdn)</f>
        <v>Value Missing</v>
      </c>
      <c r="Q101" s="361" t="s">
        <v>2419</v>
      </c>
      <c r="R101" s="337" t="str">
        <f>IF(ISBLANK(input_mgmt_vrms_mgmt_ip),"Value Missing",input_mgmt_vrms_mgmt_ip)</f>
        <v>Value Missing</v>
      </c>
      <c r="T101" s="387" t="s">
        <v>2420</v>
      </c>
      <c r="U101" s="387"/>
      <c r="V101" s="3"/>
      <c r="Z101" s="4" t="s">
        <v>2421</v>
      </c>
      <c r="AA101" s="337" t="str">
        <f>IF(AND((mgmt_nsxt_federation_result="Included"),(wld_domain_result="Included")),"True","False")</f>
        <v>False</v>
      </c>
    </row>
    <row r="102" spans="2:27" s="2" customFormat="1" ht="20.100000000000001" customHeight="1" x14ac:dyDescent="0.25">
      <c r="B102" s="337" t="s">
        <v>2327</v>
      </c>
      <c r="C102" s="337">
        <f>IF(ISBLANK(input_mgmt_cl01_vds02_uplink_count),"Value Missing",input_mgmt_cl01_vds02_uplink_count)</f>
        <v>2</v>
      </c>
      <c r="E102" s="22" t="s">
        <v>1268</v>
      </c>
      <c r="F102" s="337" t="str">
        <f>IF(ISBLANK('Deploy Workload Domain'!D208),"Value Missing",'Deploy Workload Domain'!D208)</f>
        <v>Value Missing</v>
      </c>
      <c r="H102" s="22" t="s">
        <v>1266</v>
      </c>
      <c r="I102" s="337" t="str">
        <f>IF(ISBLANK(input_cluster_nfs_datastore_name),"Value Missing",input_cluster_nfs_datastore_name)</f>
        <v>Value Missing</v>
      </c>
      <c r="K102" s="4" t="s">
        <v>2422</v>
      </c>
      <c r="L102" s="337"/>
      <c r="N102" s="4" t="s">
        <v>2423</v>
      </c>
      <c r="O102" s="337" t="str">
        <f>IF(ISBLANK(input_vvs_dr_flt_logs_nodeb_fqdn),"Value Missing",input_vvs_dr_flt_logs_nodeb_fqdn)</f>
        <v>Value Missing</v>
      </c>
      <c r="Q102" s="361" t="s">
        <v>2424</v>
      </c>
      <c r="R102" s="337" t="str">
        <f>IF(ISBLANK(input_mgmt_vrms_vrms_ip),"Value Missing",input_mgmt_vrms_vrms_ip)</f>
        <v>Value Missing</v>
      </c>
      <c r="T102" s="166" t="s">
        <v>259</v>
      </c>
      <c r="U102" s="167" t="s">
        <v>277</v>
      </c>
      <c r="V102" s="3"/>
      <c r="Z102" s="4" t="s">
        <v>2425</v>
      </c>
      <c r="AA102" s="337" t="str">
        <f>IF(AND((mgmt_nsxt_federation_result="Included")),"True","False")</f>
        <v>False</v>
      </c>
    </row>
    <row r="103" spans="2:27" s="2" customFormat="1" ht="20.100000000000001" customHeight="1" x14ac:dyDescent="0.25">
      <c r="B103" s="4" t="s">
        <v>2332</v>
      </c>
      <c r="C103" s="337">
        <f>IF(ISBLANK(input_mgmt_cl01_vds02_mtu),"Value Missing",input_mgmt_cl01_vds02_mtu)</f>
        <v>9000</v>
      </c>
      <c r="H103" s="22" t="s">
        <v>1267</v>
      </c>
      <c r="I103" s="337" t="str">
        <f>IF(ISBLANK(input_cluster_nfs_share_path),"Value Missing",input_cluster_nfs_share_path)</f>
        <v>Value Missing</v>
      </c>
      <c r="K103" s="4" t="s">
        <v>2426</v>
      </c>
      <c r="L103" s="337" t="str">
        <f>IF(ISBLANK('Active Directory Inputs'!E37),"Value Missing",'Active Directory Inputs'!E37)</f>
        <v>Value Missing</v>
      </c>
      <c r="N103" s="4" t="s">
        <v>2427</v>
      </c>
      <c r="O103" s="337" t="str">
        <f>IF(ISBLANK(input_vvs_dr_flt_logs_nodec_fqdn),"Value Missing",input_vvs_dr_flt_logs_nodec_fqdn)</f>
        <v>Value Missing</v>
      </c>
      <c r="Q103" s="361" t="s">
        <v>2428</v>
      </c>
      <c r="R103" s="337" t="str">
        <f>IF(ISBLANK(input_mgmt_srm_ip),"Value Missing",input_mgmt_srm_ip)</f>
        <v>Value Missing</v>
      </c>
      <c r="T103" s="4" t="s">
        <v>2262</v>
      </c>
      <c r="U103" s="337" t="str">
        <f>IF(ISBLANK(input_wld_vrms_vm_folder),"Value Missing",input_wld_vrms_vm_folder)</f>
        <v>Value Missing</v>
      </c>
      <c r="V103" s="3"/>
      <c r="Z103" s="4" t="s">
        <v>2429</v>
      </c>
      <c r="AA103" s="337" t="str">
        <f>IF(AND((mgmt_domain_chosen&lt;&gt;"First Domain"),(mgmt_nsxt_federation_result="Included"),(wld_domain_result="Included")),"True","False")</f>
        <v>False</v>
      </c>
    </row>
    <row r="104" spans="2:27" s="2" customFormat="1" ht="20.100000000000001" customHeight="1" x14ac:dyDescent="0.25">
      <c r="B104" s="4" t="s">
        <v>2311</v>
      </c>
      <c r="C104" s="337" t="str">
        <f>IF(ISBLANK(input_mgmt_cl01_vds02_lag_name),"Value Missing",input_mgmt_cl01_vds02_lag_name)</f>
        <v>Value Missing</v>
      </c>
      <c r="E104" s="387" t="s">
        <v>2430</v>
      </c>
      <c r="F104" s="387"/>
      <c r="H104" s="22" t="s">
        <v>1268</v>
      </c>
      <c r="I104" s="337" t="str">
        <f>IF(ISBLANK(input_cluster_nfs_server_address),"Value Missing",input_cluster_nfs_server_address)</f>
        <v>Value Missing</v>
      </c>
      <c r="K104" s="4" t="s">
        <v>2431</v>
      </c>
      <c r="L104" s="337" t="str">
        <f>IF(ISBLANK('Active Directory Inputs'!E38),"Value Missing",'Active Directory Inputs'!E38)</f>
        <v>Value Missing</v>
      </c>
      <c r="N104" s="4" t="s">
        <v>2432</v>
      </c>
      <c r="O104" s="337" t="str">
        <f>IF(ISBLANK(input_vvs_dr_flt_net_nodea_fqdn),"Value Missing",input_vvs_dr_flt_net_nodea_fqdn)</f>
        <v>Value Missing</v>
      </c>
      <c r="Q104" s="361" t="s">
        <v>2433</v>
      </c>
      <c r="R104" s="337" t="str">
        <f>IF(ISBLANK(input_mgmt_srm_recovery_t1_si_ip),"Value Missing",input_mgmt_srm_recovery_t1_si_ip)</f>
        <v>Value Missing</v>
      </c>
      <c r="T104" s="4" t="s">
        <v>2267</v>
      </c>
      <c r="U104" s="337" t="str">
        <f>IF(ISBLANK(input_wld_vrms_root_password),"Value Missing",input_wld_vrms_root_password)</f>
        <v>Value Missing</v>
      </c>
      <c r="V104" s="3"/>
      <c r="Z104" s="4" t="s">
        <v>2434</v>
      </c>
      <c r="AA104" s="337" t="str">
        <f>IF(wld_domain_result="Included",IF(wld_domain_chosen="Create New SSO Domain","False","True"),"False")</f>
        <v>False</v>
      </c>
    </row>
    <row r="105" spans="2:27" s="2" customFormat="1" ht="20.100000000000001" customHeight="1" x14ac:dyDescent="0.2">
      <c r="B105" s="336" t="s">
        <v>1282</v>
      </c>
      <c r="C105" s="336" t="s">
        <v>277</v>
      </c>
      <c r="E105" s="4" t="s">
        <v>259</v>
      </c>
      <c r="F105" s="4" t="s">
        <v>277</v>
      </c>
      <c r="H105" s="17" t="s">
        <v>2435</v>
      </c>
      <c r="I105" s="337" t="str">
        <f>IF(ISBLANK(cluster_vds_profile_chosen),"Value Missing",cluster_vds_profile_chosen)</f>
        <v>Default</v>
      </c>
      <c r="K105" s="4" t="s">
        <v>2436</v>
      </c>
      <c r="L105" s="337" t="str">
        <f>IF(ISBLANK('Active Directory Inputs'!E39),"Value Missing",'Active Directory Inputs'!E39)</f>
        <v>Value Missing</v>
      </c>
      <c r="N105" s="4" t="s">
        <v>2437</v>
      </c>
      <c r="O105" s="337" t="str">
        <f>IF(ISBLANK(input_vvs_dr_flt_net_nodeb_fqdn),"Value Missing",input_vvs_dr_flt_net_nodeb_fqdn)</f>
        <v>Value Missing</v>
      </c>
      <c r="Q105" s="8"/>
      <c r="R105" s="8"/>
      <c r="T105" s="4" t="s">
        <v>2272</v>
      </c>
      <c r="U105" s="337" t="str">
        <f>IF(ISBLANK(input_wld_vrms_admin_password),"Value Missing",input_wld_vrms_admin_password)</f>
        <v>Value Missing</v>
      </c>
      <c r="V105" s="3"/>
      <c r="Z105" s="4" t="s">
        <v>2438</v>
      </c>
      <c r="AA105" s="337">
        <f t="array" ref="AA105">SUM(IF('Management Domain Sizing'!C36:C59="VI Workload Domain",1,0))</f>
        <v>0</v>
      </c>
    </row>
    <row r="106" spans="2:27" s="2" customFormat="1" ht="20.100000000000001" customHeight="1" x14ac:dyDescent="0.25">
      <c r="B106" s="4" t="s">
        <v>2353</v>
      </c>
      <c r="C106" s="337" t="str">
        <f>IF(ISBLANK(input_mgmt_cl01_vds03_name),"Value Missing",input_mgmt_cl01_vds03_name)</f>
        <v>Value Missing</v>
      </c>
      <c r="E106" s="361" t="s">
        <v>2026</v>
      </c>
      <c r="F106" s="337" t="str">
        <f>IF(ISBLANK('Configure Workload Domain'!D265),"Value Missing",'Configure Workload Domain'!D265)</f>
        <v>Value Missing</v>
      </c>
      <c r="H106" s="17" t="s">
        <v>1271</v>
      </c>
      <c r="I106" s="337"/>
      <c r="K106" s="4" t="s">
        <v>2439</v>
      </c>
      <c r="L106" s="337" t="str">
        <f>IF(ISBLANK('Active Directory Inputs'!E40),"Value Missing",'Active Directory Inputs'!E40)</f>
        <v>Value Missing</v>
      </c>
      <c r="N106" s="4" t="s">
        <v>2440</v>
      </c>
      <c r="O106" s="337" t="str">
        <f>IF(ISBLANK(input_vvs_dr_flt_net_nodec_fqdn),"Value Missing",input_vvs_dr_flt_net_nodec_fqdn)</f>
        <v>Value Missing</v>
      </c>
      <c r="Q106" s="387" t="s">
        <v>2441</v>
      </c>
      <c r="R106" s="387"/>
      <c r="T106" s="4" t="s">
        <v>2278</v>
      </c>
      <c r="U106" s="337" t="str">
        <f>IF(ISBLANK(input_wld_vrms_site_name),"Value Missing",input_wld_vrms_site_name)</f>
        <v>Value Missing</v>
      </c>
      <c r="V106" s="3"/>
      <c r="Z106" s="74" t="s">
        <v>2442</v>
      </c>
      <c r="AA106" s="186">
        <f t="array" ref="AA106">SUM(IF('Management Domain Sizing'!C36:C59="Isolated VI Workload Domain",1,0))</f>
        <v>0</v>
      </c>
    </row>
    <row r="107" spans="2:27" s="2" customFormat="1" ht="20.100000000000001" customHeight="1" x14ac:dyDescent="0.25">
      <c r="B107" s="4" t="s">
        <v>2443</v>
      </c>
      <c r="C107" s="337" t="str">
        <f>IF(ISBLANK(input_mgmt_cl01_vds03_uplink1),"Value Missing",input_mgmt_cl01_vds03_uplink1)</f>
        <v>Value Missing</v>
      </c>
      <c r="E107" s="361" t="s">
        <v>726</v>
      </c>
      <c r="F107" s="337" t="str">
        <f>IF(ISBLANK(input_wld_witness_hostname),"Value Missing",input_wld_witness_hostname)</f>
        <v>Value Missing</v>
      </c>
      <c r="H107" s="17" t="s">
        <v>1274</v>
      </c>
      <c r="I107" s="337" t="str">
        <f>IF(ISBLANK(input_cluster_vds01_name),"Value Missing",input_cluster_vds01_name)</f>
        <v>Value Missing</v>
      </c>
      <c r="K107" s="4" t="s">
        <v>2444</v>
      </c>
      <c r="L107" s="337" t="str">
        <f>IF(ISBLANK('Active Directory Inputs'!E41),"Value Missing",'Active Directory Inputs'!E41)</f>
        <v>Value Missing</v>
      </c>
      <c r="N107" s="4" t="s">
        <v>2445</v>
      </c>
      <c r="O107" s="337" t="str">
        <f>IF(ISBLANK(input_vvs_dr_flt_auto_fqdn),"Value Missing",input_vvs_dr_flt_auto_fqdn)</f>
        <v>Value Missing</v>
      </c>
      <c r="Q107" s="166" t="s">
        <v>259</v>
      </c>
      <c r="R107" s="167" t="s">
        <v>277</v>
      </c>
      <c r="T107" s="4" t="s">
        <v>2282</v>
      </c>
      <c r="U107" s="337" t="str">
        <f>IF(ISBLANK(input_wld_vrms_admin_email),"Value Missing",input_wld_vrms_admin_email)</f>
        <v>Value Missing</v>
      </c>
      <c r="V107" s="3"/>
      <c r="Z107" s="187" t="s">
        <v>2446</v>
      </c>
      <c r="AA107" s="188" t="str">
        <f>IF(AND(OR(vcf_granular_option_chosen="Full Instance",vcf_granular_option_chosen="Additional VCF Instance"),(wld_domain_result="Excluded")),"Included","Excluded")</f>
        <v>Excluded</v>
      </c>
    </row>
    <row r="108" spans="2:27" s="2" customFormat="1" ht="20.100000000000001" customHeight="1" x14ac:dyDescent="0.25">
      <c r="B108" s="4" t="s">
        <v>2447</v>
      </c>
      <c r="C108" s="337" t="str">
        <f>IF(ISBLANK(input_mgmt_cl01_vds03_uplink2),"Value Missing",input_mgmt_cl01_vds03_uplink2)</f>
        <v>Value Missing</v>
      </c>
      <c r="H108" s="17" t="s">
        <v>401</v>
      </c>
      <c r="I108" s="337" t="str">
        <f>IF(ISBLANK(input_cluster_vds01_mtu),"Value Missing",input_cluster_vds01_mtu)</f>
        <v>Value Missing</v>
      </c>
      <c r="N108" s="4" t="s">
        <v>299</v>
      </c>
      <c r="O108" s="337" t="str">
        <f>IF(ISBLANK(input_vvs_dr_mgmt_vc_fqdn),"Value Missing",input_vvs_dr_mgmt_vc_fqdn)</f>
        <v>Value Missing</v>
      </c>
      <c r="Q108" s="361" t="s">
        <v>2419</v>
      </c>
      <c r="R108" s="337" t="str">
        <f>IF(ISBLANK(input_wld_vrms_mgmt_ip),"Value Missing",input_wld_vrms_mgmt_ip)</f>
        <v>Value Missing</v>
      </c>
      <c r="T108" s="4" t="s">
        <v>2288</v>
      </c>
      <c r="U108" s="337" t="str">
        <f>IF(ISBLANK(input_wld_vrms_pg),"Value Missing",input_wld_vrms_pg)</f>
        <v>Value Missing</v>
      </c>
      <c r="V108" s="3"/>
    </row>
    <row r="109" spans="2:27" s="2" customFormat="1" ht="20.100000000000001" customHeight="1" x14ac:dyDescent="0.25">
      <c r="B109" s="4" t="s">
        <v>2365</v>
      </c>
      <c r="C109" s="337" t="str">
        <f>IF(ISBLANK(input_mgmt_cl01_vds03_uplink_count),"Value Missing",input_mgmt_cl01_vds03_uplink_count)</f>
        <v>Value Missing</v>
      </c>
      <c r="E109" s="391" t="s">
        <v>2448</v>
      </c>
      <c r="F109" s="390"/>
      <c r="H109" s="4" t="s">
        <v>784</v>
      </c>
      <c r="I109" s="337" t="str">
        <f>IF(ISBLANK(input_cluster_az1_host_overlay_network_profile_name),"Value Missing",input_cluster_az1_host_overlay_network_profile_name)</f>
        <v>Value Missing</v>
      </c>
      <c r="K109" s="575" t="s">
        <v>2449</v>
      </c>
      <c r="L109" s="577"/>
      <c r="N109" s="4" t="s">
        <v>2450</v>
      </c>
      <c r="O109" s="337" t="str">
        <f>IF(ISBLANK(input_vvs_dr_mgmt_cl01_cluster),"Value Missing",input_vvs_dr_mgmt_cl01_cluster)</f>
        <v>Value Missing</v>
      </c>
      <c r="Q109" s="361" t="s">
        <v>2424</v>
      </c>
      <c r="R109" s="337" t="str">
        <f>IF(ISBLANK(input_wld_vrms_vrms_ip),"Value Missing",input_wld_vrms_vrms_ip)</f>
        <v>Value Missing</v>
      </c>
      <c r="T109" s="4" t="s">
        <v>2291</v>
      </c>
      <c r="U109" s="337" t="str">
        <f>IF(ISBLANK(input_wld_vrms_p12_password),"Value Missing",input_wld_vrms_p12_password)</f>
        <v>Value Missing</v>
      </c>
      <c r="V109" s="3"/>
    </row>
    <row r="110" spans="2:27" s="2" customFormat="1" ht="20.100000000000001" customHeight="1" x14ac:dyDescent="0.25">
      <c r="B110" s="4" t="s">
        <v>2356</v>
      </c>
      <c r="C110" s="337" t="str">
        <f>IF(ISBLANK(input_mgmt_cl01_vds03_mtu),"Value Missing",input_mgmt_cl01_vds03_mtu)</f>
        <v>Value Missing</v>
      </c>
      <c r="E110" s="336" t="s">
        <v>259</v>
      </c>
      <c r="F110" s="184" t="s">
        <v>277</v>
      </c>
      <c r="H110" s="22" t="s">
        <v>427</v>
      </c>
      <c r="I110" s="337" t="str">
        <f>IF(ISBLANK(input_cluster_vds01_uplink_count),"Value Missing",input_cluster_vds01_uplink_count)</f>
        <v>Value Missing</v>
      </c>
      <c r="K110" s="166" t="s">
        <v>259</v>
      </c>
      <c r="L110" s="167" t="s">
        <v>277</v>
      </c>
      <c r="N110" s="4" t="s">
        <v>2451</v>
      </c>
      <c r="O110" s="337" t="str">
        <f>IF(ISBLANK(input_vvs_mgmt_dr_vlr_fqdn),"Value Missing",input_vvs_mgmt_dr_vlr_fqdn)</f>
        <v>Value Missing</v>
      </c>
      <c r="Q110" s="361" t="s">
        <v>2428</v>
      </c>
      <c r="R110" s="337" t="str">
        <f>IF(ISBLANK(input_wld_srm_ip),"Value Missing",input_wld_srm_ip)</f>
        <v>Value Missing</v>
      </c>
      <c r="T110" s="4" t="s">
        <v>2299</v>
      </c>
      <c r="U110" s="337" t="str">
        <f>IF(ISBLANK(input_wld_srm_vm_folder),"Value Missing",input_wld_srm_vm_folder)</f>
        <v>Value Missing</v>
      </c>
      <c r="V110" s="3"/>
    </row>
    <row r="111" spans="2:27" s="2" customFormat="1" ht="20.100000000000001" customHeight="1" x14ac:dyDescent="0.25">
      <c r="B111" s="4" t="s">
        <v>2311</v>
      </c>
      <c r="C111" s="337" t="str">
        <f t="array" ref="C111">IF(ISBLANK(input_mgmt_cl01_vds03_lag_name),"Value Missing",input_mgmt_cl01_vds03_lag_name)</f>
        <v>Value Missing</v>
      </c>
      <c r="E111" s="4" t="s">
        <v>2452</v>
      </c>
      <c r="F111" s="337" t="str">
        <f>IF(ISBLANK('Configure Workload Domain'!D303),"Value Missing",'Configure Workload Domain'!D303)</f>
        <v>Value Missing</v>
      </c>
      <c r="H111" s="17" t="s">
        <v>1276</v>
      </c>
      <c r="I111" s="337" t="str">
        <f>IF(ISBLANK(input_cluster_vds01_pnics),"Value Missing",input_cluster_vds01_pnics)</f>
        <v>Value Missing</v>
      </c>
      <c r="K111" s="4" t="s">
        <v>2453</v>
      </c>
      <c r="L111" s="337" t="str">
        <f>IF(ISBLANK(input_child_svc_vsphere_ad_password),"Value Missing",input_child_svc_vsphere_ad_password)</f>
        <v>Value Missing</v>
      </c>
      <c r="N111" s="4" t="s">
        <v>2454</v>
      </c>
      <c r="O111" s="337" t="str">
        <f>IF(ISBLANK(input_vvs_dr_sso_domain),"Value Missing",input_vvs_dr_sso_domain)</f>
        <v>Value Missing</v>
      </c>
      <c r="T111" s="4" t="s">
        <v>2304</v>
      </c>
      <c r="U111" s="337" t="str">
        <f>IF(ISBLANK(input_wld_srm_root_password),"Value Missing",input_wld_srm_root_password)</f>
        <v>Value Missing</v>
      </c>
      <c r="V111" s="3"/>
    </row>
    <row r="112" spans="2:27" s="2" customFormat="1" ht="20.100000000000001" customHeight="1" x14ac:dyDescent="0.2">
      <c r="B112" s="6"/>
      <c r="E112" s="4" t="s">
        <v>2455</v>
      </c>
      <c r="F112" s="337" t="str">
        <f>IF(ISBLANK('Configure Workload Domain'!D304),"Value Missing",'Configure Workload Domain'!D304)</f>
        <v>Value Missing</v>
      </c>
      <c r="H112" s="17" t="s">
        <v>1278</v>
      </c>
      <c r="I112" s="337"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2456</v>
      </c>
      <c r="L112" s="337" t="str">
        <f>IF(ISBLANK(input_child_svc_nsx_ad_password),"Value Missing",input_child_svc_nsx_ad_password)</f>
        <v>Value Missing</v>
      </c>
      <c r="N112" s="4" t="s">
        <v>2457</v>
      </c>
      <c r="O112" s="337" t="str">
        <f>IF(vvs_dr_flt_fleet_manager_fqdn="Value Missing",vvs_dr_flt_fleet_manager_fqdn,LEFT(vvs_dr_flt_fleet_manager_fqdn,FIND(".",vvs_dr_flt_fleet_manager_fqdn)-1))</f>
        <v>Value Missing</v>
      </c>
      <c r="Q112" s="387" t="s">
        <v>2458</v>
      </c>
      <c r="R112" s="387"/>
      <c r="T112" s="4" t="s">
        <v>2309</v>
      </c>
      <c r="U112" s="337" t="str">
        <f>IF(ISBLANK(input_wld_srm_admin_password),"Value Missing",input_wld_srm_admin_password)</f>
        <v>Value Missing</v>
      </c>
      <c r="V112" s="3"/>
      <c r="Z112" s="8"/>
      <c r="AA112" s="8"/>
    </row>
    <row r="113" spans="2:27" s="2" customFormat="1" ht="20.100000000000001" customHeight="1" x14ac:dyDescent="0.25">
      <c r="B113" s="336" t="s">
        <v>2459</v>
      </c>
      <c r="C113" s="336" t="s">
        <v>277</v>
      </c>
      <c r="E113" s="4" t="s">
        <v>2460</v>
      </c>
      <c r="F113" s="337" t="str">
        <f>IF(ISBLANK('Configure Workload Domain'!D305),"Value Missing",'Configure Workload Domain'!D305)</f>
        <v>Value Missing</v>
      </c>
      <c r="H113" s="17" t="s">
        <v>2311</v>
      </c>
      <c r="I113" s="337" t="str">
        <f>IF(ISBLANK(input_cluster_vds01_lag_name),"Value Missing",input_cluster_vds01_lag_name)</f>
        <v>Value Missing</v>
      </c>
      <c r="K113" s="4" t="s">
        <v>2398</v>
      </c>
      <c r="L113" s="337" t="str">
        <f>IF(ISBLANK(input_administrator_vsphere_local_password),"Value Missing",input_administrator_vsphere_local_password)</f>
        <v>VMware123!VMware123!</v>
      </c>
      <c r="N113" s="4" t="s">
        <v>2461</v>
      </c>
      <c r="O113" s="337" t="str">
        <f>IF(vvs_dr_flt_ops_nodea_fqdn="Value Missing",vvs_dr_flt_ops_nodea_fqdn,LEFT(vvs_dr_flt_ops_nodea_fqdn,FIND(".",vvs_dr_flt_ops_nodea_fqdn)-1))</f>
        <v>Value Missing</v>
      </c>
      <c r="Q113" s="166" t="s">
        <v>259</v>
      </c>
      <c r="R113" s="167" t="s">
        <v>277</v>
      </c>
      <c r="T113" s="4" t="s">
        <v>2312</v>
      </c>
      <c r="U113" s="337" t="str">
        <f>IF(ISBLANK(input_wld_srm_database_password),"Value Missing",input_wld_srm_database_password)</f>
        <v>Value Missing</v>
      </c>
      <c r="V113" s="3"/>
    </row>
    <row r="114" spans="2:27" s="2" customFormat="1" ht="20.100000000000001" customHeight="1" x14ac:dyDescent="0.25">
      <c r="B114" s="17" t="s">
        <v>2462</v>
      </c>
      <c r="C114" s="337" t="str">
        <f>IF(ISBLANK(mgmt_nsx_operation_mode_chosen),"Value Missing",mgmt_nsx_operation_mode_chosen)</f>
        <v>Enhanced Datapath Standard</v>
      </c>
      <c r="E114" s="4" t="s">
        <v>2463</v>
      </c>
      <c r="F114" s="337" t="str">
        <f>IF(ISBLANK('Configure Workload Domain'!D306),"Value Missing",'Configure Workload Domain'!D306)</f>
        <v>Value Missing</v>
      </c>
      <c r="H114" s="17" t="s">
        <v>1280</v>
      </c>
      <c r="I114" s="337" t="str">
        <f>IF(ISBLANK(input_cluster_vds02_name),"Value Missing",input_cluster_vds02_name)</f>
        <v>Value Missing</v>
      </c>
      <c r="K114" s="4" t="s">
        <v>2402</v>
      </c>
      <c r="L114" s="337" t="str">
        <f>IF(ISBLANK(input_administrator_vsphere_local_password),"Value Missing",input_administrator_vsphere_local_password)</f>
        <v>VMware123!VMware123!</v>
      </c>
      <c r="N114" s="4" t="s">
        <v>2464</v>
      </c>
      <c r="O114" s="337" t="str">
        <f>IF(vvs_dr_flt_ops_nodeb_fqdn="Value Missing",vvs_dr_flt_ops_nodeb_fqdn,LEFT(vvs_dr_flt_ops_nodeb_fqdn,FIND(".",vvs_dr_flt_ops_nodeb_fqdn)-1))</f>
        <v>Value Missing</v>
      </c>
      <c r="Q114" s="361" t="s">
        <v>1671</v>
      </c>
      <c r="R114" s="337" t="str">
        <f>IF(ISBLANK(input_mgmt_vrms_hostname),"Value Missing",input_mgmt_vrms_hostname)</f>
        <v>Value Missing</v>
      </c>
      <c r="T114" s="4" t="s">
        <v>2316</v>
      </c>
      <c r="U114" s="337" t="str">
        <f>IF(ISBLANK(input_wld_srm_site_name),"Value Missing",input_wld_srm_site_name)</f>
        <v>Value Missing</v>
      </c>
      <c r="V114" s="3"/>
    </row>
    <row r="115" spans="2:27" s="2" customFormat="1" ht="20.100000000000001" customHeight="1" x14ac:dyDescent="0.25">
      <c r="B115" s="6"/>
      <c r="E115" s="4" t="s">
        <v>2465</v>
      </c>
      <c r="F115" s="337" t="str">
        <f>IF(ISBLANK(input_wld_cl01_cluster_sddc_id),"Value Missing",input_wld_cl01_cluster_sddc_id)</f>
        <v>Value Missing</v>
      </c>
      <c r="H115" s="17" t="s">
        <v>401</v>
      </c>
      <c r="I115" s="337" t="str">
        <f>IF(ISBLANK(input_cluster_vds02_mtu),"Value Missing",input_cluster_vds02_mtu)</f>
        <v>Value Missing</v>
      </c>
      <c r="K115" s="4" t="s">
        <v>2407</v>
      </c>
      <c r="L115" s="337" t="str">
        <f>IF(ISBLANK(input_nsxt_lm_admin_password),"Value Missing",input_nsxt_lm_admin_password)</f>
        <v>VMware123!VMware123!</v>
      </c>
      <c r="N115" s="4" t="s">
        <v>2466</v>
      </c>
      <c r="O115" s="337" t="str">
        <f>IF(vvs_dr_flt_ops_nodec_fqdn="Value Missing",vvs_dr_flt_ops_nodec_fqdn,LEFT(vvs_dr_flt_ops_nodec_fqdn,FIND(".",vvs_dr_flt_ops_nodec_fqdn)-1))</f>
        <v>Value Missing</v>
      </c>
      <c r="Q115" s="361" t="s">
        <v>2467</v>
      </c>
      <c r="R115" s="337" t="str">
        <f>IF(ISBLANK(input_vvs_mgmt_dr_vlr_hostname),"Value Missing",input_vvs_mgmt_dr_vlr_hostname)</f>
        <v>Value Missing</v>
      </c>
      <c r="T115" s="4" t="s">
        <v>2320</v>
      </c>
      <c r="U115" s="337" t="str">
        <f>IF(ISBLANK(input_wld_srm_admin_email),"Value Missing",input_wld_srm_admin_email)</f>
        <v>Value Missing</v>
      </c>
      <c r="V115" s="3"/>
    </row>
    <row r="116" spans="2:27" s="2" customFormat="1" ht="20.100000000000001" customHeight="1" x14ac:dyDescent="0.25">
      <c r="B116" s="578" t="s">
        <v>2468</v>
      </c>
      <c r="C116" s="582"/>
      <c r="E116" s="4"/>
      <c r="F116" s="337" t="str">
        <f>IF(ISBLANK('Configure Workload Domain'!D319),"Value Missing",'Configure Workload Domain'!D319)</f>
        <v>Value Missing</v>
      </c>
      <c r="H116" s="22" t="s">
        <v>427</v>
      </c>
      <c r="I116" s="337" t="str">
        <f>IF(ISBLANK(input_cluster_vds02_uplink_count),"Value Missing",input_cluster_vds02_uplink_count)</f>
        <v>Value Missing</v>
      </c>
      <c r="K116" s="4" t="s">
        <v>2413</v>
      </c>
      <c r="L116" s="337" t="str">
        <f>IF(ISBLANK(input_svc_vrops_vra_password),"Value Missing",input_svc_vrops_vra_password)</f>
        <v>Value Missing</v>
      </c>
      <c r="N116" s="4" t="s">
        <v>2469</v>
      </c>
      <c r="O116" s="337" t="str">
        <f>IF(vvs_dr_flt_logs_nodea_fqdn="Value Missing",vvs_dr_flt_logs_nodea_fqdn,LEFT(vvs_dr_flt_logs_nodea_fqdn,FIND(".",vvs_dr_flt_logs_nodea_fqdn)-1))</f>
        <v>Value Missing</v>
      </c>
      <c r="T116" s="4" t="s">
        <v>2325</v>
      </c>
      <c r="U116" s="337" t="str">
        <f>IF(ISBLANK(input_wld_srm_p12_password),"Value Missing",input_wld_srm_p12_password)</f>
        <v>Value Missing</v>
      </c>
      <c r="V116" s="3"/>
    </row>
    <row r="117" spans="2:27" s="2" customFormat="1" ht="20.100000000000001" customHeight="1" x14ac:dyDescent="0.2">
      <c r="B117" s="336" t="s">
        <v>259</v>
      </c>
      <c r="C117" s="336" t="s">
        <v>2270</v>
      </c>
      <c r="E117" s="8"/>
      <c r="F117" s="8"/>
      <c r="H117" s="17" t="s">
        <v>1276</v>
      </c>
      <c r="I117" s="337" t="str">
        <f>IF(ISBLANK(input_cluster_vds02_pnics),"Value Missing",input_cluster_vds02_pnics)</f>
        <v>Value Missing</v>
      </c>
      <c r="K117" s="4" t="s">
        <v>2422</v>
      </c>
      <c r="L117" s="337"/>
      <c r="N117" s="4" t="s">
        <v>2470</v>
      </c>
      <c r="O117" s="337" t="str">
        <f>IF(vvs_dr_flt_logs_nodeb_fqdn="Value Missing",vvs_dr_flt_logs_nodeb_fqdn,LEFT(vvs_dr_flt_logs_nodeb_fqdn,FIND(".",vvs_dr_flt_logs_nodeb_fqdn)-1))</f>
        <v>Value Missing</v>
      </c>
      <c r="Q117" s="387" t="s">
        <v>2471</v>
      </c>
      <c r="R117" s="387"/>
      <c r="T117" s="4" t="s">
        <v>2330</v>
      </c>
      <c r="U117" s="337">
        <f>input_wld_srm_vm_size</f>
        <v>0</v>
      </c>
      <c r="V117" s="3"/>
    </row>
    <row r="118" spans="2:27" s="2" customFormat="1" ht="20.100000000000001" customHeight="1" x14ac:dyDescent="0.25">
      <c r="B118" s="4" t="s">
        <v>2472</v>
      </c>
      <c r="C118" s="337" t="str">
        <f>IF(ISBLANK(mgmt_principal_storage_chosen),"Value Missing",mgmt_principal_storage_chosen)</f>
        <v>vSAN-ESA</v>
      </c>
      <c r="E118" s="387" t="s">
        <v>2473</v>
      </c>
      <c r="F118" s="389"/>
      <c r="H118" s="17" t="s">
        <v>1278</v>
      </c>
      <c r="I118" s="337"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K118" s="4" t="s">
        <v>2426</v>
      </c>
      <c r="L118" s="337" t="str">
        <f>IF(ISBLANK(input_svc_vra_vsphere_password),"Value Missing",input_svc_vra_vsphere_password)</f>
        <v>Value Missing</v>
      </c>
      <c r="N118" s="4" t="s">
        <v>2474</v>
      </c>
      <c r="O118" s="337" t="str">
        <f>IF(vvs_dr_flt_logs_nodec_fqdn="Value Missing",vvs_dr_flt_logs_nodec_fqdn,LEFT(vvs_dr_flt_logs_nodec_fqdn,FIND(".",vvs_dr_flt_logs_nodec_fqdn)-1))</f>
        <v>Value Missing</v>
      </c>
      <c r="Q118" s="166" t="s">
        <v>259</v>
      </c>
      <c r="R118" s="167" t="s">
        <v>277</v>
      </c>
      <c r="T118" s="4" t="s">
        <v>2373</v>
      </c>
      <c r="U118" s="337" t="str">
        <f>IF(ISBLANK(input_wld_srm_recovery_vcenter_fqdn),"Value Missing",input_wld_srm_recovery_vcenter_fqdn)</f>
        <v>Value Missing</v>
      </c>
      <c r="V118" s="3"/>
    </row>
    <row r="119" spans="2:27" s="2" customFormat="1" ht="20.100000000000001" customHeight="1" x14ac:dyDescent="0.25">
      <c r="B119" s="4" t="s">
        <v>727</v>
      </c>
      <c r="C119" s="337" t="str">
        <f>IF(ISBLANK(input_mgmt_cl01_vsan_datastore),"Value Missing",input_mgmt_cl01_vsan_datastore)</f>
        <v>LABVSANESA01</v>
      </c>
      <c r="E119" s="166" t="s">
        <v>259</v>
      </c>
      <c r="F119" s="167" t="s">
        <v>277</v>
      </c>
      <c r="H119" s="17" t="s">
        <v>2311</v>
      </c>
      <c r="I119" s="337" t="str">
        <f t="array" ref="I119">IF(ISBLANK(input_cluster_vds02_lag_name),"Value Missing",input_cluster_vds02_lag_name)</f>
        <v>Value Missing</v>
      </c>
      <c r="K119" s="4" t="s">
        <v>2431</v>
      </c>
      <c r="L119" s="337" t="str">
        <f>IF(ISBLANK(input_svc_vra_nsx_password),"Value Missing",input_svc_vra_nsx_password)</f>
        <v>Value Missing</v>
      </c>
      <c r="N119" s="4" t="s">
        <v>2475</v>
      </c>
      <c r="O119" s="337" t="str">
        <f>IF(vvs_dr_flt_net_nodea_fqdn="Value Missing",vvs_dr_flt_net_nodea_fqdn,LEFT(vvs_dr_flt_net_nodea_fqdn,FIND(".",vvs_dr_flt_net_nodea_fqdn)-1))</f>
        <v>Value Missing</v>
      </c>
      <c r="Q119" s="361" t="s">
        <v>1671</v>
      </c>
      <c r="R119" s="337" t="str">
        <f>IF(ISBLANK(input_wld_vrms_hostname),"Value Missing",input_wld_vrms_hostname)</f>
        <v>Value Missing</v>
      </c>
      <c r="T119" s="4" t="s">
        <v>2376</v>
      </c>
      <c r="U119" s="337" t="str">
        <f>IF(ISBLANK(input_wld_srm_recovery_vcenter_username),"Value Missing",input_wld_srm_recovery_vcenter_username)</f>
        <v>Value Missing</v>
      </c>
      <c r="V119" s="3"/>
    </row>
    <row r="120" spans="2:27" s="2" customFormat="1" ht="20.100000000000001" customHeight="1" x14ac:dyDescent="0.25">
      <c r="B120" s="4" t="s">
        <v>2476</v>
      </c>
      <c r="C120" s="337" t="str">
        <f>IF(ISBLANK(mgmt_cl01_vsan_ftt_chosen),"Value Missing",mgmt_cl01_vsan_ftt_chosen)</f>
        <v>1</v>
      </c>
      <c r="E120" s="4" t="s">
        <v>727</v>
      </c>
      <c r="F120" s="337" t="str">
        <f>IF(ISBLANK('Configure Workload Domain'!D270),"Value Missing",'Configure Workload Domain'!D270)</f>
        <v>Value Missing</v>
      </c>
      <c r="H120" s="17" t="s">
        <v>1282</v>
      </c>
      <c r="I120" s="337" t="str">
        <f>IF(ISBLANK(input_cluster_vds03_name),"Value Missing",input_cluster_vds03_name)</f>
        <v>Value Missing</v>
      </c>
      <c r="K120" s="4" t="s">
        <v>2436</v>
      </c>
      <c r="L120" s="337" t="str">
        <f>IF(ISBLANK(input_svc_vra_vcf_password),"Value Missing",input_svc_vra_vcf_password)</f>
        <v>Value Missing</v>
      </c>
      <c r="N120" s="4" t="s">
        <v>2477</v>
      </c>
      <c r="O120" s="337" t="str">
        <f>IF(vvs_dr_flt_net_nodeb_fqdn="Value Missing",vvs_dr_flt_net_nodeb_fqdn,LEFT(vvs_dr_flt_net_nodeb_fqdn,FIND(".",vvs_dr_flt_net_nodeb_fqdn)-1))</f>
        <v>Value Missing</v>
      </c>
      <c r="Q120" s="361" t="s">
        <v>2467</v>
      </c>
      <c r="R120" s="337" t="str">
        <f>IF(ISBLANK(input_wld_srm_hostname),"Value Missing",input_wld_srm_hostname)</f>
        <v>Value Missing</v>
      </c>
      <c r="T120" s="4" t="s">
        <v>2378</v>
      </c>
      <c r="U120" s="337" t="str">
        <f>IF(ISBLANK(input_wld_srm_recovery_vcenter_password),"Value Missing",input_wld_srm_recovery_vcenter_password)</f>
        <v>Value Missing</v>
      </c>
      <c r="V120" s="3"/>
    </row>
    <row r="121" spans="2:27" s="2" customFormat="1" ht="20.100000000000001" customHeight="1" x14ac:dyDescent="0.25">
      <c r="B121" s="4" t="s">
        <v>1264</v>
      </c>
      <c r="C121" s="337" t="str">
        <f>IF(ISBLANK(mgmt_cl01_vsan_dedupe_compression_chosen),"Value Missing",mgmt_cl01_vsan_dedupe_compression_chosen)</f>
        <v>Unselected</v>
      </c>
      <c r="E121" s="4" t="s">
        <v>353</v>
      </c>
      <c r="F121" s="337" t="str">
        <f>IF(ISBLANK('Configure Workload Domain'!D268),"Value Missing",'Configure Workload Domain'!D268)</f>
        <v>Value Missing</v>
      </c>
      <c r="H121" s="17" t="s">
        <v>401</v>
      </c>
      <c r="I121" s="337" t="str">
        <f>IF(ISBLANK(input_cluster_vds03_mtu),"Value Missing",input_cluster_vds03_mtu)</f>
        <v>Value Missing</v>
      </c>
      <c r="K121" s="4" t="s">
        <v>2444</v>
      </c>
      <c r="L121" s="337" t="str">
        <f>IF(ISBLANK(input_svc_vra_vrops_password),"Value Missing",input_svc_vra_vrops_password)</f>
        <v>Value Missing</v>
      </c>
      <c r="N121" s="4" t="s">
        <v>2478</v>
      </c>
      <c r="O121" s="337" t="str">
        <f>IF(vvs_dr_flt_net_nodec_fqdn="Value Missing",vvs_dr_flt_net_nodec_fqdn,LEFT(vvs_dr_flt_net_nodec_fqdn,FIND(".",vvs_dr_flt_net_nodec_fqdn)-1))</f>
        <v>Value Missing</v>
      </c>
      <c r="T121" s="4" t="s">
        <v>2404</v>
      </c>
      <c r="U121" s="337" t="str">
        <f>IF(ISBLANK(input_wld_vrms_recovery_replication_cidr),"Value Missing",input_wld_vrms_recovery_replication_cidr)</f>
        <v>Value Missing</v>
      </c>
      <c r="V121" s="3"/>
    </row>
    <row r="122" spans="2:27" s="2" customFormat="1" ht="20.100000000000001" customHeight="1" x14ac:dyDescent="0.25">
      <c r="B122" s="22" t="s">
        <v>1267</v>
      </c>
      <c r="C122" s="337" t="str">
        <f>IF(ISBLANK(input_mgmt_cl01_nfs_share),"Value Missing",input_mgmt_cl01_nfs_share)</f>
        <v>Value Missing</v>
      </c>
      <c r="E122" s="4" t="s">
        <v>726</v>
      </c>
      <c r="F122" s="337" t="str">
        <f>IF(ISBLANK(input_wld_witness_vm_folder),"Value Missing",input_wld_witness_vm_folder)</f>
        <v>Value Missing</v>
      </c>
      <c r="H122" s="22" t="s">
        <v>427</v>
      </c>
      <c r="I122" s="337" t="str">
        <f>IF(ISBLANK(input_cluster_vds03_uplink_count),"Value Missing",input_cluster_vds03_uplink_count)</f>
        <v>Value Missing</v>
      </c>
      <c r="K122" s="4" t="s">
        <v>2439</v>
      </c>
      <c r="L122" s="337" t="str">
        <f>IF(ISBLANK(input_svc_vro_vsphere_password),"Value Missing",input_svc_vro_vsphere_password)</f>
        <v>Value Missing</v>
      </c>
      <c r="N122" s="4" t="s">
        <v>2479</v>
      </c>
      <c r="O122" s="337" t="str">
        <f>IF(ISBLANK(input_vvs_dr_mgmt_cl01_datastore),"Value Missing",input_vvs_dr_mgmt_cl01_datastore)</f>
        <v>Value Missing</v>
      </c>
      <c r="Q122" s="387" t="s">
        <v>2480</v>
      </c>
      <c r="R122" s="387"/>
      <c r="T122" s="4" t="s">
        <v>2410</v>
      </c>
      <c r="U122" s="337" t="str">
        <f>IF(ISBLANK(input_wld_srm_sso_domain_membership),"Value Missing",input_wld_srm_sso_domain_membership)</f>
        <v>Value Missing</v>
      </c>
      <c r="V122" s="3"/>
    </row>
    <row r="123" spans="2:27" s="2" customFormat="1" ht="20.100000000000001" customHeight="1" x14ac:dyDescent="0.2">
      <c r="B123" s="22" t="s">
        <v>1268</v>
      </c>
      <c r="C123" s="337" t="str">
        <f>IF(ISBLANK(input_mgmt_cl01_nfs_server_ip),"Value Missing",input_mgmt_cl01_nfs_server_ip)</f>
        <v>Value Missing</v>
      </c>
      <c r="E123" s="4" t="s">
        <v>2481</v>
      </c>
      <c r="F123" s="337" t="str">
        <f>IF(ISBLANK(input_wld_witness_dns1_ip),"Value Missing",input_wld_witness_dns1_ip)</f>
        <v>Value Missing</v>
      </c>
      <c r="H123" s="17" t="s">
        <v>1276</v>
      </c>
      <c r="I123" s="337" t="str">
        <f>IF(ISBLANK(input_cluster_vds03_pnics),"Value Missing",input_cluster_vds03_pnics)</f>
        <v>Value Missing</v>
      </c>
      <c r="N123" s="4" t="s">
        <v>2482</v>
      </c>
      <c r="O123" s="337" t="str">
        <f>IF(ISBLANK(input_mgmt_srm_net_rp),"Value Missing",input_mgmt_srm_net_rp)</f>
        <v>Value Missing</v>
      </c>
      <c r="Q123" s="166" t="s">
        <v>259</v>
      </c>
      <c r="R123" s="167" t="s">
        <v>277</v>
      </c>
      <c r="T123" s="8"/>
      <c r="U123" s="8"/>
      <c r="V123" s="3"/>
    </row>
    <row r="124" spans="2:27" s="2" customFormat="1" ht="20.100000000000001" customHeight="1" x14ac:dyDescent="0.2">
      <c r="B124" s="22" t="s">
        <v>2483</v>
      </c>
      <c r="C124" s="337" t="str">
        <f>IF(ISBLANK(mgmt_cl01_nfs_server_bound_to_vmknic_chosen),"Value Missing",mgmt_cl01_nfs_server_bound_to_vmknic_chosen)</f>
        <v>Selected</v>
      </c>
      <c r="E124" s="4" t="s">
        <v>2481</v>
      </c>
      <c r="F124" s="337" t="str">
        <f>IF(ISBLANK(input_wld_witness_dns2_ip),"Value Missing",input_wld_witness_dns2_ip)</f>
        <v>Value Missing</v>
      </c>
      <c r="H124" s="17" t="s">
        <v>1278</v>
      </c>
      <c r="I124" s="337"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K124" s="387" t="s">
        <v>2484</v>
      </c>
      <c r="L124" s="387"/>
      <c r="N124" s="4" t="s">
        <v>2485</v>
      </c>
      <c r="O124" s="337" t="str">
        <f>IF(ISBLANK(input_mgmt_srm_logs_rp),"Value Missing",input_mgmt_srm_logs_rp)</f>
        <v>Value Missing</v>
      </c>
      <c r="Q124" s="361" t="s">
        <v>1671</v>
      </c>
      <c r="T124" s="8"/>
      <c r="U124" s="8"/>
      <c r="V124" s="3"/>
    </row>
    <row r="125" spans="2:27" s="2" customFormat="1" ht="20.100000000000001" customHeight="1" x14ac:dyDescent="0.2">
      <c r="E125" s="4" t="s">
        <v>2486</v>
      </c>
      <c r="F125" s="337" t="str">
        <f>IF(ISBLANK(sample_wld_witness_ntp1_server),"Value Missing",sample_wld_witness_ntp1_server)</f>
        <v>ntp0.lax.rainpole.io</v>
      </c>
      <c r="H125" s="17" t="s">
        <v>2311</v>
      </c>
      <c r="I125" s="337" t="str">
        <f t="array" ref="I125">IF(ISBLANK(input_cluster_vds03_lag_name),"Value Missing",input_cluster_vds03_lag_name)</f>
        <v>Value Missing</v>
      </c>
      <c r="K125" s="166" t="s">
        <v>259</v>
      </c>
      <c r="L125" s="167" t="s">
        <v>277</v>
      </c>
      <c r="N125" s="4" t="s">
        <v>2487</v>
      </c>
      <c r="O125" s="337" t="str">
        <f>IF(ISBLANK(input_mgmt_srm_recovery_pg),"Value Missing",input_mgmt_srm_recovery_pg)</f>
        <v>Value Missing</v>
      </c>
      <c r="Q125" s="361" t="s">
        <v>2467</v>
      </c>
      <c r="R125" s="337" t="str">
        <f>(CONCATENATE(vvs_mgmt_dr_vlr_hostname,".",child_dns_zone))</f>
        <v>Value Missing.Value Missing</v>
      </c>
      <c r="T125" s="575" t="s">
        <v>2488</v>
      </c>
      <c r="U125" s="577"/>
      <c r="V125" s="3"/>
      <c r="Z125" s="8"/>
      <c r="AA125" s="8"/>
    </row>
    <row r="126" spans="2:27" s="2" customFormat="1" ht="20.100000000000001" customHeight="1" x14ac:dyDescent="0.2">
      <c r="B126" s="385" t="s">
        <v>510</v>
      </c>
      <c r="C126" s="386"/>
      <c r="E126" s="4" t="s">
        <v>2486</v>
      </c>
      <c r="F126" s="337" t="str">
        <f>IF(ISBLANK(sample_wld_witness_ntp2_server),"Value Missing",sample_wld_witness_ntp2_server)</f>
        <v>ntp1.lax.rainpole.io</v>
      </c>
      <c r="H126" s="336" t="s">
        <v>2489</v>
      </c>
      <c r="I126" s="336"/>
      <c r="K126" s="4" t="s">
        <v>2453</v>
      </c>
      <c r="L126" s="337" t="str">
        <f>IF(ISBLANK('Active Directory Inputs'!E18),"Value Missing",'Active Directory Inputs'!E18)</f>
        <v>Value Missing</v>
      </c>
      <c r="N126" s="4" t="s">
        <v>2490</v>
      </c>
      <c r="O126" s="337" t="str">
        <f>IF(ISBLANK(input_mgmt_srm_recovery_gateway),"Value Missing",input_mgmt_srm_recovery_gateway)</f>
        <v>Value Missing</v>
      </c>
      <c r="Q126" s="8"/>
      <c r="R126" s="8"/>
      <c r="T126" s="166" t="s">
        <v>259</v>
      </c>
      <c r="U126" s="167" t="s">
        <v>277</v>
      </c>
      <c r="V126" s="3"/>
    </row>
    <row r="127" spans="2:27" s="2" customFormat="1" ht="20.100000000000001" customHeight="1" x14ac:dyDescent="0.2">
      <c r="B127" s="336" t="s">
        <v>259</v>
      </c>
      <c r="C127" s="336" t="s">
        <v>2270</v>
      </c>
      <c r="E127" s="8"/>
      <c r="F127" s="8"/>
      <c r="H127" s="22" t="s">
        <v>437</v>
      </c>
      <c r="I127" s="337" t="str">
        <f>IF(ISBLANK(input_cluster_az1_mgmt_pg),"Value Missing",input_cluster_az1_mgmt_pg)</f>
        <v>Value Missing</v>
      </c>
      <c r="K127" s="4" t="s">
        <v>2491</v>
      </c>
      <c r="L127" s="337" t="str">
        <f>IF(ISBLANK('Active Directory Inputs'!E19),"Value Missing",'Active Directory Inputs'!E19)</f>
        <v>Value Missing</v>
      </c>
      <c r="N127" s="4" t="s">
        <v>2492</v>
      </c>
      <c r="O127" s="337" t="str">
        <f>IF(ISBLANK(input_mgmt_srm_recovery_mask),"Value Missing",input_mgmt_srm_recovery_mask)</f>
        <v>Value Missing</v>
      </c>
      <c r="Q127" s="387" t="s">
        <v>2493</v>
      </c>
      <c r="R127" s="387"/>
      <c r="T127" s="4" t="s">
        <v>2494</v>
      </c>
      <c r="U127" s="337" t="str">
        <f>IF(ISBLANK(input_cbr_vcdr_vsphere_role),"Value Missing",input_cbr_vcdr_vsphere_role)</f>
        <v>Value Missing</v>
      </c>
      <c r="V127" s="3"/>
    </row>
    <row r="128" spans="2:27" s="2" customFormat="1" ht="20.100000000000001" customHeight="1" x14ac:dyDescent="0.25">
      <c r="B128" s="4" t="s">
        <v>2495</v>
      </c>
      <c r="C128" s="337"/>
      <c r="E128" s="387" t="s">
        <v>2496</v>
      </c>
      <c r="F128" s="389"/>
      <c r="H128" s="22" t="s">
        <v>438</v>
      </c>
      <c r="I128" s="337" t="str">
        <f>IF(ISBLANK(cluster_az1_mgmt_lbt_chosen),"Value Missing",cluster_az1_mgmt_lbt_chosen)</f>
        <v>Route Based on Physical NIC Load</v>
      </c>
      <c r="N128" s="4" t="s">
        <v>2497</v>
      </c>
      <c r="O128" s="337"/>
      <c r="Q128" s="166" t="s">
        <v>259</v>
      </c>
      <c r="R128" s="167" t="s">
        <v>277</v>
      </c>
      <c r="T128" s="4" t="s">
        <v>2498</v>
      </c>
      <c r="U128" s="337" t="str">
        <f>IF(ISBLANK(input_svc_cbr_vcdr_vsphere_user),"Value Missing",input_svc_cbr_vcdr_vsphere_user)</f>
        <v>Value Missing</v>
      </c>
      <c r="V128" s="3"/>
    </row>
    <row r="129" spans="2:27" s="2" customFormat="1" ht="20.100000000000001" customHeight="1" x14ac:dyDescent="0.25">
      <c r="B129" s="4" t="s">
        <v>2499</v>
      </c>
      <c r="C129" s="337" t="str">
        <f>IF(ISBLANK(sizing_mgmt_ec_formfactor_chosen),"Value Missing",sizing_mgmt_ec_formfactor_chosen)</f>
        <v>Medium</v>
      </c>
      <c r="E129" s="166" t="s">
        <v>259</v>
      </c>
      <c r="F129" s="167" t="s">
        <v>277</v>
      </c>
      <c r="H129" s="22" t="s">
        <v>440</v>
      </c>
      <c r="I129" s="337" t="str">
        <f>IF(ISBLANK(cluster_az1_mgmt_uplink1_chosen),"Value Missing",cluster_az1_mgmt_uplink1_chosen)</f>
        <v>Active</v>
      </c>
      <c r="K129" s="387" t="s">
        <v>2500</v>
      </c>
      <c r="L129" s="387"/>
      <c r="N129" s="4" t="s">
        <v>2501</v>
      </c>
      <c r="O129" s="337" t="str">
        <f>IF(ISBLANK(input_vvs_dr_vr_username),"Value Missing",input_vvs_dr_vr_username)</f>
        <v>Value Missing</v>
      </c>
      <c r="Q129" s="361" t="s">
        <v>1671</v>
      </c>
      <c r="R129" s="337" t="str">
        <f>(CONCATENATE(wld_srm_hostname,".",child_dns_zone))</f>
        <v>Value Missing.Value Missing</v>
      </c>
      <c r="T129" s="4" t="s">
        <v>2502</v>
      </c>
      <c r="U129" s="337" t="str">
        <f>IF(ISBLANK(input_svc_cbr_vcdr_vsphere_password),"Value Missing",input_svc_cbr_vcdr_vsphere_password)</f>
        <v>Value Missing</v>
      </c>
      <c r="V129" s="3"/>
    </row>
    <row r="130" spans="2:27" s="2" customFormat="1" ht="20.100000000000001" customHeight="1" x14ac:dyDescent="0.2">
      <c r="B130" s="4" t="s">
        <v>2503</v>
      </c>
      <c r="C130" s="337" t="str">
        <f>IF(ISBLANK(input_mgmt_ec_mtu),"Value Missing",input_mgmt_ec_mtu)</f>
        <v>Value Missing</v>
      </c>
      <c r="E130" s="361" t="s">
        <v>2026</v>
      </c>
      <c r="F130" s="337" t="str">
        <f>IF(ISBLANK('Configure Workload Domain'!D266),"Value Missing",'Configure Workload Domain'!D266)</f>
        <v>Value Missing</v>
      </c>
      <c r="H130" s="22" t="s">
        <v>441</v>
      </c>
      <c r="I130" s="337" t="str">
        <f>IF(ISBLANK(cluster_az1_mgmt_uplink2_chosen),"Value Missing",cluster_az1_mgmt_uplink2_chosen)</f>
        <v>Active</v>
      </c>
      <c r="K130" s="166" t="s">
        <v>259</v>
      </c>
      <c r="L130" s="167" t="s">
        <v>277</v>
      </c>
      <c r="N130" s="4" t="s">
        <v>2504</v>
      </c>
      <c r="O130" s="337" t="str">
        <f>IF(ISBLANK(input_vvs_dr_vr_password),"Value Missing",input_vvs_dr_vr_password)</f>
        <v>Value Missing</v>
      </c>
      <c r="Q130" s="361" t="s">
        <v>2467</v>
      </c>
      <c r="R130" s="337" t="str">
        <f>(CONCATENATE(wld_srm_hostname,".",child_dns_zone))</f>
        <v>Value Missing.Value Missing</v>
      </c>
      <c r="T130" s="4" t="s">
        <v>2505</v>
      </c>
      <c r="U130" s="337" t="str">
        <f>IF(ISBLANK(input_cbr_vm_folder),"Value Missing",input_cbr_vm_folder)</f>
        <v>Value Missing</v>
      </c>
      <c r="V130" s="3"/>
      <c r="Z130" s="8"/>
      <c r="AA130" s="8"/>
    </row>
    <row r="131" spans="2:27" s="2" customFormat="1" ht="20.100000000000001" customHeight="1" x14ac:dyDescent="0.2">
      <c r="B131" s="4" t="s">
        <v>2506</v>
      </c>
      <c r="C131" s="337" t="str">
        <f>IF(ISBLANK(input_mgmt_ec_rp_name),"Value Missing",input_mgmt_ec_rp_name)</f>
        <v>Value Missing</v>
      </c>
      <c r="E131" s="361" t="s">
        <v>726</v>
      </c>
      <c r="F131" s="337" t="str">
        <f>IF(ISBLANK('Configure Workload Domain'!D274),"Value Missing",'Configure Workload Domain'!D274)</f>
        <v>Value Missing</v>
      </c>
      <c r="H131" s="336" t="s">
        <v>2507</v>
      </c>
      <c r="I131" s="336"/>
      <c r="K131" s="4" t="str">
        <f>IF(ISBLANK('Active Directory Inputs'!D75),"Value Missing",'Active Directory Inputs'!D75)</f>
        <v>gg-kub-admins</v>
      </c>
      <c r="L131" s="337" t="str">
        <f>IF(ISBLANK('Active Directory Inputs'!E75),"Value Missing",'Active Directory Inputs'!E75)</f>
        <v>Value Missing</v>
      </c>
      <c r="Q131" s="8"/>
      <c r="R131" s="8"/>
      <c r="T131" s="4" t="s">
        <v>2508</v>
      </c>
      <c r="U131" s="337" t="str">
        <f>IF(ISBLANK(input_cbr_recovery_sddc_name),"Value Missing",input_cbr_recovery_sddc_name)</f>
        <v>Value Missing</v>
      </c>
      <c r="V131" s="3"/>
    </row>
    <row r="132" spans="2:27" s="2" customFormat="1" ht="20.100000000000001" customHeight="1" x14ac:dyDescent="0.25">
      <c r="B132" s="4" t="s">
        <v>2509</v>
      </c>
      <c r="C132" s="337" t="str">
        <f>IF(ISBLANK(mgmt_ec01_host_group_affinity_rule_chosen),"Value Missing",mgmt_ec01_host_group_affinity_rule_chosen)</f>
        <v>No</v>
      </c>
      <c r="E132" s="361" t="s">
        <v>2510</v>
      </c>
      <c r="F132" s="337" t="str">
        <f>IF(ISBLANK(input_wld_witness_ip),"Value Missing",input_wld_witness_ip)</f>
        <v>Value Missing</v>
      </c>
      <c r="H132" s="22" t="s">
        <v>437</v>
      </c>
      <c r="I132" s="337" t="str">
        <f>IF(ISBLANK(input_cluster_az1_mgmt_vm_pg),"Value Missing",input_cluster_az1_mgmt_vm_pg)</f>
        <v>Value Missing</v>
      </c>
      <c r="K132" s="4" t="str">
        <f>IF(ISBLANK('Active Directory Inputs'!D76),"Value Missing",'Active Directory Inputs'!D76)</f>
        <v>gg-kub-readonly</v>
      </c>
      <c r="L132" s="337" t="str">
        <f>IF(ISBLANK('Active Directory Inputs'!E76),"Value Missing",'Active Directory Inputs'!E76)</f>
        <v>Value Missing</v>
      </c>
      <c r="Q132" s="387" t="s">
        <v>2511</v>
      </c>
      <c r="R132" s="389"/>
      <c r="T132" s="4" t="s">
        <v>2512</v>
      </c>
      <c r="U132" s="337" t="str">
        <f>IF(ISBLANK(input_cbr_recovery_region),"Value Missing",input_cbr_recovery_region)</f>
        <v>Value Missing</v>
      </c>
      <c r="V132" s="3"/>
    </row>
    <row r="133" spans="2:27" s="2" customFormat="1" ht="20.100000000000001" customHeight="1" x14ac:dyDescent="0.25">
      <c r="B133" s="4" t="s">
        <v>2513</v>
      </c>
      <c r="C133" s="337" t="str">
        <f t="array" ref="C133">IF(ISBLANK(input_mgmt_ec01_en01_host_group_affinity_rule_name),"Value Missing",input_mgmt_ec01_en01_host_group_affinity_rule_name)</f>
        <v>Value Missing</v>
      </c>
      <c r="E133" s="361" t="s">
        <v>2026</v>
      </c>
      <c r="F133" s="337" t="str">
        <f>IF(ISBLANK(input_wld_witness_zone_vc_fqdn),"Value Missing",input_wld_witness_zone_vc_fqdn)</f>
        <v>Value Missing</v>
      </c>
      <c r="H133" s="22" t="s">
        <v>438</v>
      </c>
      <c r="I133" s="337" t="str">
        <f>IF(ISBLANK(cluster_az1_mgmt_vm_lbt_chosen),"Value Missing",cluster_az1_mgmt_vm_lbt_chosen)</f>
        <v>Route Based on Physical NIC Load</v>
      </c>
      <c r="K133" s="4" t="s">
        <v>2514</v>
      </c>
      <c r="L133" s="337" t="str">
        <f>IF(ISBLANK(input_parent_gg_wsa_admins_group),"Value Missing",input_parent_gg_wsa_admins_group)</f>
        <v>Value Missing</v>
      </c>
      <c r="Q133" s="166" t="s">
        <v>259</v>
      </c>
      <c r="R133" s="167" t="s">
        <v>277</v>
      </c>
      <c r="T133" s="4" t="s">
        <v>2515</v>
      </c>
      <c r="U133" s="337" t="str">
        <f>IF(ISBLANK(input_cbr_recovery_host_type),"Value Missing",input_cbr_recovery_host_type)</f>
        <v>Value Missing</v>
      </c>
      <c r="V133" s="3"/>
    </row>
    <row r="134" spans="2:27" s="2" customFormat="1" ht="20.100000000000001" customHeight="1" x14ac:dyDescent="0.25">
      <c r="B134" s="4" t="s">
        <v>2513</v>
      </c>
      <c r="C134" s="337" t="str">
        <f t="array" ref="C134">IF(ISBLANK(input_mgmt_ec01_en02_host_group_affinity_rule_name),"Value Missing",input_mgmt_ec01_en02_host_group_affinity_rule_name)</f>
        <v>Value Missing</v>
      </c>
      <c r="E134" s="361" t="s">
        <v>2516</v>
      </c>
      <c r="F134" s="337" t="str">
        <f>IF(ISBLANK(input_wld_witnessaz_mgmt_cidr),"Value Missing",input_wld_witnessaz_mgmt_cidr)</f>
        <v>Value Missing</v>
      </c>
      <c r="H134" s="22" t="s">
        <v>440</v>
      </c>
      <c r="I134" s="337" t="str">
        <f>IF(ISBLANK(cluster_az1_mgmt_vm_uplink1_chosen),"Value Missing",cluster_az1_mgmt_vm_uplink1_chosen)</f>
        <v>Active</v>
      </c>
      <c r="K134" s="4" t="s">
        <v>2517</v>
      </c>
      <c r="L134" s="337" t="str">
        <f>IF(ISBLANK(input_parent_gg_wsa_directory_admins_group),"Value Missing",input_parent_gg_wsa_directory_admins_group)</f>
        <v>Value Missing</v>
      </c>
      <c r="Q134" s="17" t="s">
        <v>2518</v>
      </c>
      <c r="R134" s="337"/>
      <c r="T134" s="4" t="s">
        <v>144</v>
      </c>
      <c r="U134" s="337" t="str">
        <f>IF(ISBLANK(input_cbr_recovery_host_count),"Value Missing",input_cbr_recovery_host_count)</f>
        <v>Value Missing</v>
      </c>
      <c r="V134" s="3"/>
    </row>
    <row r="135" spans="2:27" s="2" customFormat="1" ht="20.100000000000001" customHeight="1" x14ac:dyDescent="0.25">
      <c r="B135" s="4" t="s">
        <v>2519</v>
      </c>
      <c r="C135" s="337" t="str">
        <f>IF(ISBLANK(mgmt_ec01_use_host_overlay_chosen),"Value Missing",mgmt_ec01_use_host_overlay_chosen)</f>
        <v xml:space="preserve">Unselected </v>
      </c>
      <c r="E135" s="361" t="s">
        <v>2520</v>
      </c>
      <c r="F135" s="337" t="str">
        <f>IF(ISBLANK(input_wld_witnessaz_mgmt_gateway_ip),"Value Missing",input_wld_witnessaz_mgmt_gateway_ip)</f>
        <v>Value Missing</v>
      </c>
      <c r="H135" s="22" t="s">
        <v>441</v>
      </c>
      <c r="I135" s="337" t="str">
        <f>IF(ISBLANK(cluster_az1_mgmt_vm_uplink2_chosen),"Value Missing",cluster_az1_mgmt_vm_uplink2_chosen)</f>
        <v>Active</v>
      </c>
      <c r="K135" s="4" t="s">
        <v>2521</v>
      </c>
      <c r="L135" s="337" t="str">
        <f>IF(ISBLANK(input_parent_gg_wsa_read_only_group),"Value Missing",input_parent_gg_wsa_read_only_group)</f>
        <v>Value Missing</v>
      </c>
      <c r="Q135" s="17" t="s">
        <v>2522</v>
      </c>
      <c r="R135" s="337"/>
      <c r="T135" s="4" t="s">
        <v>2523</v>
      </c>
      <c r="U135" s="337" t="str">
        <f>IF(ISBLANK(input_cbr_recovery_vpc),"Value Missing",input_cbr_recovery_vpc)</f>
        <v>Value Missing</v>
      </c>
      <c r="V135" s="3"/>
    </row>
    <row r="136" spans="2:27" s="2" customFormat="1" ht="20.100000000000001" customHeight="1" x14ac:dyDescent="0.2">
      <c r="B136" s="4" t="s">
        <v>2524</v>
      </c>
      <c r="C136" s="337" t="str">
        <f>IF(mgmt_dpg_reuse_chosen="Selected","Excluded","Included")</f>
        <v>Included</v>
      </c>
      <c r="E136" s="361" t="s">
        <v>2525</v>
      </c>
      <c r="F136" s="337" t="str">
        <f>IF(wld_witnessaz_mgmt_cidr="Value Missing",wld_witnessaz_mgmt_cidr,VLOOKUP(INT(RIGHT(wld_witnessaz_mgmt_cidr,LEN(wld_witnessaz_mgmt_cidr)-FIND("/",wld_witnessaz_mgmt_cidr))),table_cidr_to_mask,2,FALSE))</f>
        <v>Value Missing</v>
      </c>
      <c r="H136" s="336" t="s">
        <v>2040</v>
      </c>
      <c r="I136" s="336"/>
      <c r="K136" s="4" t="s">
        <v>2526</v>
      </c>
      <c r="L136" s="337" t="str">
        <f>IF(ISBLANK('Active Directory Inputs'!E54),"Value Missing",'Active Directory Inputs'!E54)</f>
        <v>Value Missing</v>
      </c>
      <c r="Q136" s="8"/>
      <c r="R136" s="8"/>
      <c r="T136" s="4" t="s">
        <v>2527</v>
      </c>
      <c r="U136" s="337" t="str">
        <f>IF(ISBLANK(input_cbr_recovery_subnet),"Value Missing",input_cbr_recovery_subnet)</f>
        <v>Value Missing</v>
      </c>
      <c r="V136" s="3"/>
    </row>
    <row r="137" spans="2:27" s="2" customFormat="1" ht="20.100000000000001" customHeight="1" x14ac:dyDescent="0.25">
      <c r="B137" s="4" t="s">
        <v>2528</v>
      </c>
      <c r="C137" s="337" t="str">
        <f>mgmt_gateway_routing_type_chosen</f>
        <v>BGP</v>
      </c>
      <c r="E137" s="361" t="s">
        <v>2529</v>
      </c>
      <c r="F137" s="337" t="str">
        <f>IF(wld_witnessaz_mgmt_cidr="Value Missing",wld_witnessaz_mgmt_cidr,(LEFT(wld_witnessaz_mgmt_cidr,(FIND("/",wld_witnessaz_mgmt_cidr)-1))))</f>
        <v>Value Missing</v>
      </c>
      <c r="H137" s="22" t="s">
        <v>437</v>
      </c>
      <c r="I137" s="337" t="str">
        <f>IF(ISBLANK(input_cluster_az1_vmotion_pg),"Value Missing",input_cluster_az1_vmotion_pg)</f>
        <v>Value Missing</v>
      </c>
      <c r="K137" s="4" t="s">
        <v>2530</v>
      </c>
      <c r="L137" s="337" t="str">
        <f>IF(ISBLANK('Active Directory Inputs'!E55),"Value Missing",'Active Directory Inputs'!E55)</f>
        <v>Value Missing</v>
      </c>
      <c r="Q137" s="387" t="s">
        <v>2531</v>
      </c>
      <c r="R137" s="387"/>
      <c r="T137" s="4" t="s">
        <v>2532</v>
      </c>
      <c r="U137" s="337" t="str">
        <f>IF(ISBLANK(input_cbr_recovery_management_subnet),"Value Missing",input_cbr_recovery_management_subnet)</f>
        <v>Value Missing</v>
      </c>
      <c r="V137" s="3"/>
    </row>
    <row r="138" spans="2:27" s="2" customFormat="1" ht="20.100000000000001" customHeight="1" x14ac:dyDescent="0.25">
      <c r="B138" s="4" t="s">
        <v>2533</v>
      </c>
      <c r="C138" s="337" t="str">
        <f>mgmt_az1_en1_ip_allocation_chosen</f>
        <v>Static</v>
      </c>
      <c r="E138" s="361" t="s">
        <v>2534</v>
      </c>
      <c r="F138" s="337" t="str">
        <f>IF(ISBLANK(input_xreg_vra_prefix),"Value Missing",input_xreg_vra_prefix)</f>
        <v>lab-vcfa</v>
      </c>
      <c r="H138" s="22" t="s">
        <v>438</v>
      </c>
      <c r="I138" s="337" t="str">
        <f>IF(ISBLANK(cluster_az1_vmotion_lbt_chosen),"Value Missing",cluster_az1_vmotion_lbt_chosen)</f>
        <v>Route Based on Physical NIC Load</v>
      </c>
      <c r="K138" s="4" t="s">
        <v>2535</v>
      </c>
      <c r="L138" s="337" t="str">
        <f>IF(ISBLANK('Active Directory Inputs'!E56),"Value Missing",'Active Directory Inputs'!E56)</f>
        <v>Value Missing</v>
      </c>
      <c r="Q138" s="166" t="s">
        <v>259</v>
      </c>
      <c r="R138" s="167" t="s">
        <v>277</v>
      </c>
      <c r="T138" s="4" t="s">
        <v>2536</v>
      </c>
      <c r="U138" s="337" t="str">
        <f>IF(ISBLANK(input_cbr_firewall_rule_vcenter),"Value Missing",input_cbr_firewall_rule_vcenter)</f>
        <v>Value Missing</v>
      </c>
      <c r="V138" s="3"/>
    </row>
    <row r="139" spans="2:27" s="2" customFormat="1" ht="20.100000000000001" customHeight="1" x14ac:dyDescent="0.25">
      <c r="B139" s="4" t="s">
        <v>2537</v>
      </c>
      <c r="C139" s="337" t="str">
        <f>IF(ISBLANK(mgmt_az1_en1_edge_overlay_network_ip_allocation_chosen),"Value Missing",mgmt_az1_en1_edge_overlay_network_ip_allocation_chosen)</f>
        <v>Static IP List</v>
      </c>
      <c r="E139" s="361" t="s">
        <v>2538</v>
      </c>
      <c r="F139" s="337" t="str">
        <f>IF(ISBLANK(input_xreg_vrops_collector_ip),"Value Missing",input_xreg_vrops_collector_ip)</f>
        <v>10.100.50.104</v>
      </c>
      <c r="H139" s="22" t="s">
        <v>440</v>
      </c>
      <c r="I139" s="337" t="str">
        <f>IF(ISBLANK(cluster_az1_vmotion_uplink1_chosen),"Value Missing",cluster_az1_vmotion_uplink1_chosen)</f>
        <v>Active</v>
      </c>
      <c r="K139" s="4" t="s">
        <v>2539</v>
      </c>
      <c r="L139" s="337" t="str">
        <f>IF(ISBLANK('Active Directory Inputs'!E84),"Value Missing",'Active Directory Inputs'!E84)</f>
        <v>Value Missing</v>
      </c>
      <c r="Q139" s="17" t="s">
        <v>2518</v>
      </c>
      <c r="R139" s="337"/>
      <c r="T139" s="4" t="s">
        <v>2540</v>
      </c>
      <c r="U139" s="337" t="str">
        <f>IF(ISBLANK(input_cbr_vcdr_site_name),"Value Missing",input_cbr_vcdr_site_name)</f>
        <v>Value Missing</v>
      </c>
      <c r="V139" s="3"/>
    </row>
    <row r="140" spans="2:27" s="2" customFormat="1" ht="20.100000000000001" customHeight="1" x14ac:dyDescent="0.25">
      <c r="B140" s="4" t="s">
        <v>2541</v>
      </c>
      <c r="C140" s="337" t="str">
        <f>IF(ISBLANK(mgmt_az1_en1_edge_overlay_network_ip_allocation_chosen),"Value Missing",mgmt_az1_en1_edge_overlay_network_ip_allocation_chosen)</f>
        <v>Static IP List</v>
      </c>
      <c r="E140" s="361" t="s">
        <v>2542</v>
      </c>
      <c r="F140" s="337" t="str">
        <f>IF(ISBLANK(mgmt_vcfops_appliance_size_chosen),"Value Missing",mgmt_vcfops_appliance_size_chosen)</f>
        <v>Medium</v>
      </c>
      <c r="H140" s="22" t="s">
        <v>441</v>
      </c>
      <c r="I140" s="337" t="str">
        <f>IF(ISBLANK(cluster_az1_vmotion_uplink2_chosen),"Value Missing",cluster_az1_vmotion_uplink2_chosen)</f>
        <v>Active</v>
      </c>
      <c r="K140" s="4" t="s">
        <v>2543</v>
      </c>
      <c r="L140" s="337" t="str">
        <f>IF(ISBLANK('Active Directory Inputs'!E85),"Value Missing",'Active Directory Inputs'!E85)</f>
        <v>Value Missing</v>
      </c>
      <c r="Q140" s="17" t="s">
        <v>2522</v>
      </c>
      <c r="R140" s="337"/>
      <c r="T140" s="4" t="s">
        <v>2544</v>
      </c>
      <c r="U140" s="337" t="str">
        <f>IF(ISBLANK(input_cbr_vcdr_timezone),"Value Missing",input_cbr_vcdr_timezone)</f>
        <v>Value Missing</v>
      </c>
      <c r="V140" s="3"/>
    </row>
    <row r="141" spans="2:27" s="2" customFormat="1" ht="20.100000000000001" customHeight="1" x14ac:dyDescent="0.2">
      <c r="B141" s="4" t="s">
        <v>2545</v>
      </c>
      <c r="C141" s="337" t="str">
        <f>mgmt_az1_ec01_password_creation_chosen</f>
        <v xml:space="preserve">Unselected </v>
      </c>
      <c r="E141" s="8"/>
      <c r="F141" s="8"/>
      <c r="H141" s="336" t="s">
        <v>713</v>
      </c>
      <c r="I141" s="336"/>
      <c r="K141" s="4" t="s">
        <v>2546</v>
      </c>
      <c r="L141" s="337" t="str">
        <f>IF(ISBLANK('Active Directory Inputs'!E86),"Value Missing",'Active Directory Inputs'!E86)</f>
        <v>Value Missing</v>
      </c>
      <c r="Q141" s="168"/>
      <c r="T141" s="4" t="s">
        <v>2547</v>
      </c>
      <c r="U141" s="337" t="str">
        <f t="array" ref="U141">IF(ISBLANK(input_cbr_vcdr_cdp1_hostname),"Value Missing",input_cbr_vcdr_cdp1_hostname)</f>
        <v>Value Missing</v>
      </c>
      <c r="V141" s="3"/>
    </row>
    <row r="142" spans="2:27" s="2" customFormat="1" ht="20.100000000000001" customHeight="1" x14ac:dyDescent="0.2">
      <c r="B142" s="4" t="s">
        <v>2548</v>
      </c>
      <c r="C142" s="337" t="str">
        <f>IF(ISBLANK(mgmt_tier0_skip_chosen),"Value Missing",mgmt_tier0_skip_chosen)</f>
        <v>Unselected</v>
      </c>
      <c r="E142" s="391" t="s">
        <v>2549</v>
      </c>
      <c r="F142" s="391"/>
      <c r="H142" s="22" t="s">
        <v>437</v>
      </c>
      <c r="I142" s="337" t="str">
        <f>IF(ISBLANK(input_cluster_az1_principal_storage_pg),"Value Missing",input_cluster_az1_principal_storage_pg)</f>
        <v>Value Missing</v>
      </c>
      <c r="K142" s="4" t="s">
        <v>2550</v>
      </c>
      <c r="L142" s="337" t="str">
        <f>IF(ISBLANK('Active Directory Inputs'!E79),"Value Missing",'Active Directory Inputs'!E79)</f>
        <v>Value Missing</v>
      </c>
      <c r="Q142" s="8"/>
      <c r="R142" s="8"/>
      <c r="T142" s="4" t="s">
        <v>2551</v>
      </c>
      <c r="U142" s="337" t="str">
        <f>IF(ISBLANK(input_cbr_vcdr_cdp1_ip),"Value Missing",input_cbr_vcdr_cdp1_ip)</f>
        <v>Value Missing</v>
      </c>
      <c r="V142" s="3"/>
    </row>
    <row r="143" spans="2:27" s="2" customFormat="1" ht="20.100000000000001" customHeight="1" x14ac:dyDescent="0.2">
      <c r="B143" s="4" t="s">
        <v>2552</v>
      </c>
      <c r="C143" s="337" t="str">
        <f>IF(ISBLANK(wld_az1_ec01_password_creation_chosen),"Value Missing",wld_az1_ec01_password_creation_chosen)</f>
        <v xml:space="preserve">Unselected </v>
      </c>
      <c r="E143" s="336" t="s">
        <v>259</v>
      </c>
      <c r="F143" s="184" t="s">
        <v>1652</v>
      </c>
      <c r="H143" s="22" t="s">
        <v>438</v>
      </c>
      <c r="I143" s="337" t="str">
        <f>IF(ISBLANK(cluster_az1_principal_storage_lbt_chosen),"Value Missing",cluster_az1_principal_storage_lbt_chosen)</f>
        <v>Route Based on Physical NIC Load</v>
      </c>
      <c r="K143" s="4" t="s">
        <v>2553</v>
      </c>
      <c r="L143" s="337" t="str">
        <f>IF(ISBLANK('Active Directory Inputs'!E80),"Value Missing",'Active Directory Inputs'!E80)</f>
        <v>Value Missing</v>
      </c>
      <c r="Q143" s="8"/>
      <c r="R143" s="8"/>
      <c r="T143" s="4" t="s">
        <v>2554</v>
      </c>
      <c r="U143" s="337" t="str">
        <f>IF(ISBLANK(input_cbr_vcdr_cdp2_hostname),"Value Missing",input_cbr_vcdr_cdp2_hostname)</f>
        <v>Value Missing</v>
      </c>
      <c r="V143" s="3"/>
    </row>
    <row r="144" spans="2:27" s="2" customFormat="1" ht="20.100000000000001" customHeight="1" x14ac:dyDescent="0.2">
      <c r="E144" s="4" t="s">
        <v>2555</v>
      </c>
      <c r="F144" s="337" t="str">
        <f>IF(ISBLANK(input_wld_sso_domain_name),"Value Missing",input_wld_sso_domain_name)</f>
        <v>Value Missing</v>
      </c>
      <c r="H144" s="22" t="s">
        <v>440</v>
      </c>
      <c r="I144" s="337" t="str">
        <f>IF(ISBLANK(cluster_az1_principal_storage_uplink1_chosen),"Value Missing",cluster_az1_principal_storage_uplink1_chosen)</f>
        <v>Active</v>
      </c>
      <c r="K144" s="4" t="s">
        <v>2556</v>
      </c>
      <c r="L144" s="337" t="str">
        <f>IF(ISBLANK('Active Directory Inputs'!E81),"Value Missing",'Active Directory Inputs'!E81)</f>
        <v>Value Missing</v>
      </c>
      <c r="Q144" s="8"/>
      <c r="R144" s="8"/>
      <c r="T144" s="4" t="s">
        <v>2557</v>
      </c>
      <c r="U144" s="337" t="str">
        <f>IF(ISBLANK(input_cbr_vcdr_cdp2_ip),"Value Missing",input_cbr_vcdr_cdp2_ip)</f>
        <v>Value Missing</v>
      </c>
      <c r="V144" s="3"/>
    </row>
    <row r="145" spans="2:27" s="2" customFormat="1" ht="20.100000000000001" customHeight="1" x14ac:dyDescent="0.2">
      <c r="B145" s="385" t="s">
        <v>2558</v>
      </c>
      <c r="C145" s="386"/>
      <c r="E145" s="4" t="s">
        <v>2559</v>
      </c>
      <c r="F145" s="337" t="str">
        <f>IF(ISBLANK(input_wld_administrator_vsphere_local_password),"Value Missing",input_wld_administrator_vsphere_local_password)</f>
        <v>Value Missing</v>
      </c>
      <c r="H145" s="22" t="s">
        <v>441</v>
      </c>
      <c r="I145" s="337" t="str">
        <f>IF(ISBLANK(cluster_az1_principal_storage_uplink2_chosen),"Value Missing",cluster_az1_principal_storage_uplink2_chosen)</f>
        <v>Active</v>
      </c>
      <c r="K145" s="4" t="s">
        <v>2560</v>
      </c>
      <c r="L145" s="337" t="str">
        <f>IF(ISBLANK('Active Directory Inputs'!E94),"Value Missing",'Active Directory Inputs'!E94)</f>
        <v>Value Missing</v>
      </c>
      <c r="Q145" s="8"/>
      <c r="R145" s="8"/>
      <c r="T145" s="4" t="s">
        <v>2561</v>
      </c>
      <c r="U145" s="337" t="str">
        <f>IF(ISBLANK(input_cbr_vcdr_ova),"Value Missing",input_cbr_vcdr_ova)</f>
        <v>Value Missing</v>
      </c>
      <c r="V145" s="3"/>
    </row>
    <row r="146" spans="2:27" s="2" customFormat="1" ht="20.100000000000001" customHeight="1" x14ac:dyDescent="0.2">
      <c r="B146" s="336" t="s">
        <v>259</v>
      </c>
      <c r="C146" s="336" t="s">
        <v>277</v>
      </c>
      <c r="E146" s="4" t="s">
        <v>2562</v>
      </c>
      <c r="F146" s="337" t="str">
        <f>(CONCATENATE("administrator@",input_wld_sso_domain_name))</f>
        <v>administrator@</v>
      </c>
      <c r="H146" s="336" t="s">
        <v>2563</v>
      </c>
      <c r="I146" s="336"/>
      <c r="K146" s="4" t="s">
        <v>2564</v>
      </c>
      <c r="L146" s="337" t="str">
        <f>IF(ISBLANK('Active Directory Inputs'!E95),"Value Missing",'Active Directory Inputs'!E95)</f>
        <v>Value Missing</v>
      </c>
      <c r="Q146" s="8"/>
      <c r="R146" s="8"/>
      <c r="T146" s="4" t="s">
        <v>2565</v>
      </c>
      <c r="U146" s="337" t="str">
        <f>IF(ISBLANK(input_cbr_vcdr_orchestrator_fqdn),"Value Missing",input_cbr_vcdr_orchestrator_fqdn)</f>
        <v>Value Missing</v>
      </c>
      <c r="V146" s="3"/>
    </row>
    <row r="147" spans="2:27" s="2" customFormat="1" ht="20.100000000000001" customHeight="1" x14ac:dyDescent="0.2">
      <c r="B147" s="4" t="s">
        <v>2566</v>
      </c>
      <c r="C147" s="337" t="str">
        <f>IF(ISBLANK(input_flt_vidb_version),"Value Missing",input_flt_vidb_version)</f>
        <v>Value Missing</v>
      </c>
      <c r="E147" s="361" t="s">
        <v>2567</v>
      </c>
      <c r="F147" s="337" t="str">
        <f>IF(ISBLANK(input_wld_cl01_image_name),"Value Missing",input_wld_cl01_image_name)</f>
        <v>Value Missing</v>
      </c>
      <c r="H147" s="22" t="s">
        <v>437</v>
      </c>
      <c r="I147" s="337" t="str">
        <f>IF(ISBLANK(input_cluster_az1_vsan_storage_client_pg),"Value Missing",input_cluster_az1_vsan_storage_client_pg)</f>
        <v>Value Missing</v>
      </c>
      <c r="K147" s="4" t="s">
        <v>2568</v>
      </c>
      <c r="L147" s="337" t="str">
        <f>IF(ISBLANK('Active Directory Inputs'!E96),"Value Missing",'Active Directory Inputs'!E96)</f>
        <v>Value Missing</v>
      </c>
      <c r="Q147" s="8"/>
      <c r="R147" s="8"/>
      <c r="T147" s="4" t="s">
        <v>2569</v>
      </c>
      <c r="U147" s="337" t="str">
        <f>IF(ISBLANK(input_cbr_vcdr_passcode),"Value Missing",input_cbr_vcdr_passcode)</f>
        <v>Value Missing</v>
      </c>
      <c r="V147" s="3"/>
    </row>
    <row r="148" spans="2:27" s="2" customFormat="1" ht="20.100000000000001" customHeight="1" x14ac:dyDescent="0.2">
      <c r="B148" s="4" t="s">
        <v>2570</v>
      </c>
      <c r="C148" s="337" t="str">
        <f>IF(ISBLANK(flt_vidb_size_chosen),"Value Missing",flt_vidb_size_chosen)</f>
        <v>Small</v>
      </c>
      <c r="E148" s="4" t="s">
        <v>2571</v>
      </c>
      <c r="F148" s="337" t="str">
        <f>wld_centralized_connectivity_chosen</f>
        <v>Centralized Connectivity</v>
      </c>
      <c r="H148" s="22" t="s">
        <v>438</v>
      </c>
      <c r="I148" s="337" t="str">
        <f>IF(ISBLANK(cluster_az1_vsan_storage_client_lbt_chosen),"Value Missing",cluster_az1_vsan_storage_client_lbt_chosen)</f>
        <v>Route Based on Physical NIC Load</v>
      </c>
      <c r="K148" s="4" t="s">
        <v>2572</v>
      </c>
      <c r="L148" s="337" t="str">
        <f>IF(ISBLANK('Active Directory Inputs'!E97),"Value Missing",'Active Directory Inputs'!E97)</f>
        <v>Value Missing</v>
      </c>
      <c r="Q148" s="8"/>
      <c r="R148" s="8"/>
      <c r="T148" s="4" t="s">
        <v>2573</v>
      </c>
      <c r="U148" s="337" t="str">
        <f>IF(ISBLANK(input_cbr_vcdr_label),"Value Missing",input_cbr_vcdr_label)</f>
        <v>Value Missing</v>
      </c>
      <c r="V148" s="3"/>
    </row>
    <row r="149" spans="2:27" s="2" customFormat="1" ht="20.100000000000001" customHeight="1" x14ac:dyDescent="0.2">
      <c r="B149" s="4" t="s">
        <v>2574</v>
      </c>
      <c r="C149" s="337" t="str">
        <f>IF(ISBLANK(input_flt_vidb_cert_alias),"Value Missing",input_flt_vidb_cert_alias)</f>
        <v>Value Missing</v>
      </c>
      <c r="E149" s="4" t="s">
        <v>1226</v>
      </c>
      <c r="F149" s="337" t="str">
        <f>IF(ISBLANK(input_wld_nsxt_lm_audit_password),"Value Missing",input_wld_nsxt_lm_audit_password)</f>
        <v>Value Missing</v>
      </c>
      <c r="H149" s="22" t="s">
        <v>440</v>
      </c>
      <c r="I149" s="337" t="str">
        <f>IF(ISBLANK(cluster_az1_vsan_storage_client_uplink1),"Value Missing",cluster_az1_vsan_storage_client_uplink1)</f>
        <v>Active</v>
      </c>
      <c r="K149" s="4" t="s">
        <v>2575</v>
      </c>
      <c r="L149" s="337" t="str">
        <f>IF(ISBLANK('Active Directory Inputs'!E103),"Value Missing",'Active Directory Inputs'!E103)</f>
        <v>Value Missing</v>
      </c>
      <c r="Q149" s="8"/>
      <c r="R149" s="8"/>
      <c r="T149" s="4" t="s">
        <v>2576</v>
      </c>
      <c r="U149" s="337" t="str">
        <f>IF(ISBLANK(input_cbr_vcdr_anti_affinity),"Value Missing",input_cbr_vcdr_anti_affinity)</f>
        <v>Value Missing</v>
      </c>
      <c r="V149" s="3"/>
    </row>
    <row r="150" spans="2:27" s="2" customFormat="1" ht="20.100000000000001" customHeight="1" x14ac:dyDescent="0.2">
      <c r="B150" s="4" t="s">
        <v>2577</v>
      </c>
      <c r="C150" s="337" t="str">
        <f>IF(ISBLANK(input_flt_vidb_cert_common_name),"Value Missing",input_flt_vidb_cert_common_name)</f>
        <v>Value Missing</v>
      </c>
      <c r="E150" s="4" t="s">
        <v>2578</v>
      </c>
      <c r="F150" s="337" t="str">
        <f>IF(ISBLANK(input_wld_nsxt_lm_admin_password),"Value Missing",input_wld_nsxt_lm_admin_password)</f>
        <v>Value Missing</v>
      </c>
      <c r="H150" s="22" t="s">
        <v>441</v>
      </c>
      <c r="I150" s="337" t="str">
        <f>IF(ISBLANK(cluster_az1_vsan_storage_client_uplink2),"Value Missing",cluster_az1_vsan_storage_client_uplink2)</f>
        <v>Active</v>
      </c>
      <c r="K150" s="4" t="s">
        <v>2579</v>
      </c>
      <c r="L150" s="337" t="str">
        <f>IF(ISBLANK('Active Directory Inputs'!E104),"Value Missing",'Active Directory Inputs'!E104)</f>
        <v>Value Missing</v>
      </c>
      <c r="Q150" s="8"/>
      <c r="R150" s="8"/>
      <c r="T150" s="4" t="s">
        <v>2580</v>
      </c>
      <c r="U150" s="337" t="str">
        <f>IF(ISBLANK(input_cbr_vcdr_email_recipient),"Value Missing",input_cbr_vcdr_email_recipient)</f>
        <v>Value Missing</v>
      </c>
      <c r="V150" s="3"/>
    </row>
    <row r="151" spans="2:27" s="2" customFormat="1" ht="20.100000000000001" customHeight="1" x14ac:dyDescent="0.2">
      <c r="B151" s="4" t="s">
        <v>2581</v>
      </c>
      <c r="C151" s="337" t="str">
        <f>IF(ISBLANK(input_flt_vidb_cert_organisation),"Value Missing",input_flt_vidb_cert_organisation)</f>
        <v>Value Missing</v>
      </c>
      <c r="E151" s="4" t="s">
        <v>2582</v>
      </c>
      <c r="F151" s="337" t="str">
        <f>wld_nsx_ha_mode_chosen</f>
        <v>High-Availability</v>
      </c>
      <c r="H151" s="336" t="s">
        <v>475</v>
      </c>
      <c r="I151" s="336"/>
      <c r="K151" s="4" t="s">
        <v>2583</v>
      </c>
      <c r="L151" s="337" t="str">
        <f>IF(ISBLANK('Active Directory Inputs'!E105),"Value Missing",'Active Directory Inputs'!E105)</f>
        <v>Value Missing</v>
      </c>
      <c r="Q151" s="8"/>
      <c r="R151" s="8"/>
      <c r="T151" s="4" t="s">
        <v>2584</v>
      </c>
      <c r="U151" s="337" t="str">
        <f>IF(ISBLANK(input_cbr_vcdr_email_sender),"Value Missing",input_cbr_vcdr_email_sender)</f>
        <v>Value Missing</v>
      </c>
      <c r="V151" s="3"/>
    </row>
    <row r="152" spans="2:27" s="2" customFormat="1" ht="20.100000000000001" customHeight="1" x14ac:dyDescent="0.2">
      <c r="B152" s="4" t="s">
        <v>2585</v>
      </c>
      <c r="C152" s="337" t="str">
        <f>IF(ISBLANK(input_flt_vidb_ou_cert),"Value Missing",input_flt_vidb_ou_cert)</f>
        <v>Value Missing</v>
      </c>
      <c r="E152" s="4" t="s">
        <v>2586</v>
      </c>
      <c r="F152" s="337"/>
      <c r="H152" s="4" t="s">
        <v>447</v>
      </c>
      <c r="I152" s="337" t="str">
        <f>cluster_nsx_default_operation_mode_chosen</f>
        <v>Selected</v>
      </c>
      <c r="K152" s="4" t="s">
        <v>2587</v>
      </c>
      <c r="L152" s="337" t="str">
        <f>IF(ISBLANK(input_gg_vcf_admins_group),"Value Missing",input_gg_vcf_admins_group)</f>
        <v>Value Missing</v>
      </c>
      <c r="Q152" s="8"/>
      <c r="R152" s="8"/>
      <c r="T152" s="4" t="s">
        <v>2588</v>
      </c>
      <c r="U152" s="337" t="str">
        <f>IF(ISBLANK(input_cbr_aria_logs_url),"Value Missing",input_cbr_aria_logs_url)</f>
        <v>Value Missing</v>
      </c>
      <c r="V152" s="3"/>
    </row>
    <row r="153" spans="2:27" s="2" customFormat="1" ht="20.100000000000001" customHeight="1" x14ac:dyDescent="0.2">
      <c r="B153" s="4" t="s">
        <v>2589</v>
      </c>
      <c r="C153" s="337" t="str">
        <f>IF(ISBLANK(input_flt_vidb_cert_country_code),"Value Missing",input_flt_vidb_cert_country_code)</f>
        <v>Value Missing</v>
      </c>
      <c r="E153" s="4" t="s">
        <v>2590</v>
      </c>
      <c r="F153" s="337" t="str">
        <f>IF(ISBLANK(input_wld_ec_rp_name),"Value Missing",input_wld_ec_rp_name)</f>
        <v>Value Missing</v>
      </c>
      <c r="H153" s="4" t="s">
        <v>267</v>
      </c>
      <c r="I153" s="337" t="str">
        <f>cluster_nsx_operation_mode_chosen</f>
        <v>Standard</v>
      </c>
      <c r="K153" s="4" t="s">
        <v>2591</v>
      </c>
      <c r="L153" s="337" t="str">
        <f>IF(ISBLANK(input_gg_vcf_operators_group),"Value Missing",input_gg_vcf_operators_group)</f>
        <v>Value Missing</v>
      </c>
      <c r="Q153" s="8"/>
      <c r="R153" s="8"/>
      <c r="T153" s="4" t="s">
        <v>2592</v>
      </c>
      <c r="U153" s="337" t="str">
        <f>IF(ISBLANK(input_cbr_aria_logs_key),"Value Missing",input_cbr_aria_logs_key)</f>
        <v>Value Missing</v>
      </c>
      <c r="V153" s="3"/>
    </row>
    <row r="154" spans="2:27" s="2" customFormat="1" ht="20.100000000000001" customHeight="1" x14ac:dyDescent="0.2">
      <c r="B154" s="4" t="s">
        <v>2593</v>
      </c>
      <c r="C154" s="337" t="str">
        <f>IF(ISBLANK(input_flt_vidb_cert_locality),"Value Missing",input_flt_vidb_cert_locality)</f>
        <v>Value Missing</v>
      </c>
      <c r="E154" s="4" t="s">
        <v>2594</v>
      </c>
      <c r="F154" s="337" t="str">
        <f>IF(ISBLANK(wld_ec01_host_group_affinity_rule_chosen),"Value Missing",wld_ec01_host_group_affinity_rule_chosen)</f>
        <v>No</v>
      </c>
      <c r="H154" s="4" t="s">
        <v>1558</v>
      </c>
      <c r="I154" s="337"/>
      <c r="K154" s="4" t="s">
        <v>2595</v>
      </c>
      <c r="L154" s="337" t="str">
        <f>IF(ISBLANK(input_gg_vcf_viewers_group),"Value Missing",input_gg_vcf_viewers_group)</f>
        <v>Value Missing</v>
      </c>
      <c r="Q154" s="8"/>
      <c r="R154" s="8"/>
      <c r="T154" s="8"/>
      <c r="U154" s="8"/>
      <c r="V154" s="3"/>
    </row>
    <row r="155" spans="2:27" s="2" customFormat="1" ht="20.100000000000001" customHeight="1" x14ac:dyDescent="0.2">
      <c r="B155" s="4" t="s">
        <v>2596</v>
      </c>
      <c r="C155" s="337" t="str">
        <f>IF(ISBLANK(input_flt_vidb_cert_state),"Value Missing",input_flt_vidb_cert_state)</f>
        <v>Value Missing</v>
      </c>
      <c r="E155" s="4" t="s">
        <v>2597</v>
      </c>
      <c r="F155" s="337" t="str">
        <f>IF(ISBLANK(input_wld_ec01_en01_host_group_affinity_rule_name),"Value Missing",input_wld_ec01_en01_host_group_affinity_rule_name)</f>
        <v>Value Missing</v>
      </c>
      <c r="H155" s="4" t="s">
        <v>1290</v>
      </c>
      <c r="I155" s="337"/>
      <c r="K155" s="4" t="s">
        <v>2598</v>
      </c>
      <c r="L155" s="337" t="str">
        <f>IF(ISBLANK(input_gg_vc_admins_group),"Value Missing",input_gg_vc_admins_group)</f>
        <v>Value Missing</v>
      </c>
      <c r="Q155" s="8"/>
      <c r="R155" s="8"/>
      <c r="T155" s="575" t="s">
        <v>2599</v>
      </c>
      <c r="U155" s="577"/>
      <c r="V155" s="3"/>
    </row>
    <row r="156" spans="2:27" s="2" customFormat="1" ht="20.100000000000001" customHeight="1" x14ac:dyDescent="0.2">
      <c r="B156" s="4" t="s">
        <v>2600</v>
      </c>
      <c r="C156" s="337" t="str">
        <f>IF(ISBLANK(flt_vidb_cert_key_length_chosen),"Value Missing",flt_vidb_cert_key_length_chosen)</f>
        <v>4096</v>
      </c>
      <c r="E156" s="17" t="s">
        <v>2601</v>
      </c>
      <c r="F156" s="337" t="str">
        <f>IF(ISBLANK(input_wld_ec01_en02_host_group_affinity_rule_name),"Value Missing",input_wld_ec01_en02_host_group_affinity_rule_name)</f>
        <v>Value Missing</v>
      </c>
      <c r="H156" s="336" t="s">
        <v>452</v>
      </c>
      <c r="I156" s="336"/>
      <c r="K156" s="4" t="s">
        <v>2602</v>
      </c>
      <c r="L156" s="337" t="str">
        <f>IF(ISBLANK(input_gg_vc_read_only_group),"Value Missing",input_gg_vc_read_only_group)</f>
        <v>Value Missing</v>
      </c>
      <c r="Q156" s="8"/>
      <c r="R156" s="8"/>
      <c r="T156" s="166" t="s">
        <v>259</v>
      </c>
      <c r="U156" s="167" t="s">
        <v>277</v>
      </c>
      <c r="V156" s="3"/>
      <c r="Z156" s="8"/>
      <c r="AA156" s="8"/>
    </row>
    <row r="157" spans="2:27" s="2" customFormat="1" ht="20.100000000000001" customHeight="1" x14ac:dyDescent="0.2">
      <c r="B157" s="4" t="s">
        <v>2603</v>
      </c>
      <c r="C157" s="337" t="str">
        <f>IF(ISBLANK(input_flt_vidb_folder),"Value Missing",input_flt_vidb_folder)</f>
        <v>Value Missing</v>
      </c>
      <c r="E157" s="4" t="s">
        <v>2604</v>
      </c>
      <c r="F157" s="337" t="str">
        <f>IF(ISBLANK(wld_ec01_use_host_overlay_chosen),"Value Missing",wld_ec01_use_host_overlay_chosen)</f>
        <v xml:space="preserve">Unselected </v>
      </c>
      <c r="H157" s="4" t="s">
        <v>453</v>
      </c>
      <c r="I157" s="337" t="str">
        <f>IF(ISBLANK(input_cluster_host_overlay_transportzone),"Value Missing",input_cluster_host_overlay_transportzone)</f>
        <v>Value Missing</v>
      </c>
      <c r="K157" s="4" t="s">
        <v>2605</v>
      </c>
      <c r="L157" s="337" t="str">
        <f>IF(ISBLANK(input_gg_sso_admins_group),"Value Missing",input_gg_sso_admins_group)</f>
        <v>Value Missing</v>
      </c>
      <c r="Q157" s="8"/>
      <c r="R157" s="8"/>
      <c r="T157" s="4" t="s">
        <v>2606</v>
      </c>
      <c r="U157" s="337" t="str">
        <f>IF(ISBLANK(input_ccm_hcx_vsphere_role),"Value Missing",input_ccm_hcx_vsphere_role)</f>
        <v>Value Missing</v>
      </c>
      <c r="V157" s="3"/>
    </row>
    <row r="158" spans="2:27" s="2" customFormat="1" ht="20.100000000000001" customHeight="1" x14ac:dyDescent="0.2">
      <c r="B158" s="4" t="s">
        <v>1046</v>
      </c>
      <c r="C158" s="337" t="str">
        <f>IF(ISBLANK(input_flt_vidb_gateway_ip),"Value Missing",input_flt_vidb_gateway_ip)</f>
        <v>Value Missing</v>
      </c>
      <c r="E158" s="4" t="s">
        <v>2607</v>
      </c>
      <c r="F158" s="337" t="str">
        <f>wld_gateway_routing_type_chosen</f>
        <v>BGP</v>
      </c>
      <c r="H158" s="4" t="s">
        <v>398</v>
      </c>
      <c r="I158" s="337" t="str">
        <f>IF(ISBLANK(input_cluster_az1_host_overlay_vlan),"Value Missing",input_cluster_az1_host_overlay_vlan)</f>
        <v>Value Missing</v>
      </c>
      <c r="K158" s="4" t="s">
        <v>2608</v>
      </c>
      <c r="L158" s="337" t="str">
        <f>IF(ISBLANK(input_gg_nsx_enterprise_admins_group),"Value Missing",input_gg_nsx_enterprise_admins_group)</f>
        <v>Value Missing</v>
      </c>
      <c r="Q158" s="8"/>
      <c r="R158" s="8"/>
      <c r="T158" s="4" t="s">
        <v>2609</v>
      </c>
      <c r="U158" s="337" t="str">
        <f>IF(ISBLANK(input_svc_ccm_hcx_vsphere_user),"Value Missing",input_svc_ccm_hcx_vsphere_user)</f>
        <v>Value Missing</v>
      </c>
      <c r="V158" s="3"/>
    </row>
    <row r="159" spans="2:27" s="2" customFormat="1" ht="20.100000000000001" customHeight="1" x14ac:dyDescent="0.2">
      <c r="B159" s="4" t="s">
        <v>1047</v>
      </c>
      <c r="C159" s="337" t="str">
        <f>IF(ISBLANK(input_flt_vidb_mask),"Value Missing",input_flt_vidb_mask)</f>
        <v>Value Missing</v>
      </c>
      <c r="E159" s="336" t="s">
        <v>2610</v>
      </c>
      <c r="F159" s="336" t="s">
        <v>277</v>
      </c>
      <c r="H159" s="4" t="s">
        <v>454</v>
      </c>
      <c r="I159" s="337" t="str">
        <f>IF(ISBLANK(cluster_host_overlay_addressing_chosen),"Value Missing",cluster_host_overlay_addressing_chosen)</f>
        <v>Static IP Pool</v>
      </c>
      <c r="K159" s="4" t="s">
        <v>2611</v>
      </c>
      <c r="L159" s="337" t="str">
        <f>IF(ISBLANK(input_gg_nsx_network_admins_group),"Value Missing",input_gg_nsx_network_admins_group)</f>
        <v>Value Missing</v>
      </c>
      <c r="Q159" s="8"/>
      <c r="R159" s="8"/>
      <c r="T159" s="4" t="s">
        <v>2612</v>
      </c>
      <c r="U159" s="337" t="str">
        <f>IF(ISBLANK(input_svc_ccm_hcx_vsphere_password),"Value Missing",input_svc_ccm_hcx_vsphere_password)</f>
        <v>Value Missing</v>
      </c>
      <c r="V159" s="3"/>
    </row>
    <row r="160" spans="2:27" s="2" customFormat="1" ht="20.100000000000001" customHeight="1" x14ac:dyDescent="0.2">
      <c r="B160" s="4" t="s">
        <v>2613</v>
      </c>
      <c r="C160" s="337" t="str">
        <f>IF(ISBLANK(input_flt_vidb_resource_pool),"Value Missing",input_flt_vidb_resource_pool)</f>
        <v>Value Missing</v>
      </c>
      <c r="E160" s="17" t="s">
        <v>447</v>
      </c>
      <c r="F160" s="337" t="str">
        <f>wld_nsx_default_operation_mode_chosen</f>
        <v>Selected</v>
      </c>
      <c r="H160" s="4" t="s">
        <v>1291</v>
      </c>
      <c r="I160" s="337" t="str">
        <f>IF(ISBLANK(cluster_az1_host_overlay_new_pool_chosen),"Value Missing",cluster_az1_host_overlay_new_pool_chosen)</f>
        <v>Re-use an existing Pool</v>
      </c>
      <c r="K160" s="4" t="s">
        <v>2614</v>
      </c>
      <c r="L160" s="337" t="str">
        <f>IF(ISBLANK(input_gg_nsx_auditors_group),"Value Missing",input_gg_nsx_auditors_group)</f>
        <v>Value Missing</v>
      </c>
      <c r="Q160" s="8"/>
      <c r="R160" s="8"/>
      <c r="T160" s="4" t="s">
        <v>2615</v>
      </c>
      <c r="U160" s="337" t="str">
        <f>IF(ISBLANK(input_ccm_vm_folder),"Value Missing",input_ccm_vm_folder)</f>
        <v>Value Missing</v>
      </c>
      <c r="V160" s="3"/>
    </row>
    <row r="161" spans="2:31" s="2" customFormat="1" ht="20.100000000000001" customHeight="1" x14ac:dyDescent="0.2">
      <c r="B161" s="4" t="s">
        <v>591</v>
      </c>
      <c r="C161" s="337" t="str">
        <f>IF(ISBLANK(input_flt_vidb_pg),"Value Missing",input_flt_vidb_pg)</f>
        <v>Value Missing</v>
      </c>
      <c r="E161" s="17" t="s">
        <v>2616</v>
      </c>
      <c r="F161" s="337" t="str">
        <f>IF(ISBLANK(mgmt_nsx_operation_mode_chosen),"Value Missing",mgmt_nsx_operation_mode_chosen)</f>
        <v>Enhanced Datapath Standard</v>
      </c>
      <c r="H161" s="4" t="s">
        <v>456</v>
      </c>
      <c r="I161" s="337" t="str">
        <f>IF(ISBLANK(input_cluster_az1_host_overlay_network_pool_name),"Value Missing",input_cluster_az1_host_overlay_network_pool_name)</f>
        <v>Value Missing</v>
      </c>
      <c r="M161" s="8"/>
      <c r="P161" s="8"/>
      <c r="T161" s="4" t="s">
        <v>2617</v>
      </c>
      <c r="U161" s="337" t="str">
        <f>IF(ISBLANK(input_ccm_hcx_vm_folder),"Value Missing",input_ccm_hcx_vm_folder)</f>
        <v>Value Missing</v>
      </c>
      <c r="V161" s="3"/>
    </row>
    <row r="162" spans="2:31" s="2" customFormat="1" ht="20.100000000000001" customHeight="1" x14ac:dyDescent="0.2">
      <c r="B162" s="4" t="s">
        <v>299</v>
      </c>
      <c r="C162" s="337" t="str">
        <f>IF(ISBLANK(input_flt_vidb_vcenter_fqdn),"Value Missing",input_flt_vidb_vcenter_fqdn)</f>
        <v>Value Missing</v>
      </c>
      <c r="E162" s="17" t="s">
        <v>2618</v>
      </c>
      <c r="F162" s="337" t="str">
        <f>wld_domain_password_creation_chosen</f>
        <v>Unselected</v>
      </c>
      <c r="H162" s="4" t="s">
        <v>1560</v>
      </c>
      <c r="I162" s="337" t="str">
        <f>IF(ISBLANK(input_cluster_az1_host_overlay_network_pool_description),"Value Missing",input_cluster_az1_host_overlay_network_pool_description)</f>
        <v>Value Missing</v>
      </c>
      <c r="K162" s="575" t="s">
        <v>2619</v>
      </c>
      <c r="L162" s="577"/>
      <c r="M162" s="8"/>
      <c r="P162" s="8"/>
      <c r="T162" s="4" t="s">
        <v>2620</v>
      </c>
      <c r="U162" s="337" t="str">
        <f>IF(ISBLANK(input_ccm_hcx_resource_pool),"Value Missing",input_ccm_hcx_resource_pool)</f>
        <v>Value Missing</v>
      </c>
      <c r="V162" s="3"/>
      <c r="X162" s="8"/>
      <c r="Y162" s="8"/>
    </row>
    <row r="163" spans="2:31" s="2" customFormat="1" ht="20.100000000000001" customHeight="1" x14ac:dyDescent="0.2">
      <c r="B163" s="4" t="s">
        <v>1165</v>
      </c>
      <c r="C163" s="337" t="str">
        <f>IF(ISBLANK(input_flt_vidb_cluster),"Value Missing",input_flt_vidb_cluster)</f>
        <v>Value Missing</v>
      </c>
      <c r="E163" s="17" t="s">
        <v>2621</v>
      </c>
      <c r="F163" s="337" t="str">
        <f>wld_az1_en1_edge_overlay_network_ip_allocation_chosen</f>
        <v>Static IP List</v>
      </c>
      <c r="H163" s="4" t="s">
        <v>459</v>
      </c>
      <c r="I163" s="337" t="str">
        <f>IF(ISBLANK(input_cluster_az1_host_overlay_cidr),"Value Missing",input_cluster_az1_host_overlay_cidr)</f>
        <v>Value Missing</v>
      </c>
      <c r="K163" s="166" t="s">
        <v>259</v>
      </c>
      <c r="L163" s="167" t="s">
        <v>277</v>
      </c>
      <c r="M163" s="8"/>
      <c r="P163" s="8"/>
      <c r="T163" s="4" t="s">
        <v>2622</v>
      </c>
      <c r="U163" s="337" t="str">
        <f>IF(ISBLANK(input_svc_ccm_hcx_nsx_user),"Value Missing",input_svc_ccm_hcx_nsx_user)</f>
        <v>Value Missing</v>
      </c>
      <c r="V163" s="3"/>
      <c r="AE163" s="6"/>
    </row>
    <row r="164" spans="2:31" s="2" customFormat="1" ht="20.100000000000001" customHeight="1" x14ac:dyDescent="0.2">
      <c r="B164" s="4" t="s">
        <v>587</v>
      </c>
      <c r="C164" s="337" t="str">
        <f>IF(ISBLANK(input_flt_vidb_datastore),"Value Missing",input_flt_vidb_datastore)</f>
        <v>Value Missing</v>
      </c>
      <c r="E164" s="17" t="s">
        <v>2623</v>
      </c>
      <c r="F164" s="337" t="str">
        <f>wld_az1_en1_ip_allocation_chosen</f>
        <v>Static</v>
      </c>
      <c r="H164" s="4" t="s">
        <v>460</v>
      </c>
      <c r="I164" s="337" t="str">
        <f>IF(ISBLANK(input_cluster_az1_host_overlay_pool_start_ip),"Value Missing",input_cluster_az1_host_overlay_pool_start_ip)</f>
        <v>Value Missing</v>
      </c>
      <c r="K164" s="4" t="s">
        <v>2624</v>
      </c>
      <c r="L164" s="337"/>
      <c r="M164" s="8"/>
      <c r="P164" s="8"/>
      <c r="T164" s="4" t="s">
        <v>2625</v>
      </c>
      <c r="U164" s="337" t="str">
        <f t="array" ref="U164">IF(ISBLANK(input_svc_ccm_hcx_nsx_password),"Value Missing",input_svc_ccm_hcx_nsx_password)</f>
        <v>Value Missing</v>
      </c>
      <c r="V164" s="3"/>
    </row>
    <row r="165" spans="2:31" s="2" customFormat="1" ht="20.100000000000001" customHeight="1" x14ac:dyDescent="0.2">
      <c r="B165" s="4" t="s">
        <v>2626</v>
      </c>
      <c r="C165" s="337"/>
      <c r="E165" s="17" t="s">
        <v>2627</v>
      </c>
      <c r="F165" s="337"/>
      <c r="H165" s="4" t="s">
        <v>461</v>
      </c>
      <c r="I165" s="337" t="str">
        <f>IF(ISBLANK(input_cluster_az1_host_overlay_pool_end_ip),"Value Missing",input_cluster_az1_host_overlay_pool_end_ip)</f>
        <v>Value Missing</v>
      </c>
      <c r="M165" s="8"/>
      <c r="N165" s="8"/>
      <c r="O165" s="8"/>
      <c r="P165" s="8"/>
      <c r="T165" s="4" t="s">
        <v>2628</v>
      </c>
      <c r="U165" s="337" t="str">
        <f>IF(ISBLANK(input_ccm_aws_sddc_name),"Value Missing",input_ccm_aws_sddc_name)</f>
        <v>Value Missing</v>
      </c>
      <c r="V165" s="3"/>
    </row>
    <row r="166" spans="2:31" s="2" customFormat="1" ht="20.100000000000001" customHeight="1" x14ac:dyDescent="0.2">
      <c r="B166" s="4" t="s">
        <v>2629</v>
      </c>
      <c r="C166" s="337" t="str">
        <f>flt_vidb_identity_provider_chosen</f>
        <v>AD/LDAP</v>
      </c>
      <c r="E166" s="17" t="s">
        <v>2630</v>
      </c>
      <c r="F166" s="337" t="str">
        <f>wld_az1_en2_ip_allocation_chosen</f>
        <v>Static</v>
      </c>
      <c r="H166" s="4" t="s">
        <v>907</v>
      </c>
      <c r="I166" s="337" t="str">
        <f>IF(ISBLANK(input_cluster_az1_host_overlay_gateway_ip),"Value Missing",input_cluster_az1_host_overlay_gateway_ip)</f>
        <v>Value Missing</v>
      </c>
      <c r="K166" s="578" t="s">
        <v>2631</v>
      </c>
      <c r="L166" s="582"/>
      <c r="M166" s="8"/>
      <c r="N166" s="8"/>
      <c r="O166" s="8"/>
      <c r="P166" s="8"/>
      <c r="T166" s="4" t="s">
        <v>2512</v>
      </c>
      <c r="U166" s="337" t="str">
        <f>IF(ISBLANK(input_ccm_aws_region),"Value Missing",input_ccm_aws_region)</f>
        <v>Value Missing</v>
      </c>
      <c r="V166" s="3"/>
    </row>
    <row r="167" spans="2:31" s="2" customFormat="1" ht="20.100000000000001" customHeight="1" x14ac:dyDescent="0.2">
      <c r="B167" s="4" t="s">
        <v>2632</v>
      </c>
      <c r="C167" s="337" t="str">
        <f>IF(ISBLANK(input_flt_vidb_directory_name),"Value Missing",input_flt_vidb_directory_name)</f>
        <v>Value Missing</v>
      </c>
      <c r="E167" s="17" t="s">
        <v>2633</v>
      </c>
      <c r="F167" s="337" t="s">
        <v>2633</v>
      </c>
      <c r="H167" s="4" t="s">
        <v>453</v>
      </c>
      <c r="I167" s="337" t="str">
        <f>IF(ISBLANK(input_cluster_nsx_vlan_transport_zone_name),"Value Missing",input_cluster_nsx_vlan_transport_zone_name)</f>
        <v>Value Missing</v>
      </c>
      <c r="K167" s="4" t="s">
        <v>2634</v>
      </c>
      <c r="L167" s="337" t="str">
        <f>IF(ISBLANK(input_mgmt_witness_zone_vc_fqdn),"Value Missing",input_mgmt_witness_zone_vc_fqdn)</f>
        <v>Value Missing</v>
      </c>
      <c r="M167" s="8"/>
      <c r="N167" s="8"/>
      <c r="O167" s="8"/>
      <c r="P167" s="8"/>
      <c r="T167" s="4" t="s">
        <v>2515</v>
      </c>
      <c r="U167" s="337" t="str">
        <f>IF(ISBLANK(input_ccm_aws_host_type),"Value Missing",input_ccm_aws_host_type)</f>
        <v>Value Missing</v>
      </c>
      <c r="V167" s="3"/>
    </row>
    <row r="168" spans="2:31" s="2" customFormat="1" ht="20.100000000000001" customHeight="1" x14ac:dyDescent="0.2">
      <c r="B168" s="4" t="s">
        <v>2635</v>
      </c>
      <c r="C168" s="337" t="str">
        <f>flt_vidb_server_location_chosen</f>
        <v>Selected</v>
      </c>
      <c r="E168" s="17" t="s">
        <v>2636</v>
      </c>
      <c r="F168" s="337" t="str">
        <f>IF(ISBLANK(wld_az1_host_overlay_new_pool_chosen),"Value Missing",wld_az1_host_overlay_new_pool_chosen)</f>
        <v>Create New Static IP Pool</v>
      </c>
      <c r="H168" s="4" t="s">
        <v>1295</v>
      </c>
      <c r="I168" s="337" t="str">
        <f>IF(ISBLANK(input_cluster_az1_nsx_uplink_count),"Value Missing",input_cluster_az1_nsx_uplink_count)</f>
        <v>Value Missing</v>
      </c>
      <c r="K168" s="4" t="s">
        <v>2637</v>
      </c>
      <c r="L168" s="337" t="str">
        <f>IF(ISBLANK(input_mgmt_witness_zone_vc_fqdn),"Value Missing",input_mgmt_witness_zone_vc_fqdn)</f>
        <v>Value Missing</v>
      </c>
      <c r="M168" s="8"/>
      <c r="N168" s="8"/>
      <c r="O168" s="8"/>
      <c r="P168" s="8"/>
      <c r="Q168" s="8"/>
      <c r="T168" s="4" t="s">
        <v>144</v>
      </c>
      <c r="U168" s="337" t="str">
        <f>IF(ISBLANK(input_ccm_aws_host_count),"Value Missing",input_ccm_aws_host_count)</f>
        <v>Value Missing</v>
      </c>
      <c r="V168" s="3"/>
    </row>
    <row r="169" spans="2:31" s="2" customFormat="1" ht="20.100000000000001" customHeight="1" x14ac:dyDescent="0.2">
      <c r="B169" s="4" t="s">
        <v>2638</v>
      </c>
      <c r="C169" s="337" t="str">
        <f>flt_vidb_global_catalog_chosen</f>
        <v>Unselected</v>
      </c>
      <c r="E169" s="17" t="s">
        <v>2639</v>
      </c>
      <c r="F169" s="337" t="str">
        <f>wld_nsx_default_operation_mode_chosen</f>
        <v>Selected</v>
      </c>
      <c r="H169" s="4" t="s">
        <v>1296</v>
      </c>
      <c r="I169" s="337" t="str">
        <f>IF(ISBLANK(input_cluster_az1_nsx_uplink1),"Value Missing",input_cluster_az1_nsx_uplink1)</f>
        <v>Value Missing</v>
      </c>
      <c r="K169" s="4" t="s">
        <v>2640</v>
      </c>
      <c r="L169" s="337" t="str">
        <f>IF(ISBLANK(input_mgmt_witness_zone_vc_fqdn),"Value Missing",input_mgmt_witness_zone_vc_fqdn)</f>
        <v>Value Missing</v>
      </c>
      <c r="M169" s="8"/>
      <c r="O169" s="8"/>
      <c r="P169" s="8"/>
      <c r="Q169" s="8"/>
      <c r="T169" s="4" t="s">
        <v>2523</v>
      </c>
      <c r="U169" s="337" t="str">
        <f>IF(ISBLANK(input_ccm_aws_vpc),"Value Missing",input_ccm_aws_vpc)</f>
        <v>Value Missing</v>
      </c>
      <c r="V169" s="3"/>
    </row>
    <row r="170" spans="2:31" s="2" customFormat="1" ht="20.100000000000001" customHeight="1" x14ac:dyDescent="0.2">
      <c r="B170" s="4" t="s">
        <v>2641</v>
      </c>
      <c r="C170" s="337" t="str">
        <f>flt_vidb_encrypted_connection_chosen</f>
        <v>Unselected</v>
      </c>
      <c r="E170" s="17" t="s">
        <v>2642</v>
      </c>
      <c r="F170" s="337"/>
      <c r="H170" s="4" t="s">
        <v>1297</v>
      </c>
      <c r="I170" s="337" t="str">
        <f>IF(ISBLANK(input_cluster_az1_nsx_uplink2),"Value Missing",input_cluster_az1_nsx_uplink2)</f>
        <v>Value Missing</v>
      </c>
      <c r="K170" s="4" t="s">
        <v>2643</v>
      </c>
      <c r="L170" s="337" t="str">
        <f>IF(ISBLANK(input_mgmt_witnessaz_mgmt_mtu),"Value Missing",input_mgmt_witnessaz_mgmt_mtu)</f>
        <v>Value Missing</v>
      </c>
      <c r="M170" s="8"/>
      <c r="O170" s="8"/>
      <c r="P170" s="8"/>
      <c r="Q170" s="8"/>
      <c r="T170" s="4" t="s">
        <v>2527</v>
      </c>
      <c r="U170" s="337" t="str">
        <f>IF(ISBLANK(input_ccm_aws_subnet),"Value Missing",input_ccm_aws_subnet)</f>
        <v>Value Missing</v>
      </c>
      <c r="V170" s="3"/>
      <c r="X170" s="8"/>
      <c r="Y170" s="8"/>
    </row>
    <row r="171" spans="2:31" s="2" customFormat="1" ht="20.100000000000001" customHeight="1" x14ac:dyDescent="0.2">
      <c r="B171" s="4" t="s">
        <v>2644</v>
      </c>
      <c r="C171" s="337" t="str">
        <f>IF(ISBLANK(input_flt_vidb_encrypted_cert),"Value Missing",input_flt_vidb_encrypted_cert)</f>
        <v>Value Missing</v>
      </c>
      <c r="E171" s="17" t="s">
        <v>2645</v>
      </c>
      <c r="F171" s="337" t="str">
        <f>wld_cl01_vds_copy_profile_chosen</f>
        <v>Unselected</v>
      </c>
      <c r="H171" s="17" t="s">
        <v>1298</v>
      </c>
      <c r="I171" s="337" t="str">
        <f>IF(ISBLANK(input_cluster_az1_host_overlay_uplink_profile_name),"Value Missing",input_cluster_az1_host_overlay_uplink_profile_name)</f>
        <v>Value Missing</v>
      </c>
      <c r="K171" s="4" t="s">
        <v>2646</v>
      </c>
      <c r="L171" s="337" t="str">
        <f>IF(ISBLANK(input_mgmt_witnessaz_mgmt_vlan),"Value Missing",input_mgmt_witnessaz_mgmt_vlan)</f>
        <v>Value Missing</v>
      </c>
      <c r="M171" s="8"/>
      <c r="O171" s="8"/>
      <c r="P171" s="8"/>
      <c r="Q171" s="8"/>
      <c r="T171" s="4" t="s">
        <v>2532</v>
      </c>
      <c r="U171" s="337" t="str">
        <f>IF(ISBLANK(input_ccm_aws_management_subnet),"Value Missing",input_ccm_aws_management_subnet)</f>
        <v>Value Missing</v>
      </c>
      <c r="V171" s="3"/>
      <c r="X171" s="8"/>
      <c r="Y171" s="8"/>
    </row>
    <row r="172" spans="2:31" s="2" customFormat="1" ht="20.100000000000001" customHeight="1" x14ac:dyDescent="0.2">
      <c r="B172" s="4" t="s">
        <v>2647</v>
      </c>
      <c r="C172" s="337" t="str">
        <f>IF(ISBLANK(input_flt_vidb_primary_domain_controller),"Value Missing",input_flt_vidb_primary_domain_controller)</f>
        <v>Value Missing</v>
      </c>
      <c r="E172" s="17" t="s">
        <v>1295</v>
      </c>
      <c r="F172" s="337" t="str">
        <f>IF(ISBLANK(input_wld_cl01_az1_nsx_uplink_count),"Value Missing",input_wld_cl01_az1_nsx_uplink_count)</f>
        <v>Value Missing</v>
      </c>
      <c r="H172" s="4" t="s">
        <v>438</v>
      </c>
      <c r="I172" s="337" t="str">
        <f>IF(ISBLANK(cluster_az1_nsx_lbt_chosen),"Value Missing",cluster_az1_nsx_lbt_chosen)</f>
        <v>Load Balance Source</v>
      </c>
      <c r="K172" s="4" t="s">
        <v>2648</v>
      </c>
      <c r="L172" s="337"/>
      <c r="M172" s="8"/>
      <c r="O172" s="8"/>
      <c r="P172" s="8"/>
      <c r="Q172" s="8"/>
      <c r="T172" s="4" t="s">
        <v>2536</v>
      </c>
      <c r="U172" s="337" t="str">
        <f>IF(ISBLANK(input_ccm_firewall_rule_vcenter),"Value Missing",input_ccm_firewall_rule_vcenter)</f>
        <v>Value Missing</v>
      </c>
      <c r="V172" s="3"/>
      <c r="X172" s="8"/>
      <c r="Y172" s="8"/>
    </row>
    <row r="173" spans="2:31" s="2" customFormat="1" ht="20.100000000000001" customHeight="1" x14ac:dyDescent="0.2">
      <c r="B173" s="4" t="s">
        <v>2649</v>
      </c>
      <c r="C173" s="337" t="str">
        <f>IF(ISBLANK(input_flt_vidb_primary_domain_controller_port),"Value Missing",input_flt_vidb_primary_domain_controller_port)</f>
        <v>Value Missing</v>
      </c>
      <c r="E173" s="17" t="s">
        <v>1292</v>
      </c>
      <c r="F173" s="337" t="str">
        <f>IF(ISBLANK(input_wld_nsx_vlan_transport_zone_name),"Value Missing",input_wld_nsx_vlan_transport_zone_name)</f>
        <v>Value Missing</v>
      </c>
      <c r="H173" s="4" t="s">
        <v>2650</v>
      </c>
      <c r="I173" s="337" t="str">
        <f>IF(ISBLANK(input_cluster_az1_nsx_uplink1_active),"Value Missing",input_cluster_az1_nsx_uplink1_active)</f>
        <v>Value Missing</v>
      </c>
      <c r="K173" s="4" t="s">
        <v>2651</v>
      </c>
      <c r="L173" s="337" t="str">
        <f>IF(mgmt_witnessaz_mgmt_cidr="Value Missing",mgmt_witnessaz_mgmt_cidr,(LEFT(mgmt_witnessaz_mgmt_cidr,(FIND("/",mgmt_witnessaz_mgmt_cidr)-1))))</f>
        <v>Value Missing</v>
      </c>
      <c r="M173" s="8"/>
      <c r="O173" s="8"/>
      <c r="P173" s="8"/>
      <c r="Q173" s="8"/>
      <c r="T173" s="4" t="s">
        <v>2652</v>
      </c>
      <c r="U173" s="337" t="str">
        <f>IF(ISBLANK(input_ccm_firewall_rule_hcx),"Value Missing",input_ccm_firewall_rule_hcx)</f>
        <v>Value Missing</v>
      </c>
      <c r="V173" s="3"/>
      <c r="X173" s="8"/>
      <c r="Y173" s="8"/>
    </row>
    <row r="174" spans="2:31" s="2" customFormat="1" ht="20.100000000000001" customHeight="1" x14ac:dyDescent="0.2">
      <c r="B174" s="4" t="s">
        <v>2653</v>
      </c>
      <c r="C174" s="337" t="str">
        <f>IF(ISBLANK(input_flt_vidb_secondary_domain_controller),"Value Missing",input_flt_vidb_secondary_domain_controller)</f>
        <v>Value Missing</v>
      </c>
      <c r="E174" s="4" t="s">
        <v>1301</v>
      </c>
      <c r="F174" s="337" t="str">
        <f>IF(ISBLANK(wld_az1_nsx_uplink1_active_chosen),"Value Missing",wld_az1_nsx_uplink1_active_chosen)</f>
        <v>Selected</v>
      </c>
      <c r="H174" s="4" t="s">
        <v>1563</v>
      </c>
      <c r="I174" s="337" t="str">
        <f>IF(ISBLANK(input_cluster_az1_nsx_uplink2_active),"Value Missing",input_cluster_az1_nsx_uplink2_active)</f>
        <v>Value Missing</v>
      </c>
      <c r="K174" s="4"/>
      <c r="L174" s="337"/>
      <c r="M174" s="8"/>
      <c r="O174" s="8"/>
      <c r="P174" s="8"/>
      <c r="Q174" s="8"/>
      <c r="T174" s="4" t="s">
        <v>2654</v>
      </c>
      <c r="U174" s="337" t="str">
        <f>IF(ISBLANK(input_ccm_firewall_group),"Value Missing",input_ccm_firewall_group)</f>
        <v>Value Missing</v>
      </c>
      <c r="V174" s="3"/>
      <c r="X174" s="8"/>
      <c r="Y174" s="8"/>
    </row>
    <row r="175" spans="2:31" s="2" customFormat="1" ht="20.100000000000001" customHeight="1" x14ac:dyDescent="0.2">
      <c r="B175" s="4" t="s">
        <v>2655</v>
      </c>
      <c r="C175" s="337" t="str">
        <f>IF(ISBLANK(input_flt_vidb_secondary_domain_controller_port),"Value Missing",input_flt_vidb_secondary_domain_controller_port)</f>
        <v>Value Missing</v>
      </c>
      <c r="E175" s="4" t="s">
        <v>1302</v>
      </c>
      <c r="F175" s="337" t="str">
        <f>IF(ISBLANK(wld_az1_nsx_uplink2_active_chosen),"Value Missing",wld_az1_nsx_uplink2_active_chosen)</f>
        <v>Selected</v>
      </c>
      <c r="K175" s="4" t="s">
        <v>2656</v>
      </c>
      <c r="L175" s="337" t="str">
        <f>IF(mgmt_witnessaz_mgmt_cidr="Value Missing",mgmt_witnessaz_mgmt_cidr,VLOOKUP(INT(RIGHT(mgmt_witnessaz_mgmt_cidr,LEN(mgmt_witnessaz_mgmt_cidr)-FIND("/",mgmt_witnessaz_mgmt_cidr))),table_cidr_to_mask,2,FALSE))</f>
        <v>Value Missing</v>
      </c>
      <c r="M175" s="8"/>
      <c r="O175" s="8"/>
      <c r="P175" s="8"/>
      <c r="Q175" s="8"/>
      <c r="T175" s="4" t="s">
        <v>2657</v>
      </c>
      <c r="U175" s="337" t="str">
        <f>IF(ISBLANK(input_ccm_firewall_ip_addresses),"Value Missing",input_ccm_firewall_ip_addresses)</f>
        <v>Value Missing</v>
      </c>
      <c r="V175" s="3"/>
      <c r="X175" s="8"/>
      <c r="Y175" s="8"/>
    </row>
    <row r="176" spans="2:31" s="2" customFormat="1" ht="20.100000000000001" customHeight="1" x14ac:dyDescent="0.2">
      <c r="B176" s="4" t="s">
        <v>2658</v>
      </c>
      <c r="C176" s="337" t="str">
        <f>flt_vidb_directory_search_chosen</f>
        <v>sAMAccountName</v>
      </c>
      <c r="D176" s="8"/>
      <c r="E176" s="28" t="s">
        <v>2659</v>
      </c>
      <c r="F176" s="337" t="str">
        <f>IF(ISBLANK(input_wld_nsxt_en_admin_password),"Value Missing",input_wld_nsxt_en_admin_password)</f>
        <v>Value Missing</v>
      </c>
      <c r="H176" s="391" t="s">
        <v>2660</v>
      </c>
      <c r="I176" s="391"/>
      <c r="K176" s="4" t="s">
        <v>2661</v>
      </c>
      <c r="L176" s="337" t="str">
        <f>IF(ISBLANK(input_mgmt_witness_ip),"Value Missing",input_mgmt_witness_ip)</f>
        <v>Value Missing</v>
      </c>
      <c r="M176" s="8"/>
      <c r="O176" s="8"/>
      <c r="P176" s="8"/>
      <c r="Q176" s="8"/>
      <c r="T176" s="4" t="s">
        <v>2662</v>
      </c>
      <c r="U176" s="337" t="str">
        <f>IF(ISBLANK(input_ccm_hcx_license),"Value Missing",input_ccm_hcx_license)</f>
        <v>Value Missing</v>
      </c>
      <c r="V176" s="3"/>
      <c r="X176" s="8"/>
      <c r="Y176" s="8"/>
    </row>
    <row r="177" spans="2:30" s="2" customFormat="1" ht="20.100000000000001" customHeight="1" x14ac:dyDescent="0.2">
      <c r="B177" s="4" t="s">
        <v>2663</v>
      </c>
      <c r="C177" s="337" t="str">
        <f>IF(ISBLANK(input_flt_vidb_base_dn),"Value Missing",input_flt_vidb_base_dn)</f>
        <v>Value Missing</v>
      </c>
      <c r="D177" s="8"/>
      <c r="E177" s="261" t="s">
        <v>2664</v>
      </c>
      <c r="F177" s="337" t="str">
        <f>IF(ISBLANK(input_wld_nsxt_en_root_password),"Value Missing",input_wld_nsxt_en_root_password)</f>
        <v>Value Missing</v>
      </c>
      <c r="H177" s="336" t="s">
        <v>259</v>
      </c>
      <c r="I177" s="184" t="s">
        <v>277</v>
      </c>
      <c r="K177" s="4" t="s">
        <v>2665</v>
      </c>
      <c r="L177" s="337" t="str">
        <f>IF(ISBLANK(input_mgmt_witnessaz_mgmt_cidr),"Value Missing",input_mgmt_witnessaz_mgmt_cidr)</f>
        <v>Value Missing</v>
      </c>
      <c r="M177" s="8"/>
      <c r="O177" s="8"/>
      <c r="P177" s="8"/>
      <c r="Q177" s="8"/>
      <c r="T177" s="4" t="s">
        <v>2666</v>
      </c>
      <c r="U177" s="337" t="str">
        <f>IF(ISBLANK(input_ccm_hcx_dc_location),"Value Missing",input_ccm_hcx_dc_location)</f>
        <v>Value Missing</v>
      </c>
      <c r="V177" s="3"/>
      <c r="X177" s="8"/>
      <c r="Y177" s="8"/>
    </row>
    <row r="178" spans="2:30" s="2" customFormat="1" ht="20.100000000000001" customHeight="1" x14ac:dyDescent="0.2">
      <c r="B178" s="4" t="s">
        <v>2667</v>
      </c>
      <c r="C178" s="337" t="str">
        <f>IF(ISBLANK(input_flt_vidb_bind_username),"Value Missing",input_flt_vidb_bind_username)</f>
        <v>Value Missing</v>
      </c>
      <c r="D178" s="8"/>
      <c r="E178" s="261" t="s">
        <v>2668</v>
      </c>
      <c r="F178" s="337" t="str">
        <f>IF(ISBLANK(input_wld_ec_mtu),"Value Missing",input_wld_ec_mtu)</f>
        <v>Value Missing</v>
      </c>
      <c r="H178" s="4" t="s">
        <v>1201</v>
      </c>
      <c r="I178" s="337" t="str">
        <f>wld_bf_vcenter_type_chosen</f>
        <v>Specify an external vCenter</v>
      </c>
      <c r="K178" s="4" t="s">
        <v>2669</v>
      </c>
      <c r="L178" s="337" t="str">
        <f>IF(ISBLANK(input_mgmt_witnessaz_mgmt_gateway_ip),"Value Missing",input_mgmt_witnessaz_mgmt_gateway_ip)</f>
        <v>Value Missing</v>
      </c>
      <c r="M178" s="8"/>
      <c r="O178" s="8"/>
      <c r="P178" s="8"/>
      <c r="Q178" s="8"/>
      <c r="T178" s="189" t="s">
        <v>2670</v>
      </c>
      <c r="U178" s="337" t="str">
        <f>IF(ISBLANK(input_ccm_hcx_cdp_hostname),"Value Missing",input_ccm_hcx_cdp_hostname)</f>
        <v>Value Missing</v>
      </c>
      <c r="V178" s="3"/>
      <c r="X178" s="8"/>
      <c r="Y178" s="8"/>
    </row>
    <row r="179" spans="2:30" s="2" customFormat="1" ht="20.100000000000001" customHeight="1" x14ac:dyDescent="0.2">
      <c r="B179" s="4" t="s">
        <v>2671</v>
      </c>
      <c r="C179" s="337" t="str">
        <f>IF(ISBLANK(input_flt_vidb_bind_password),"Value Missing",input_flt_vidb_bind_password)</f>
        <v>Value Missing</v>
      </c>
      <c r="D179" s="8"/>
      <c r="E179" s="17" t="s">
        <v>1242</v>
      </c>
      <c r="F179" s="337" t="str">
        <f>IF(ISBLANK(input_wld_cl01_cluster_zn_name),"Value Missing",input_wld_cl01_cluster_zn_name)</f>
        <v>Value Missing</v>
      </c>
      <c r="H179" s="4" t="s">
        <v>1203</v>
      </c>
      <c r="I179" s="337" t="str">
        <f>IF(ISBLANK(input_wld_bf_vc_fqdn),"Value Missing",input_wld_bf_vc_fqdn)</f>
        <v>Value Missing</v>
      </c>
      <c r="K179" s="4" t="s">
        <v>2672</v>
      </c>
      <c r="L179" s="337" t="str">
        <f>IF(ISBLANK(input_sftp_server),"Value Missing",input_sftp_server)</f>
        <v>Value Missing</v>
      </c>
      <c r="M179" s="8"/>
      <c r="O179" s="8"/>
      <c r="P179" s="8"/>
      <c r="Q179" s="8"/>
      <c r="T179" s="4" t="s">
        <v>2673</v>
      </c>
      <c r="U179" s="337" t="str">
        <f>IF(ISBLANK(input_ccm_hcx_admin_password),"Value Missing",input_ccm_hcx_admin_password)</f>
        <v>Value Missing</v>
      </c>
      <c r="V179" s="3"/>
      <c r="X179" s="8"/>
      <c r="Y179" s="8"/>
    </row>
    <row r="180" spans="2:30" s="2" customFormat="1" ht="20.100000000000001" customHeight="1" x14ac:dyDescent="0.2">
      <c r="B180" s="4" t="s">
        <v>2674</v>
      </c>
      <c r="C180" s="337" t="str">
        <f>IF(ISBLANK(input_flt_vidb_user_name),"Value Missing",input_flt_vidb_user_name)</f>
        <v>Value Missing</v>
      </c>
      <c r="D180" s="8"/>
      <c r="E180" s="17" t="s">
        <v>1310</v>
      </c>
      <c r="F180" s="337" t="str">
        <f>IF(ISBLANK(input_wld_cl01_supervisor_control_plane_ip_range),"Value Missing",input_wld_cl01_supervisor_control_plane_ip_range)</f>
        <v>Value Missing</v>
      </c>
      <c r="H180" s="4" t="s">
        <v>1204</v>
      </c>
      <c r="I180" s="337" t="str">
        <f>IF(ISBLANK(input_wld_bf_vc_root_password),"Value Missing",input_wld_bf_vc_root_password)</f>
        <v>Value Missing</v>
      </c>
      <c r="L180" s="8"/>
      <c r="M180" s="8"/>
      <c r="O180" s="8"/>
      <c r="P180" s="8"/>
      <c r="Q180" s="8"/>
      <c r="T180" s="4" t="s">
        <v>2675</v>
      </c>
      <c r="U180" s="337" t="str">
        <f>IF(ISBLANK(input_ccm_hcx_root_password),"Value Missing",input_ccm_hcx_root_password)</f>
        <v>Value Missing</v>
      </c>
      <c r="V180" s="3"/>
      <c r="X180" s="8"/>
      <c r="Y180" s="8"/>
      <c r="AD180" s="8"/>
    </row>
    <row r="181" spans="2:30" s="2" customFormat="1" ht="20.100000000000001" customHeight="1" x14ac:dyDescent="0.2">
      <c r="B181" s="4" t="s">
        <v>2676</v>
      </c>
      <c r="C181" s="337" t="str">
        <f>IF(ISBLANK(input_flt_vidb_first_name),"Value Missing",input_flt_vidb_first_name)</f>
        <v>Value Missing</v>
      </c>
      <c r="D181" s="8"/>
      <c r="E181" s="17" t="s">
        <v>1321</v>
      </c>
      <c r="F181" s="337" t="str">
        <f>IF(ISBLANK(input_wld_cl01_supervisor_dns),"Value Missing",input_wld_cl01_supervisor_dns)</f>
        <v>Value Missing</v>
      </c>
      <c r="H181" s="4" t="s">
        <v>1205</v>
      </c>
      <c r="I181" s="337" t="str">
        <f>IF(ISBLANK(input_wld_bf_vc_sso_username),"Value Missing",input_wld_bf_vc_sso_username)</f>
        <v>Value Missing</v>
      </c>
      <c r="K181" s="391" t="s">
        <v>2677</v>
      </c>
      <c r="L181" s="391"/>
      <c r="M181" s="8"/>
      <c r="O181" s="8"/>
      <c r="P181" s="8"/>
      <c r="Q181" s="8"/>
      <c r="T181" s="4" t="s">
        <v>2678</v>
      </c>
      <c r="U181" s="337" t="str">
        <f>IF(ISBLANK(input_ccm_hcx_cdp_ip),"Value Missing",input_ccm_hcx_cdp_ip)</f>
        <v>Value Missing</v>
      </c>
      <c r="V181" s="8"/>
      <c r="X181" s="8"/>
      <c r="Y181" s="8"/>
      <c r="AD181" s="8"/>
    </row>
    <row r="182" spans="2:30" s="2" customFormat="1" ht="20.100000000000001" customHeight="1" x14ac:dyDescent="0.2">
      <c r="B182" s="4" t="s">
        <v>2679</v>
      </c>
      <c r="C182" s="337" t="str">
        <f>IF(ISBLANK(input_flt_vidb_last_name),"Value Missing",input_flt_vidb_last_name)</f>
        <v>Value Missing</v>
      </c>
      <c r="D182" s="8"/>
      <c r="E182" s="17" t="s">
        <v>1305</v>
      </c>
      <c r="F182" s="337" t="str">
        <f>IF(ISBLANK(input_wld_cl01_supervisor_name),"Value Missing",input_wld_cl01_supervisor_name)</f>
        <v>Value Missing</v>
      </c>
      <c r="H182" s="4" t="s">
        <v>1206</v>
      </c>
      <c r="I182" s="337" t="str">
        <f>IF(ISBLANK(input_wld_bf_vc_sso_password),"Value Missing",input_wld_bf_vc_sso_password)</f>
        <v>Value Missing</v>
      </c>
      <c r="J182" s="8"/>
      <c r="K182" s="336" t="s">
        <v>259</v>
      </c>
      <c r="L182" s="184" t="s">
        <v>277</v>
      </c>
      <c r="M182" s="8"/>
      <c r="O182" s="8"/>
      <c r="P182" s="8"/>
      <c r="Q182" s="8"/>
      <c r="T182" s="4" t="s">
        <v>2680</v>
      </c>
      <c r="U182" s="337" t="str">
        <f>IF(ISBLANK(input_ccm_hcx_remote_url),"Value Missing",input_ccm_hcx_remote_url)</f>
        <v>Value Missing</v>
      </c>
      <c r="V182" s="8"/>
      <c r="X182" s="8"/>
      <c r="Y182" s="8"/>
      <c r="AD182" s="8"/>
    </row>
    <row r="183" spans="2:30" ht="20.100000000000001" customHeight="1" x14ac:dyDescent="0.2">
      <c r="B183" s="4" t="s">
        <v>2681</v>
      </c>
      <c r="C183" s="337" t="str">
        <f>IF(ISBLANK(input_flt_vidb_distinguished_name),"Value Missing",input_flt_vidb_distinguished_name)</f>
        <v>Value Missing</v>
      </c>
      <c r="E183" s="17" t="s">
        <v>1312</v>
      </c>
      <c r="F183" s="337" t="str">
        <f>IF(ISBLANK(input_wld_cl01_supervisor_nsx_project),"Value Missing",input_wld_cl01_supervisor_nsx_project)</f>
        <v>Value Missing</v>
      </c>
      <c r="H183" s="4" t="s">
        <v>1207</v>
      </c>
      <c r="I183" s="337" t="str">
        <f>IF(ISBLANK(wld_bf_nsx_existing_chosen),"Value Missing",wld_bf_nsx_existing_chosen)</f>
        <v>Selected</v>
      </c>
      <c r="K183" s="4" t="s">
        <v>1021</v>
      </c>
      <c r="L183" s="337" t="str">
        <f>IF(ISBLANK(input_flt_logs_cert_alias),"Value Missing",input_flt_logs_cert_alias)</f>
        <v>Value Missing</v>
      </c>
      <c r="N183" s="2"/>
      <c r="T183" s="4" t="s">
        <v>2682</v>
      </c>
      <c r="U183" s="337" t="str">
        <f>IF(ISBLANK(input_ccm_aws_admin_ssouser),"Value Missing",input_ccm_aws_admin_ssouser)</f>
        <v>Value Missing</v>
      </c>
      <c r="Z183" s="2"/>
      <c r="AA183" s="2"/>
      <c r="AB183" s="2"/>
      <c r="AC183" s="2"/>
    </row>
    <row r="184" spans="2:30" ht="20.100000000000001" customHeight="1" x14ac:dyDescent="0.2">
      <c r="B184" s="4" t="s">
        <v>2683</v>
      </c>
      <c r="C184" s="337" t="str">
        <f>IF(ISBLANK(input_flt_vidb_employeeID),"Value Missing",input_flt_vidb_employeeID)</f>
        <v>Value Missing</v>
      </c>
      <c r="E184" s="17" t="s">
        <v>1322</v>
      </c>
      <c r="F184" s="337" t="str">
        <f>IF(ISBLANK(input_wld_cl01_supervisor_ntp),"Value Missing",input_wld_cl01_supervisor_ntp)</f>
        <v>Value Missing</v>
      </c>
      <c r="H184" s="17" t="s">
        <v>1209</v>
      </c>
      <c r="I184" s="337" t="str">
        <f>IF(ISBLANK(wld_bf_nsx_join_manager_chosen),"Value Missing",wld_bf_nsx_join_manager_chosen)</f>
        <v>Create new NSX Manager Instance</v>
      </c>
      <c r="K184" s="4" t="s">
        <v>1023</v>
      </c>
      <c r="L184" s="337" t="str">
        <f>IF(ISBLANK(input_flt_logs_common_name),"Value Missing",input_flt_logs_common_name)</f>
        <v>Value Missing</v>
      </c>
      <c r="N184" s="2"/>
      <c r="T184" s="4" t="s">
        <v>2684</v>
      </c>
      <c r="U184" s="337" t="str">
        <f>IF(ISBLANK(input_ccm_aws_admin_password),"Value Missing",input_ccm_aws_admin_password)</f>
        <v>Value Missing</v>
      </c>
      <c r="Z184" s="2"/>
      <c r="AA184" s="2"/>
      <c r="AB184" s="2"/>
      <c r="AC184" s="2"/>
    </row>
    <row r="185" spans="2:30" ht="20.100000000000001" customHeight="1" x14ac:dyDescent="0.2">
      <c r="B185" s="4" t="s">
        <v>2685</v>
      </c>
      <c r="C185" s="337" t="str">
        <f>IF(ISBLANK(input_flt_vidb_mail),"Value Missing",input_flt_vidb_mail)</f>
        <v>Value Missing</v>
      </c>
      <c r="E185" s="17" t="s">
        <v>1319</v>
      </c>
      <c r="F185" s="337" t="str">
        <f>IF(ISBLANK(input_wld_cl01_supervisor_private_cidr),"Value Missing",input_wld_cl01_supervisor_private_cidr)</f>
        <v>Value Missing</v>
      </c>
      <c r="H185" s="17" t="s">
        <v>1211</v>
      </c>
      <c r="I185" s="337" t="str">
        <f>IF(ISBLANK(wld_bf_nsx_ha_mode_chosen),"Value Missing",wld_bf_nsx_ha_mode_chosen)</f>
        <v>NSX Management Cluster</v>
      </c>
      <c r="K185" s="4" t="s">
        <v>1024</v>
      </c>
      <c r="L185" s="337" t="str">
        <f>IF(ISBLANK(input_flt_logs_cert_organisation),"Value Missing",input_flt_logs_cert_organisation)</f>
        <v>Value Missing</v>
      </c>
      <c r="N185" s="2"/>
      <c r="T185" s="4" t="s">
        <v>2686</v>
      </c>
      <c r="U185" s="337" t="str">
        <f t="array" ref="U185">IF(ISBLANK(input_ccm_hcx_mgmt_network_ip_range),"Value Missing",input_ccm_hcx_mgmt_network_ip_range)</f>
        <v>Value Missing</v>
      </c>
      <c r="Z185" s="2"/>
      <c r="AA185" s="2"/>
      <c r="AB185" s="2"/>
      <c r="AC185" s="2"/>
    </row>
    <row r="186" spans="2:30" ht="20.100000000000001" customHeight="1" x14ac:dyDescent="0.2">
      <c r="B186" s="4" t="s">
        <v>2687</v>
      </c>
      <c r="C186" s="337" t="str">
        <f>IF(ISBLANK(input_flt_vidb_user_principal_name),"Value Missing",input_flt_vidb_user_principal_name)</f>
        <v>Value Missing</v>
      </c>
      <c r="E186" s="17" t="s">
        <v>1316</v>
      </c>
      <c r="F186" s="337" t="str">
        <f>IF(ISBLANK(input_wld_cl01_supervisor_private_transit_gateway_cidr),"Value Missing",input_wld_cl01_supervisor_private_transit_gateway_cidr)</f>
        <v>Value Missing</v>
      </c>
      <c r="H186" s="17" t="s">
        <v>350</v>
      </c>
      <c r="I186" s="337" t="str">
        <f>IF(ISBLANK(wld_bf_nsx_appliance_size_chosen),"Value Missing",wld_bf_nsx_appliance_size_chosen)</f>
        <v>Medium</v>
      </c>
      <c r="K186" s="4" t="s">
        <v>1025</v>
      </c>
      <c r="L186" s="337" t="str">
        <f>IF(ISBLANK(input_flt_logs_ou_cert),"Value Missing",input_flt_logs_ou_cert)</f>
        <v>Value Missing</v>
      </c>
      <c r="N186" s="2"/>
      <c r="T186" s="4" t="s">
        <v>2688</v>
      </c>
      <c r="U186" s="337" t="str">
        <f t="array" ref="U186">IF(ISBLANK(input_ccm_hcx_vmotion_network_ip_range),"Value Missing",input_ccm_hcx_vmotion_network_ip_range)</f>
        <v>Value Missing</v>
      </c>
      <c r="Z186" s="2"/>
      <c r="AA186" s="2"/>
      <c r="AB186" s="2"/>
      <c r="AC186" s="2"/>
    </row>
    <row r="187" spans="2:30" ht="20.100000000000001" customHeight="1" x14ac:dyDescent="0.2">
      <c r="B187" s="4" t="s">
        <v>2689</v>
      </c>
      <c r="C187" s="337" t="str">
        <f>IF(ISBLANK(input_flt_vidb_group_base_dn),"Value Missing",input_flt_vidb_group_base_dn)</f>
        <v>Value Missing</v>
      </c>
      <c r="E187" s="17" t="s">
        <v>1307</v>
      </c>
      <c r="F187" s="337" t="str">
        <f>IF(ISBLANK(input_wld_cl01_supervisor_service_cidr),"Value Missing",input_wld_cl01_supervisor_service_cidr)</f>
        <v>Value Missing</v>
      </c>
      <c r="H187" s="17" t="s">
        <v>360</v>
      </c>
      <c r="I187" s="337" t="str">
        <f>IF(ISBLANK(input_wld_bf_nsxt_mgra_fqdn),"Value Missing",input_wld_bf_nsxt_mgra_fqdn)</f>
        <v>Value Missing</v>
      </c>
      <c r="K187" s="4" t="s">
        <v>1026</v>
      </c>
      <c r="L187" s="337" t="str">
        <f>IF(ISBLANK(input_flt_logs_cert_country_code),"Value Missing",input_flt_logs_cert_country_code)</f>
        <v>Value Missing</v>
      </c>
      <c r="N187" s="2"/>
      <c r="T187" s="4" t="s">
        <v>2690</v>
      </c>
      <c r="U187" s="337" t="str">
        <f>IF(ISBLANK(input_ccm_hcx_compute_profile),"Value Missing",input_ccm_hcx_compute_profile)</f>
        <v>Value Missing</v>
      </c>
      <c r="AB187" s="2"/>
      <c r="AC187" s="2"/>
    </row>
    <row r="188" spans="2:30" ht="20.100000000000001" customHeight="1" x14ac:dyDescent="0.2">
      <c r="B188" s="4" t="s">
        <v>2691</v>
      </c>
      <c r="C188" s="337" t="str">
        <f>IF(ISBLANK(input_flt_vidb_user_base_dn),"Value Missing",input_flt_vidb_user_base_dn)</f>
        <v>Value Missing</v>
      </c>
      <c r="E188" s="17" t="s">
        <v>1309</v>
      </c>
      <c r="F188" s="337" t="str">
        <f>IF(ISBLANK(wld_cl01_supervisor_use_mgmt_vmk_chosen),"Value Missing",wld_cl01_supervisor_use_mgmt_vmk_chosen)</f>
        <v>Unselected</v>
      </c>
      <c r="H188" s="17" t="s">
        <v>1214</v>
      </c>
      <c r="I188" s="337" t="str">
        <f>IF(ISBLANK(input_wld_bf_nsxt_mgrb_fqdn),"Value Missing",input_wld_bf_nsxt_mgrb_fqdn)</f>
        <v>Value Missing</v>
      </c>
      <c r="J188" s="2"/>
      <c r="K188" s="4" t="s">
        <v>1027</v>
      </c>
      <c r="L188" s="337" t="str">
        <f>IF(ISBLANK(input_flt_logs_cert_locality),"Value Missing",input_flt_logs_cert_locality)</f>
        <v>Value Missing</v>
      </c>
      <c r="N188" s="2"/>
      <c r="T188" s="4" t="s">
        <v>2692</v>
      </c>
      <c r="U188" s="337" t="str">
        <f>IF(ISBLANK(input_ccm_hcx_service_mesh),"Value Missing",input_ccm_hcx_service_mesh)</f>
        <v>Value Missing</v>
      </c>
      <c r="AB188" s="2"/>
      <c r="AC188" s="2"/>
    </row>
    <row r="189" spans="2:30" ht="20.100000000000001" customHeight="1" x14ac:dyDescent="0.2">
      <c r="E189" s="17" t="s">
        <v>1314</v>
      </c>
      <c r="F189" s="337" t="str">
        <f>IF(ISBLANK(input_wld_cl01_supervisor_vpc_profile),"Value Missing",input_wld_cl01_supervisor_vpc_profile)</f>
        <v>Value Missing</v>
      </c>
      <c r="H189" s="17" t="s">
        <v>1216</v>
      </c>
      <c r="I189" s="337" t="str">
        <f>IF(ISBLANK(input_wld_bf_nsxt_mgrc_fqdn),"Value Missing",input_wld_bf_nsxt_mgrc_fqdn)</f>
        <v>Value Missing</v>
      </c>
      <c r="J189" s="2"/>
      <c r="K189" s="4" t="s">
        <v>1028</v>
      </c>
      <c r="L189" s="337" t="str">
        <f>IF(ISBLANK(input_flt_logs_cert_state),"Value Missing",input_flt_logs_cert_state)</f>
        <v>Value Missing</v>
      </c>
      <c r="N189" s="2"/>
    </row>
    <row r="190" spans="2:30" ht="20.100000000000001" customHeight="1" x14ac:dyDescent="0.2">
      <c r="B190" s="384" t="s">
        <v>2693</v>
      </c>
      <c r="C190" s="389"/>
      <c r="E190" s="28" t="s">
        <v>2668</v>
      </c>
      <c r="F190" s="337" t="str">
        <f>IF(ISBLANK(input_wld_ec_mtu),"Value Missing",input_wld_ec_mtu)</f>
        <v>Value Missing</v>
      </c>
      <c r="H190" s="17" t="s">
        <v>1218</v>
      </c>
      <c r="I190" s="337" t="str">
        <f>IF(ISBLANK(input_wld_bf_nsxt_vip_fqdn),"Value Missing",input_wld_bf_nsxt_vip_fqdn)</f>
        <v>Value Missing</v>
      </c>
      <c r="J190" s="2"/>
      <c r="K190" s="4" t="s">
        <v>1029</v>
      </c>
      <c r="L190" s="337" t="str">
        <f>IF(ISBLANK(flt_logs_cert_key_length_chosen),"Value Missing",flt_logs_cert_key_length_chosen)</f>
        <v>4096</v>
      </c>
      <c r="N190" s="2"/>
      <c r="T190" s="575" t="s">
        <v>2694</v>
      </c>
      <c r="U190" s="577"/>
    </row>
    <row r="191" spans="2:30" ht="20.100000000000001" customHeight="1" x14ac:dyDescent="0.2">
      <c r="B191" s="166" t="s">
        <v>259</v>
      </c>
      <c r="C191" s="167" t="s">
        <v>277</v>
      </c>
      <c r="D191" s="2"/>
      <c r="E191" s="28" t="s">
        <v>2659</v>
      </c>
      <c r="F191" s="337" t="str">
        <f>IF(ISBLANK(input_wld_nsxt_en_admin_password),"Value Missing",input_wld_nsxt_en_admin_password)</f>
        <v>Value Missing</v>
      </c>
      <c r="H191" s="4" t="s">
        <v>364</v>
      </c>
      <c r="I191" s="337" t="str">
        <f>IF(ISBLANK(wld_bf_nsxt_enable_edge_sync_chosen),"Value Missing",wld_bf_nsxt_enable_edge_sync_chosen)</f>
        <v>Selected</v>
      </c>
      <c r="J191" s="2"/>
      <c r="K191" s="4" t="s">
        <v>1156</v>
      </c>
      <c r="L191" s="337" t="str">
        <f>IF(ISBLANK(input_flt_logs_vip_fqdn),"Value Missing",input_flt_logs_vip_fqdn)</f>
        <v>Value Missing</v>
      </c>
      <c r="T191" s="33" t="s">
        <v>2695</v>
      </c>
      <c r="U191" s="337" t="str">
        <f>IF(ISBLANK(input_mgmt_rwr_vc_fqdn),"Value Missing",input_mgmt_rwr_vc_fqdn)</f>
        <v>Value Missing</v>
      </c>
    </row>
    <row r="192" spans="2:30" ht="20.100000000000001" customHeight="1" x14ac:dyDescent="0.2">
      <c r="B192" s="361" t="s">
        <v>2026</v>
      </c>
      <c r="C192" s="337" t="str">
        <f>IF(ISBLANK('Configure Management Domain'!D310),"Value Missing",'Configure Management Domain'!D310)</f>
        <v>Value Missing</v>
      </c>
      <c r="D192" s="2"/>
      <c r="E192" s="261" t="s">
        <v>2664</v>
      </c>
      <c r="F192" s="337" t="str">
        <f>IF(ISBLANK(input_wld_nsxt_en_root_password),"Value Missing",input_wld_nsxt_en_root_password)</f>
        <v>Value Missing</v>
      </c>
      <c r="H192" s="17" t="s">
        <v>1221</v>
      </c>
      <c r="I192" s="337" t="str">
        <f>IF(ISBLANK(wld_bf_nsxt_enable_edge_sync_chosen),"Value Missing",wld_bf_nsxt_configure_overlay_on_mgmt_pg_chosen)</f>
        <v>Selected</v>
      </c>
      <c r="J192" s="2"/>
      <c r="K192" s="4" t="s">
        <v>2696</v>
      </c>
      <c r="L192" s="337" t="str">
        <f>IF(ISBLANK(input_flt_logs_nodea_fqdn),"Value Missing",input_flt_logs_nodea_fqdn)</f>
        <v>Value Missing</v>
      </c>
      <c r="T192" s="33" t="s">
        <v>2697</v>
      </c>
      <c r="U192" s="337" t="str">
        <f>IF(ISBLANK(input_wld_rwr_vc_fqdn),"Value Missing",input_wld_rwr_vc_fqdn)</f>
        <v>Value Missing</v>
      </c>
    </row>
    <row r="193" spans="2:32" ht="20.100000000000001" customHeight="1" x14ac:dyDescent="0.2">
      <c r="B193" s="361" t="s">
        <v>726</v>
      </c>
      <c r="C193" s="337" t="str">
        <f>IF(ISBLANK(input_mgmt_witness_hostname),"Value Missing",input_mgmt_witness_hostname)</f>
        <v>Value Missing</v>
      </c>
      <c r="D193" s="2"/>
      <c r="H193" s="17" t="s">
        <v>1223</v>
      </c>
      <c r="I193" s="337" t="str">
        <f>IF(ISBLANK(wld_bf_nsx_create_passwords_chosen),"Value Missing",wld_bf_nsx_create_passwords_chosen)</f>
        <v>Unselected</v>
      </c>
      <c r="J193" s="2"/>
      <c r="K193" s="4" t="s">
        <v>2698</v>
      </c>
      <c r="L193" s="337" t="str">
        <f>IF(ISBLANK(input_flt_logs_nodeb_fqdn),"Value Missing",input_flt_logs_nodeb_fqdn)</f>
        <v>Value Missing</v>
      </c>
      <c r="T193" s="33" t="s">
        <v>2699</v>
      </c>
      <c r="U193" s="337" t="str">
        <f>IF(ISBLANK(input_wld_vlr_hostname),"Value Missing",input_wld_vlr_hostname)</f>
        <v>Value Missing</v>
      </c>
    </row>
    <row r="194" spans="2:32" ht="20.100000000000001" customHeight="1" x14ac:dyDescent="0.2">
      <c r="B194" s="2"/>
      <c r="C194" s="2"/>
      <c r="D194" s="2"/>
      <c r="H194" s="4" t="s">
        <v>1224</v>
      </c>
      <c r="I194" s="337" t="str">
        <f>IF(ISBLANK(input_wld_bf_nsxt_admin_password),"Value Missing",input_wld_bf_nsxt_admin_password)</f>
        <v>Value Missing</v>
      </c>
      <c r="J194" s="2"/>
      <c r="K194" s="4" t="s">
        <v>2700</v>
      </c>
      <c r="L194" s="337" t="str">
        <f>IF(ISBLANK(input_flt_logs_nodec_fqdn),"Value Missing",input_flt_logs_nodec_fqdn)</f>
        <v>Value Missing</v>
      </c>
      <c r="T194" s="33" t="s">
        <v>2701</v>
      </c>
      <c r="U194" s="337" t="str">
        <f>CONCATENATE(wld_vlr_hostname,".",rwr_child_dns_zone)</f>
        <v>Value Missing.Value Missing</v>
      </c>
    </row>
    <row r="195" spans="2:32" ht="20.100000000000001" customHeight="1" x14ac:dyDescent="0.2">
      <c r="B195" s="391" t="s">
        <v>2702</v>
      </c>
      <c r="C195" s="391"/>
      <c r="D195" s="2"/>
      <c r="H195" s="4" t="s">
        <v>1225</v>
      </c>
      <c r="I195" s="337" t="str">
        <f>IF(ISBLANK(input_wld_bf_nsxt_root_password),"Value Missing",input_wld_bf_nsxt_root_password)</f>
        <v>Value Missing</v>
      </c>
      <c r="J195" s="2"/>
      <c r="K195" s="4" t="s">
        <v>730</v>
      </c>
      <c r="L195" s="337" t="str">
        <f>IF(ISBLANK(input_flt_logs_vip_ip),"Value Missing",input_flt_logs_vip_ip)</f>
        <v>Value Missing</v>
      </c>
      <c r="T195" s="33" t="s">
        <v>2703</v>
      </c>
      <c r="U195" s="337" t="str">
        <f t="array" ref="U195">IF(ISBLANK(input_wld_rwr_cl02_cluster),"Value Missing",input_wld_rwr_cl02_cluster)</f>
        <v>Value Missing</v>
      </c>
    </row>
    <row r="196" spans="2:32" ht="20.100000000000001" customHeight="1" x14ac:dyDescent="0.2">
      <c r="B196" s="336" t="s">
        <v>259</v>
      </c>
      <c r="C196" s="184" t="s">
        <v>277</v>
      </c>
      <c r="H196" s="4" t="s">
        <v>1226</v>
      </c>
      <c r="I196" s="337" t="str">
        <f>IF(ISBLANK(input_wld_bf_nsxt_audit_password),"Value Missing",input_wld_bf_nsxt_audit_password)</f>
        <v>Value Missing</v>
      </c>
      <c r="J196" s="2"/>
      <c r="K196" s="4" t="s">
        <v>730</v>
      </c>
      <c r="L196" s="337" t="str">
        <f>IF(ISBLANK(input_flt_logs_nodea_ip),"Value Missing",input_flt_logs_nodea_ip)</f>
        <v>Value Missing</v>
      </c>
      <c r="T196" s="33" t="s">
        <v>2704</v>
      </c>
      <c r="U196" s="337" t="str">
        <f>IF(ISBLANK(input_wld_rwr_cl02_vds01),"Value Missing",input_wld_rwr_cl02_vds01)</f>
        <v>Value Missing</v>
      </c>
      <c r="AE196" s="2"/>
      <c r="AF196" s="2"/>
    </row>
    <row r="197" spans="2:32" ht="20.100000000000001" customHeight="1" x14ac:dyDescent="0.2">
      <c r="B197" s="4" t="s">
        <v>2452</v>
      </c>
      <c r="C197" s="337" t="str">
        <f>IF(ISBLANK('Configure Management Domain'!D345),"Value Missing",'Configure Management Domain'!D345)</f>
        <v>Value Missing</v>
      </c>
      <c r="H197" s="17" t="s">
        <v>1199</v>
      </c>
      <c r="I197" s="337" t="str">
        <f>IF(ISBLANK(input_wld_bf_sddc_domain),"Value Missing",input_wld_bf_sddc_domain)</f>
        <v>Value Missing</v>
      </c>
      <c r="J197" s="2"/>
      <c r="K197" s="4" t="s">
        <v>730</v>
      </c>
      <c r="L197" s="337" t="str">
        <f>IF(ISBLANK(input_flt_logs_nodeb_ip),"Value Missing",input_flt_logs_nodeb_ip)</f>
        <v>Value Missing</v>
      </c>
      <c r="T197" s="33"/>
      <c r="U197" s="337" t="str">
        <f>IF(ISBLANK(input_rwr_sso_domain_name),"Value Missing",input_rwr_sso_domain_name)</f>
        <v>Value Missing</v>
      </c>
    </row>
    <row r="198" spans="2:32" ht="20.100000000000001" customHeight="1" x14ac:dyDescent="0.2">
      <c r="B198" s="4" t="s">
        <v>2455</v>
      </c>
      <c r="C198" s="337" t="str">
        <f>IF(ISBLANK('Configure Management Domain'!D346),"Value Missing",'Configure Management Domain'!D346)</f>
        <v>Value Missing</v>
      </c>
      <c r="J198" s="2"/>
      <c r="K198" s="4" t="s">
        <v>730</v>
      </c>
      <c r="L198" s="337" t="str">
        <f>IF(ISBLANK(input_flt_logs_nodec_ip),"Value Missing",input_flt_logs_nodec_ip)</f>
        <v>Value Missing</v>
      </c>
      <c r="U198" s="337" t="str">
        <f>IF(ISBLANK(input_wld_vlr_replication_user),"Value Missing",input_wld_vlr_replication_user)</f>
        <v>Value Missing</v>
      </c>
    </row>
    <row r="199" spans="2:32" ht="20.100000000000001" customHeight="1" x14ac:dyDescent="0.2">
      <c r="B199" s="4" t="s">
        <v>2460</v>
      </c>
      <c r="C199" s="337" t="str">
        <f>IF(ISBLANK('Configure Management Domain'!D347),"Value Missing",'Configure Management Domain'!D347)</f>
        <v>Value Missing</v>
      </c>
      <c r="H199" s="391" t="s">
        <v>2705</v>
      </c>
      <c r="I199" s="391"/>
      <c r="J199" s="2"/>
      <c r="K199" s="4" t="s">
        <v>1037</v>
      </c>
      <c r="L199" s="337" t="str">
        <f>IF(ISBLANK(input_flt_logs_folder),"Value Missing",input_flt_logs_folder)</f>
        <v>Value Missing</v>
      </c>
      <c r="U199" s="337" t="str">
        <f>IF(ISBLANK(input_rwr_child_dns_zone),"Value Missing",input_rwr_child_dns_zone)</f>
        <v>Value Missing</v>
      </c>
    </row>
    <row r="200" spans="2:32" ht="20.100000000000001" customHeight="1" x14ac:dyDescent="0.2">
      <c r="B200" s="4" t="s">
        <v>2463</v>
      </c>
      <c r="C200" s="337" t="str">
        <f>IF(ISBLANK('Configure Management Domain'!D348),"Value Missing",'Configure Management Domain'!D348)</f>
        <v>Value Missing</v>
      </c>
      <c r="H200" s="336" t="s">
        <v>259</v>
      </c>
      <c r="I200" s="184" t="s">
        <v>277</v>
      </c>
      <c r="J200" s="2"/>
      <c r="K200" s="4" t="s">
        <v>1039</v>
      </c>
      <c r="L200" s="337" t="str">
        <f>IF(ISBLANK(input_flt_logs_resource_pool),"Value Missing",input_flt_logs_resource_pool)</f>
        <v>Value Missing</v>
      </c>
      <c r="U200" s="337" t="str">
        <f>IF(ISBLANK(input_rwr_vlr_replication_password),"Value Missing",input_rwr_vlr_replication_password)</f>
        <v>Value Missing</v>
      </c>
    </row>
    <row r="201" spans="2:32" ht="20.100000000000001" customHeight="1" x14ac:dyDescent="0.2">
      <c r="B201" s="4" t="s">
        <v>798</v>
      </c>
      <c r="C201" s="337" t="str">
        <f>IF(ISBLANK('Configure Management Domain'!D374),"Value Missing",'Configure Management Domain'!D374)</f>
        <v>Value Missing</v>
      </c>
      <c r="H201" s="22" t="s">
        <v>398</v>
      </c>
      <c r="I201" s="337" t="str">
        <f>IF(ISBLANK(input_cluster_az2_mgmt_vlan),"Value Missing",input_cluster_az2_mgmt_vlan)</f>
        <v>Value Missing</v>
      </c>
      <c r="J201" s="2"/>
      <c r="K201" s="4" t="s">
        <v>2706</v>
      </c>
      <c r="L201" s="337" t="str">
        <f>IF(ISBLANK(input_flt_logs_portgroup),"Value Missing",input_flt_logs_portgroup)</f>
        <v>Value Missing</v>
      </c>
      <c r="U201" s="337" t="str">
        <f>IF(ISBLANK(input_rwr_vrms_pg),"Value Missing",input_rwr_vrms_pg)</f>
        <v>Value Missing</v>
      </c>
    </row>
    <row r="202" spans="2:32" ht="20.100000000000001" customHeight="1" x14ac:dyDescent="0.2">
      <c r="B202" s="4" t="s">
        <v>1811</v>
      </c>
      <c r="C202" s="337" t="str">
        <f>IF(ISBLANK('Configure Management Domain'!D363),"Value Missing",'Configure Management Domain'!D363)</f>
        <v>Value Missing</v>
      </c>
      <c r="H202" s="22" t="s">
        <v>399</v>
      </c>
      <c r="I202" s="337" t="str">
        <f>IF(ISBLANK(input_cluster_az2_mgmt_gateway_ip),"Value Missing",input_cluster_az2_mgmt_gateway_ip)</f>
        <v>Value Missing</v>
      </c>
      <c r="J202" s="2"/>
      <c r="K202" s="4" t="s">
        <v>2707</v>
      </c>
      <c r="L202" s="337" t="str">
        <f>IF(ISBLANK(input_flt_logs_gateway_ip),"Value Missing",input_flt_logs_gateway_ip)</f>
        <v>Value Missing</v>
      </c>
      <c r="U202" s="337" t="str">
        <f>IF(ISBLANK(input_wld_rwr_recovery_site_vc_fqdn),"Value Missing",input_wld_rwr_recovery_site_vc_fqdn)</f>
        <v>Value Missing</v>
      </c>
    </row>
    <row r="203" spans="2:32" ht="20.100000000000001" customHeight="1" x14ac:dyDescent="0.2">
      <c r="B203" s="2"/>
      <c r="C203" s="2"/>
      <c r="H203" s="22" t="s">
        <v>400</v>
      </c>
      <c r="I203" s="337" t="str">
        <f>IF(ISBLANK(input_cluster_az2_mgmt_cidr),"Value Missing",input_cluster_az2_mgmt_cidr)</f>
        <v>Value Missing</v>
      </c>
      <c r="J203" s="2"/>
      <c r="K203" s="4" t="s">
        <v>2708</v>
      </c>
      <c r="L203" s="337" t="str">
        <f>IF(ISBLANK(input_flt_logs_mask),"Value Missing",input_flt_logs_mask)</f>
        <v>Value Missing</v>
      </c>
      <c r="U203" s="337" t="str">
        <f>IF(ISBLANK(input_rwr_datacenter),"Value Missing",input_rwr_datacenter)</f>
        <v>Value Missing</v>
      </c>
    </row>
    <row r="204" spans="2:32" ht="20.100000000000001" customHeight="1" x14ac:dyDescent="0.2">
      <c r="B204" s="387" t="s">
        <v>2709</v>
      </c>
      <c r="C204" s="387"/>
      <c r="H204" s="22" t="s">
        <v>401</v>
      </c>
      <c r="I204" s="337" t="str">
        <f>IF(ISBLANK(input_cluster_az2_mgmt_mtu),"Value Missing",input_cluster_az2_mgmt_mtu)</f>
        <v>Value Missing</v>
      </c>
      <c r="J204" s="2"/>
      <c r="K204" s="4" t="s">
        <v>299</v>
      </c>
      <c r="L204" s="337" t="str">
        <f>IF(ISBLANK(input_flt_logs_vcenter_fqdn),"Value Missing",input_flt_logs_vcenter_fqdn)</f>
        <v>Value Missing</v>
      </c>
      <c r="U204" s="337" t="str">
        <f>IF(ISBLANK(input_wld_rwr_recoverysite_fd),"Value Missing",input_wld_rwr_recoverysite_fd)</f>
        <v>Value Missing</v>
      </c>
    </row>
    <row r="205" spans="2:32" ht="20.100000000000001" customHeight="1" x14ac:dyDescent="0.2">
      <c r="B205" s="166" t="s">
        <v>259</v>
      </c>
      <c r="C205" s="167" t="s">
        <v>277</v>
      </c>
      <c r="H205" s="22" t="s">
        <v>686</v>
      </c>
      <c r="I205" s="337" t="str">
        <f>IF(ISBLANK(input_cluster_az2_host1_mgmt_ip),"Value Missing",input_cluster_az2_host1_mgmt_ip)</f>
        <v>Value Missing</v>
      </c>
      <c r="J205" s="2"/>
      <c r="K205" s="4" t="s">
        <v>1165</v>
      </c>
      <c r="L205" s="337" t="str">
        <f>IF(ISBLANK(input_flt_logs_cluster),"Value Missing",input_flt_logs_cluster)</f>
        <v>Value Missing</v>
      </c>
      <c r="T205" s="4" t="s">
        <v>2710</v>
      </c>
      <c r="U20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6" spans="2:32" ht="20.100000000000001" customHeight="1" x14ac:dyDescent="0.2">
      <c r="B206" s="4" t="s">
        <v>354</v>
      </c>
      <c r="C206" s="337" t="str">
        <f>IF(ISBLANK(input_mgmt_sddc_domain),"Value Missing",input_mgmt_sddc_domain)</f>
        <v>vcf-lab-mgmt01</v>
      </c>
      <c r="H206" s="22" t="s">
        <v>687</v>
      </c>
      <c r="I206" s="337" t="str">
        <f>IF(ISBLANK(input_cluster_az2_host2_mgmt_ip),"Value Missing",input_cluster_az2_host2_mgmt_ip)</f>
        <v>Value Missing</v>
      </c>
      <c r="J206" s="2"/>
      <c r="K206" s="4" t="s">
        <v>587</v>
      </c>
      <c r="L206" s="337" t="str">
        <f>IF(ISBLANK(input_flt_logs_datastore),"Value Missing",input_flt_logs_datastore)</f>
        <v>Value Missing</v>
      </c>
      <c r="T206" s="8" t="s">
        <v>2711</v>
      </c>
      <c r="U206" s="337" t="str">
        <f>IF(ISBLANK(input_wld_rwr_az1_vrms_gateway_ip),"Value Missing",input_wld_rwr_az1_vrms_gateway_ip)</f>
        <v>Value Missing</v>
      </c>
    </row>
    <row r="207" spans="2:32" ht="20.100000000000001" customHeight="1" x14ac:dyDescent="0.2">
      <c r="B207" s="4" t="s">
        <v>727</v>
      </c>
      <c r="C207" s="337" t="str">
        <f>IF(ISBLANK('Configure Management Domain'!D315),"Value Missing",'Configure Management Domain'!D315)</f>
        <v>Value Missing</v>
      </c>
      <c r="H207" s="22" t="s">
        <v>688</v>
      </c>
      <c r="I207" s="337" t="str">
        <f>IF(ISBLANK(input_cluster_az2_host3_mgmt_ip),"Value Missing",input_cluster_az2_host3_mgmt_ip)</f>
        <v>Value Missing</v>
      </c>
      <c r="J207" s="2"/>
      <c r="K207" s="17" t="s">
        <v>1139</v>
      </c>
      <c r="L207" s="337" t="str">
        <f>IF(ISBLANK(input_flt_logs_admin_password_alias),"Value Missing",input_flt_logs_admin_password_alias)</f>
        <v>Value Missing</v>
      </c>
      <c r="T207" s="8" t="s">
        <v>2712</v>
      </c>
      <c r="U207" s="337" t="str">
        <f>IF(ISBLANK(input_wld_rwr_recovery_site_az1_vrms_cidr),"Value Missing",input_wld_rwr_recovery_site_az1_vrms_cidr)</f>
        <v>Value Missing</v>
      </c>
    </row>
    <row r="208" spans="2:32" ht="20.100000000000001" customHeight="1" x14ac:dyDescent="0.2">
      <c r="B208" s="4" t="s">
        <v>353</v>
      </c>
      <c r="C208" s="337" t="str">
        <f>IF(ISBLANK('Configure Management Domain'!D313),"Value Missing",'Configure Management Domain'!D313)</f>
        <v>Value Missing</v>
      </c>
      <c r="H208" s="22" t="s">
        <v>689</v>
      </c>
      <c r="I208" s="337" t="str">
        <f>IF(ISBLANK(input_cluster_az2_host4_mgmt_ip),"Value Missing",input_cluster_az2_host4_mgmt_ip)</f>
        <v>Value Missing</v>
      </c>
      <c r="J208" s="2"/>
      <c r="K208" s="22" t="s">
        <v>674</v>
      </c>
      <c r="L208" s="337" t="str">
        <f>IF(ISBLANK(input_flt_logs_admin_password),"Value Missing",input_flt_logs_admin_password)</f>
        <v>Value Missing</v>
      </c>
      <c r="T208" s="8" t="s">
        <v>2713</v>
      </c>
      <c r="U208" s="337" t="str">
        <f>IF(ISBLANK(input_wld_rwr_az1_vrms_gateway_mask),"Value Missing",input_wld_rwr_az1_vrms_gateway_mask)</f>
        <v>Value Missing</v>
      </c>
    </row>
    <row r="209" spans="2:21" ht="20.100000000000001" customHeight="1" x14ac:dyDescent="0.2">
      <c r="B209" s="4" t="s">
        <v>726</v>
      </c>
      <c r="C209" s="337" t="str">
        <f>IF(ISBLANK(input_mgmt_witness_vm_folder),"Value Missing",input_mgmt_witness_vm_folder)</f>
        <v>Value Missing</v>
      </c>
      <c r="H209" s="22" t="s">
        <v>690</v>
      </c>
      <c r="I209" s="337" t="str">
        <f>IF(ISBLANK(input_cluster_az2_host5_mgmt_ip),"Value Missing",input_cluster_az2_host5_mgmt_ip)</f>
        <v>Value Missing</v>
      </c>
      <c r="J209" s="2"/>
      <c r="K209" s="22" t="s">
        <v>1140</v>
      </c>
      <c r="L209" s="337" t="str">
        <f>IF(ISBLANK(input_flt_logs_admin_password_description),"Value Missing",input_flt_logs_admin_password_description)</f>
        <v>Value Missing</v>
      </c>
      <c r="U209" s="337" t="str">
        <f>IF(ISBLANK(input_mgmt_rwr_recovery_site_az1_mgmt_cidr),"Value Missing",input_mgmt_rwr_recovery_site_az1_mgmt_cidr)</f>
        <v>Value Missing</v>
      </c>
    </row>
    <row r="210" spans="2:21" ht="20.100000000000001" customHeight="1" x14ac:dyDescent="0.2">
      <c r="H210" s="22" t="s">
        <v>691</v>
      </c>
      <c r="I210" s="337" t="str">
        <f>IF(ISBLANK(input_cluster_az2_host6_mgmt_ip),"Value Missing",input_cluster_az2_host6_mgmt_ip)</f>
        <v>Value Missing</v>
      </c>
      <c r="J210" s="2"/>
      <c r="K210" s="22" t="s">
        <v>1142</v>
      </c>
      <c r="L210" s="337" t="str">
        <f>IF(ISBLANK(input_flt_logs_admin_username),"Value Missing",input_flt_logs_admin_username)</f>
        <v>Value Missing</v>
      </c>
      <c r="T210" s="8" t="s">
        <v>2714</v>
      </c>
      <c r="U210" s="337" t="str">
        <f>IF(ISBLANK(input_wld_rwr_vcfops_vlsr_username),"Value Missing",input_wld_rwr_vcfops_vlsr_username)</f>
        <v>Value Missing</v>
      </c>
    </row>
    <row r="211" spans="2:21" ht="20.100000000000001" customHeight="1" x14ac:dyDescent="0.2">
      <c r="B211" s="387" t="s">
        <v>2715</v>
      </c>
      <c r="C211" s="387"/>
      <c r="H211" s="22" t="s">
        <v>692</v>
      </c>
      <c r="I211" s="337" t="str">
        <f>IF(ISBLANK(input_cluster_az2_host7_mgmt_ip),"Value Missing",input_cluster_az2_host7_mgmt_ip)</f>
        <v>Value Missing</v>
      </c>
      <c r="J211" s="2"/>
      <c r="K211" s="22" t="s">
        <v>1055</v>
      </c>
      <c r="L211" s="337" t="str">
        <f>IF(ISBLANK(input_flt_logs_root_password_alias),"Value Missing",input_flt_logs_root_password_alias)</f>
        <v>Value Missing</v>
      </c>
      <c r="U211" s="337" t="str">
        <f>IF(ISBLANK(input_wld_rwr_vcfops_vr_username),"Value Missing",input_wld_rwr_vcfops_vr_username)</f>
        <v>Value Missing</v>
      </c>
    </row>
    <row r="212" spans="2:21" ht="20.100000000000001" customHeight="1" x14ac:dyDescent="0.2">
      <c r="B212" s="166" t="s">
        <v>259</v>
      </c>
      <c r="C212" s="167" t="s">
        <v>277</v>
      </c>
      <c r="D212" s="2"/>
      <c r="H212" s="22" t="s">
        <v>693</v>
      </c>
      <c r="I212" s="337" t="str">
        <f>IF(ISBLANK(input_cluster_az2_host8_mgmt_ip),"Value Missing",input_cluster_az2_host8_mgmt_ip)</f>
        <v>Value Missing</v>
      </c>
      <c r="J212" s="2"/>
      <c r="K212" s="22" t="s">
        <v>330</v>
      </c>
      <c r="L212" s="337" t="str">
        <f>IF(ISBLANK(input_flt_logs_root_password),"Value Missing",input_flt_logs_root_password)</f>
        <v>Value Missing</v>
      </c>
      <c r="T212" s="362" t="s">
        <v>496</v>
      </c>
      <c r="U212" s="347"/>
    </row>
    <row r="213" spans="2:21" ht="20.100000000000001" customHeight="1" x14ac:dyDescent="0.2">
      <c r="B213" s="361" t="s">
        <v>2026</v>
      </c>
      <c r="C213" s="337" t="str">
        <f>IF(ISBLANK(input_mgmt_witness_zone_vc_ip),"Value Missing",input_mgmt_witness_zone_vc_ip)</f>
        <v>Value Missing</v>
      </c>
      <c r="D213" s="2"/>
      <c r="H213" s="22" t="s">
        <v>694</v>
      </c>
      <c r="I213" s="337" t="str">
        <f>IF(ISBLANK(input_cluster_az2_host9_mgmt_ip),"Value Missing",input_cluster_az2_host9_mgmt_ip)</f>
        <v>Value Missing</v>
      </c>
      <c r="J213" s="2"/>
      <c r="K213" s="22" t="s">
        <v>1056</v>
      </c>
      <c r="L213" s="337" t="str">
        <f>IF(ISBLANK(input_flt_logs_root_password_description),"Value Missing",input_flt_logs_root_password_description)</f>
        <v>Value Missing</v>
      </c>
    </row>
    <row r="214" spans="2:21" ht="20.100000000000001" customHeight="1" x14ac:dyDescent="0.2">
      <c r="B214" s="361" t="s">
        <v>2716</v>
      </c>
      <c r="C214" s="337" t="str">
        <f>IF(ISBLANK('Configure Management Domain'!D319),"Value Missing",'Configure Management Domain'!D319)</f>
        <v>Value Missing</v>
      </c>
      <c r="D214" s="2"/>
      <c r="H214" s="22" t="s">
        <v>695</v>
      </c>
      <c r="I214" s="337" t="str">
        <f>IF(ISBLANK(input_cluster_az2_host10_mgmt_ip),"Value Missing",input_cluster_az2_host10_mgmt_ip)</f>
        <v>Value Missing</v>
      </c>
      <c r="J214" s="2"/>
      <c r="K214" s="22" t="s">
        <v>1058</v>
      </c>
      <c r="L214" s="337" t="str">
        <f>IF(ISBLANK(input_flt_logs_root_username),"Value Missing",input_flt_logs_root_username)</f>
        <v>Value Missing</v>
      </c>
    </row>
    <row r="215" spans="2:21" ht="20.100000000000001" customHeight="1" x14ac:dyDescent="0.2">
      <c r="B215" s="4" t="s">
        <v>2481</v>
      </c>
      <c r="C215" s="337" t="str">
        <f>IF(ISBLANK(input_mgmt_witness_dns1_ip),"Value Missing",input_mgmt_witness_dns1_ip)</f>
        <v>Value Missing</v>
      </c>
      <c r="D215" s="2"/>
      <c r="H215" s="22" t="s">
        <v>696</v>
      </c>
      <c r="I215" s="337" t="str">
        <f>IF(ISBLANK(input_cluster_az2_host11_mgmt_ip),"Value Missing",input_cluster_az2_host11_mgmt_ip)</f>
        <v>Value Missing</v>
      </c>
      <c r="J215" s="2"/>
      <c r="K215" s="4" t="s">
        <v>1145</v>
      </c>
      <c r="L215" s="337" t="str">
        <f>IF(ISBLANK(flt_logs_node_size_chosen),"Value Missing",flt_logs_node_size_chosen)</f>
        <v>Medium</v>
      </c>
    </row>
    <row r="216" spans="2:21" ht="20.100000000000001" customHeight="1" x14ac:dyDescent="0.2">
      <c r="B216" s="4" t="s">
        <v>2481</v>
      </c>
      <c r="C216" s="337" t="str">
        <f>IF(ISBLANK(input_mgmt_witness_dns2_ip),"Value Missing",input_mgmt_witness_dns2_ip)</f>
        <v>Value Missing</v>
      </c>
      <c r="D216" s="2"/>
      <c r="H216" s="22" t="s">
        <v>697</v>
      </c>
      <c r="I216" s="337" t="str">
        <f>IF(ISBLANK(input_cluster_az2_host12_mgmt_ip),"Value Missing",input_cluster_az2_host12_mgmt_ip)</f>
        <v>Value Missing</v>
      </c>
      <c r="J216" s="2"/>
      <c r="K216" s="4" t="s">
        <v>1154</v>
      </c>
      <c r="L216" s="337" t="str">
        <f>IF(ISBLANK(input_flt_logs_admin_email),"Value Missing",input_flt_logs_admin_email)</f>
        <v>Value Missing</v>
      </c>
    </row>
    <row r="217" spans="2:21" ht="20.100000000000001" customHeight="1" x14ac:dyDescent="0.2">
      <c r="B217" s="4" t="s">
        <v>2486</v>
      </c>
      <c r="C217" s="337" t="str">
        <f>IF(ISBLANK(sample_mgmt_witness_ntp1_server),"Value Missing",sample_mgmt_witness_ntp1_server)</f>
        <v>ntp0.sfo.rainpole.io</v>
      </c>
      <c r="H217" s="22" t="s">
        <v>698</v>
      </c>
      <c r="I217" s="337" t="str">
        <f>IF(ISBLANK(input_cluster_az2_host13_mgmt_ip),"Value Missing",input_cluster_az2_host13_mgmt_ip)</f>
        <v>Value Missing</v>
      </c>
      <c r="J217" s="2"/>
      <c r="K217" s="4" t="s">
        <v>2717</v>
      </c>
      <c r="L217" s="337" t="str">
        <f>IF(ISBLANK(input_flt_logs_nodea_hostname),"Value Missing",input_flt_logs_nodea_hostname)</f>
        <v>Value Missing</v>
      </c>
    </row>
    <row r="218" spans="2:21" ht="20.100000000000001" customHeight="1" x14ac:dyDescent="0.2">
      <c r="B218" s="4" t="s">
        <v>2486</v>
      </c>
      <c r="C218" s="337" t="str">
        <f>IF(ISBLANK(sample_mgmt_witness_ntp2_server),"Value Missing",sample_mgmt_witness_ntp2_server)</f>
        <v>ntp1.sfo.rainpole.io</v>
      </c>
      <c r="H218" s="22" t="s">
        <v>699</v>
      </c>
      <c r="I218" s="337" t="str">
        <f>IF(ISBLANK(input_cluster_az2_host14_mgmt_ip),"Value Missing",input_cluster_az2_host14_mgmt_ip)</f>
        <v>Value Missing</v>
      </c>
      <c r="J218" s="2"/>
      <c r="K218" s="4" t="s">
        <v>2718</v>
      </c>
      <c r="L218" s="337" t="str">
        <f>IF(ISBLANK(input_flt_logs_nodeb_hostname),"Value Missing",input_flt_logs_nodeb_hostname)</f>
        <v>Value Missing</v>
      </c>
    </row>
    <row r="219" spans="2:21" ht="20.100000000000001" customHeight="1" x14ac:dyDescent="0.2">
      <c r="B219" s="23"/>
      <c r="H219" s="22" t="s">
        <v>700</v>
      </c>
      <c r="I219" s="337" t="str">
        <f>IF(ISBLANK(input_cluster_az2_host15_mgmt_ip),"Value Missing",input_cluster_az2_host15_mgmt_ip)</f>
        <v>Value Missing</v>
      </c>
      <c r="J219" s="2"/>
      <c r="K219" s="4" t="s">
        <v>2719</v>
      </c>
      <c r="L219" s="337" t="str">
        <f>IF(ISBLANK(input_flt_logs_nodec_hostname),"Value Missing",input_flt_logs_nodec_hostname)</f>
        <v>Value Missing</v>
      </c>
    </row>
    <row r="220" spans="2:21" ht="20.100000000000001" customHeight="1" x14ac:dyDescent="0.2">
      <c r="B220" s="391" t="s">
        <v>2720</v>
      </c>
      <c r="C220" s="391"/>
      <c r="H220" s="22" t="s">
        <v>701</v>
      </c>
      <c r="I220" s="337" t="str">
        <f>IF(ISBLANK(input_cluster_az2_host16_mgmt_ip),"Value Missing",input_cluster_az2_host16_mgmt_ip)</f>
        <v>Value Missing</v>
      </c>
      <c r="J220" s="2"/>
      <c r="K220" s="4" t="s">
        <v>2721</v>
      </c>
      <c r="L220" s="337" t="str">
        <f>IF(ISBLANK(input_flt_logs_vip_ip),"Value Missing",input_flt_logs_vip_ip)</f>
        <v>Value Missing</v>
      </c>
    </row>
    <row r="221" spans="2:21" ht="20.100000000000001" customHeight="1" x14ac:dyDescent="0.2">
      <c r="B221" s="336" t="s">
        <v>259</v>
      </c>
      <c r="C221" s="184" t="s">
        <v>277</v>
      </c>
      <c r="H221" s="22" t="s">
        <v>705</v>
      </c>
      <c r="I221" s="337" t="str">
        <f>IF(ISBLANK(input_cluster_az2_pool_name),"Value Missing",input_cluster_az2_pool_name)</f>
        <v>Value Missing</v>
      </c>
      <c r="J221" s="2"/>
      <c r="K221" s="4" t="s">
        <v>2722</v>
      </c>
      <c r="L221" s="337" t="str">
        <f>IF(ISBLANK(input_flt_logs_nodea_ip),"Value Missing",input_flt_logs_nodea_ip)</f>
        <v>Value Missing</v>
      </c>
    </row>
    <row r="222" spans="2:21" ht="20.100000000000001" customHeight="1" x14ac:dyDescent="0.2">
      <c r="B222" s="361" t="s">
        <v>2723</v>
      </c>
      <c r="C222" s="337" t="str">
        <f>IF(ISBLANK(input_wld_esx_root_username),"Value Missing",input_wld_esx_root_username)</f>
        <v>Value Missing</v>
      </c>
      <c r="H222" s="528" t="s">
        <v>404</v>
      </c>
      <c r="I222" s="530"/>
      <c r="J222" s="2"/>
      <c r="K222" s="4" t="s">
        <v>2724</v>
      </c>
      <c r="L222" s="337" t="str">
        <f>IF(ISBLANK(input_flt_logs_nodeb_ip),"Value Missing",input_flt_logs_nodeb_ip)</f>
        <v>Value Missing</v>
      </c>
    </row>
    <row r="223" spans="2:21" ht="20.100000000000001" customHeight="1" x14ac:dyDescent="0.2">
      <c r="B223" s="361" t="s">
        <v>378</v>
      </c>
      <c r="C223" s="337" t="str">
        <f>IF(ISBLANK(input_wld_esx_root_password),"Value Missing",input_wld_esx_root_password)</f>
        <v>Value Missing</v>
      </c>
      <c r="H223" s="22" t="s">
        <v>2725</v>
      </c>
      <c r="I223" s="337" t="str">
        <f>IF(ISBLANK(input_cluster_az2_vmotion_vlan),"Value Missing",input_cluster_az2_vmotion_vlan)</f>
        <v>Value Missing</v>
      </c>
      <c r="J223" s="2"/>
      <c r="K223" s="4" t="s">
        <v>2726</v>
      </c>
      <c r="L223" s="337" t="str">
        <f>IF(ISBLANK(input_flt_logs_nodec_ip),"Value Missing",input_flt_logs_nodec_ip)</f>
        <v>Value Missing</v>
      </c>
    </row>
    <row r="224" spans="2:21" ht="20.100000000000001" customHeight="1" x14ac:dyDescent="0.2">
      <c r="B224" s="361" t="s">
        <v>1240</v>
      </c>
      <c r="C224" s="337" t="str">
        <f>IF(ISBLANK(input_wld_vcenter_root_password),"Value Missing",input_wld_vcenter_root_password)</f>
        <v>Value Missing</v>
      </c>
      <c r="H224" s="22" t="s">
        <v>401</v>
      </c>
      <c r="I224" s="337" t="str">
        <f>IF(ISBLANK(input_cluster_az2_vmotion_mtu),"Value Missing",input_cluster_az2_vmotion_mtu)</f>
        <v>Value Missing</v>
      </c>
      <c r="J224" s="2"/>
      <c r="K224" s="4" t="s">
        <v>2727</v>
      </c>
      <c r="L224" s="337" t="str">
        <f>IF(ISBLANK(flt_logs_disk_mode_chosen),"Value Missing",flt_logs_disk_mode_chosen)</f>
        <v>Thin</v>
      </c>
    </row>
    <row r="225" spans="2:12" ht="20.100000000000001" customHeight="1" x14ac:dyDescent="0.2">
      <c r="B225" s="361" t="s">
        <v>2728</v>
      </c>
      <c r="C225" s="337" t="str">
        <f>IF(ISBLANK(input_xreg_vra_admin_password),"Value Missing",input_xreg_vra_admin_password)</f>
        <v>VMware123!VMware123!</v>
      </c>
      <c r="H225" s="22" t="s">
        <v>2729</v>
      </c>
      <c r="I225" s="337" t="str">
        <f>IF(ISBLANK(input_cluster_az2_vmotion_network),"Value Missing",input_cluster_az2_vmotion_network)</f>
        <v>Value Missing</v>
      </c>
      <c r="J225" s="2"/>
    </row>
    <row r="226" spans="2:12" ht="20.100000000000001" customHeight="1" x14ac:dyDescent="0.2">
      <c r="B226" s="361" t="s">
        <v>2730</v>
      </c>
      <c r="C226" s="337" t="str">
        <f>IF(ISBLANK(input_xreg_vrops_admin_password),"Value Missing",input_xreg_vrops_admin_password)</f>
        <v>VMware123!VMware123!</v>
      </c>
      <c r="H226" s="22" t="s">
        <v>707</v>
      </c>
      <c r="I226" s="337" t="str">
        <f>IF(ISBLANK(input_cluster_az2_vmotion_mask),"Value Missing",input_cluster_az2_vmotion_mask)</f>
        <v>Value Missing</v>
      </c>
      <c r="J226" s="2"/>
      <c r="K226" s="391" t="s">
        <v>2731</v>
      </c>
      <c r="L226" s="391"/>
    </row>
    <row r="227" spans="2:12" ht="20.100000000000001" customHeight="1" x14ac:dyDescent="0.2">
      <c r="B227" s="361" t="s">
        <v>2732</v>
      </c>
      <c r="C227" s="337" t="str">
        <f>IF(ISBLANK(input_xreg_vrops_root_password),"Value Missing",input_xreg_vrops_root_password)</f>
        <v>VMware123!VMware123!</v>
      </c>
      <c r="H227" s="4" t="s">
        <v>459</v>
      </c>
      <c r="I227" s="337" t="str">
        <f>IF(OR(cluster_az2_vmotion_network="Value Missing",cluster_az2_vmotion_mask="Value Missing"),"Value Missing",(CONCATENATE(cluster_az2_vmotion_network,"/",VLOOKUP(cluster_az2_vmotion_mask,table_mask_to_cidr,2,FALSE))))</f>
        <v>Value Missing</v>
      </c>
      <c r="J227" s="2"/>
      <c r="K227" s="336" t="s">
        <v>259</v>
      </c>
      <c r="L227" s="184" t="s">
        <v>277</v>
      </c>
    </row>
    <row r="228" spans="2:12" ht="20.100000000000001" customHeight="1" x14ac:dyDescent="0.2">
      <c r="B228" s="361" t="s">
        <v>2733</v>
      </c>
      <c r="C228" s="337" t="str">
        <f>IF(ISBLANK(input_vrslcm_admin_password),"Value Missing",input_vrslcm_admin_password)</f>
        <v>Value Missing</v>
      </c>
      <c r="H228" s="22" t="s">
        <v>708</v>
      </c>
      <c r="I228" s="337" t="str">
        <f>IF(ISBLANK(input_cluster_az2_vmotion_gateway_ip),"Value Missing",input_cluster_az2_vmotion_gateway_ip)</f>
        <v>Value Missing</v>
      </c>
      <c r="J228" s="2"/>
      <c r="K228" s="4" t="s">
        <v>1019</v>
      </c>
    </row>
    <row r="229" spans="2:12" ht="20.100000000000001" customHeight="1" x14ac:dyDescent="0.2">
      <c r="B229" s="361" t="s">
        <v>2734</v>
      </c>
      <c r="C229" s="337" t="str">
        <f>IF(ISBLANK(input_vrslcm_root_password),"Value Missing",input_vrslcm_root_password)</f>
        <v>Value Missing</v>
      </c>
      <c r="H229" s="22" t="s">
        <v>460</v>
      </c>
      <c r="I229" s="337" t="str">
        <f>IF(ISBLANK(input_cluster_az2_vmotion_pool_start_ip),"Value Missing",input_cluster_az2_vmotion_pool_start_ip)</f>
        <v>Value Missing</v>
      </c>
      <c r="K229" s="4" t="s">
        <v>1021</v>
      </c>
      <c r="L229" s="337" t="str">
        <f>IF(ISBLANK(input_flt_net_cert_alias),"Value Missing",input_flt_net_cert_alias)</f>
        <v>Value Missing</v>
      </c>
    </row>
    <row r="230" spans="2:12" ht="20.100000000000001" customHeight="1" x14ac:dyDescent="0.2">
      <c r="B230" s="361" t="s">
        <v>2735</v>
      </c>
      <c r="C230" s="337" t="str">
        <f>IF(ISBLANK(input_wld_administrator_vsphere_local_password),"Value Missing",input_wld_administrator_vsphere_local_password)</f>
        <v>Value Missing</v>
      </c>
      <c r="H230" s="22" t="s">
        <v>461</v>
      </c>
      <c r="I230" s="337" t="str">
        <f>IF(ISBLANK(input_cluster_az2_vmotion_pool_end_ip),"Value Missing",input_cluster_az2_vmotion_pool_end_ip)</f>
        <v>Value Missing</v>
      </c>
      <c r="K230" s="4" t="s">
        <v>1128</v>
      </c>
    </row>
    <row r="231" spans="2:12" ht="20.100000000000001" customHeight="1" x14ac:dyDescent="0.2">
      <c r="H231" s="528" t="s">
        <v>2736</v>
      </c>
      <c r="I231" s="530"/>
      <c r="K231" s="4" t="s">
        <v>1022</v>
      </c>
    </row>
    <row r="232" spans="2:12" ht="20.100000000000001" customHeight="1" x14ac:dyDescent="0.2">
      <c r="B232" s="361" t="s">
        <v>2737</v>
      </c>
      <c r="C232" s="337" t="str">
        <f>IF(ISBLANK(input_mgmt_nsxt_en_admin_password),"Value Missing",input_mgmt_nsxt_en_admin_password)</f>
        <v>Value Missing</v>
      </c>
      <c r="H232" s="22" t="s">
        <v>2738</v>
      </c>
      <c r="I232" s="337" t="str">
        <f>IF(ISBLANK(input_cluster_az2_principal_storage_vlan),"Value Missing",input_cluster_az2_principal_storage_vlan)</f>
        <v>Value Missing</v>
      </c>
      <c r="K232" s="4" t="s">
        <v>2739</v>
      </c>
    </row>
    <row r="233" spans="2:12" ht="20.100000000000001" customHeight="1" x14ac:dyDescent="0.2">
      <c r="B233" s="361" t="s">
        <v>2740</v>
      </c>
      <c r="C233" s="337" t="str">
        <f>IF(ISBLANK(input_mgmt_nsxt_en_root_password),"Value Missing",input_mgmt_nsxt_en_root_password)</f>
        <v>Value Missing</v>
      </c>
      <c r="H233" s="22" t="s">
        <v>401</v>
      </c>
      <c r="I233" s="337" t="str">
        <f>IF(ISBLANK(input_cluster_az2_principal_storage_mtu),"Value Missing",input_cluster_az2_principal_storage_mtu)</f>
        <v>Value Missing</v>
      </c>
      <c r="J233" s="2"/>
      <c r="K233" s="4" t="s">
        <v>2741</v>
      </c>
    </row>
    <row r="234" spans="2:12" ht="20.100000000000001" customHeight="1" x14ac:dyDescent="0.2">
      <c r="B234" s="361" t="s">
        <v>2742</v>
      </c>
      <c r="C234" s="337" t="str">
        <f>IF(ISBLANK(input_flt_vidb_additional_vips),"Value Missing",input_flt_vidb_additional_vips)</f>
        <v>Value Missing</v>
      </c>
      <c r="H234" s="22" t="s">
        <v>2743</v>
      </c>
      <c r="I234" s="337" t="str">
        <f>IF(ISBLANK(input_cluster_az2_principal_storage_network),"Value Missing",input_cluster_az2_principal_storage_network)</f>
        <v>Value Missing</v>
      </c>
      <c r="K234" s="4" t="s">
        <v>1023</v>
      </c>
      <c r="L234" s="337" t="str">
        <f>IF(ISBLANK(input_flt_net_common_name),"Value Missing",input_flt_net_common_name)</f>
        <v>Value Missing</v>
      </c>
    </row>
    <row r="235" spans="2:12" ht="20.100000000000001" customHeight="1" x14ac:dyDescent="0.2">
      <c r="B235" s="361" t="s">
        <v>2744</v>
      </c>
      <c r="C235" s="337" t="str">
        <f>IF(ISBLANK(input_flt_vidb_node_prefix),"Value Missing",input_flt_vidb_node_prefix)</f>
        <v>Value Missing</v>
      </c>
      <c r="H235" s="22" t="s">
        <v>707</v>
      </c>
      <c r="I235" s="337" t="str">
        <f>IF(ISBLANK(input_cluster_az2_principal_storage_mask),"Value Missing",input_cluster_az2_principal_storage_mask)</f>
        <v>Value Missing</v>
      </c>
      <c r="K235" s="4" t="s">
        <v>1024</v>
      </c>
      <c r="L235" s="337" t="str">
        <f>IF(ISBLANK(input_flt_net_cert_organisation),"Value Missing",input_flt_net_cert_organisation)</f>
        <v>Value Missing</v>
      </c>
    </row>
    <row r="236" spans="2:12" ht="20.100000000000001" customHeight="1" x14ac:dyDescent="0.2">
      <c r="B236" s="361" t="s">
        <v>2745</v>
      </c>
      <c r="C236" s="337" t="str">
        <f>IF(ISBLANK(input_flt_vidb_password),"Value Missing",input_flt_vidb_password)</f>
        <v>Value Missing</v>
      </c>
      <c r="H236" s="22" t="s">
        <v>400</v>
      </c>
      <c r="I236" s="337" t="str">
        <f>IF(OR(cluster_az2_principal_storage_network="Value Missing",cluster_az2_principal_storage_mask="Value Missing"),"Value Missing",(CONCATENATE(cluster_az2_principal_storage_network,"/",VLOOKUP(cluster_az2_principal_storage_mask,table_mask_to_cidr,2,FALSE))))</f>
        <v>Value Missing</v>
      </c>
      <c r="K236" s="4" t="s">
        <v>1025</v>
      </c>
      <c r="L236" s="337" t="str">
        <f>IF(ISBLANK(input_flt_net_ou_cert),"Value Missing",input_flt_net_ou_cert)</f>
        <v>Value Missing</v>
      </c>
    </row>
    <row r="237" spans="2:12" ht="20.100000000000001" customHeight="1" x14ac:dyDescent="0.2">
      <c r="B237" s="361" t="s">
        <v>2746</v>
      </c>
      <c r="C237" s="337" t="str">
        <f>IF(ISBLANK(input_flt_vidb_password_alias),"Value Missing",input_flt_vidb_password_alias)</f>
        <v>Value Missing</v>
      </c>
      <c r="H237" s="22" t="s">
        <v>708</v>
      </c>
      <c r="I237" s="337" t="str">
        <f>IF(ISBLANK(input_cluster_az2_principal_storage_gateway_ip),"Value Missing",input_cluster_az2_principal_storage_gateway_ip)</f>
        <v>Value Missing</v>
      </c>
      <c r="K237" s="4" t="s">
        <v>1026</v>
      </c>
      <c r="L237" s="337" t="str">
        <f>IF(ISBLANK(input_flt_net_cert_country_code),"Value Missing",input_flt_net_cert_country_code)</f>
        <v>Value Missing</v>
      </c>
    </row>
    <row r="238" spans="2:12" ht="20.100000000000001" customHeight="1" x14ac:dyDescent="0.2">
      <c r="B238" s="361" t="s">
        <v>2747</v>
      </c>
      <c r="C238" s="337" t="str">
        <f>IF(ISBLANK(input_flt_vidb_password_description),"Value Missing",input_flt_vidb_password_description)</f>
        <v>Value Missing</v>
      </c>
      <c r="H238" s="22" t="s">
        <v>460</v>
      </c>
      <c r="I238" s="337" t="str">
        <f>IF(ISBLANK(input_cluster_az2_principal_storage_pool_start_ip),"Value Missing",input_cluster_az2_principal_storage_pool_start_ip)</f>
        <v>Value Missing</v>
      </c>
      <c r="K238" s="4" t="s">
        <v>1027</v>
      </c>
      <c r="L238" s="337" t="str">
        <f>IF(ISBLANK(input_flt_net_cert_locality),"Value Missing",input_flt_net_cert_locality)</f>
        <v>Value Missing</v>
      </c>
    </row>
    <row r="239" spans="2:12" ht="20.100000000000001" customHeight="1" x14ac:dyDescent="0.2">
      <c r="B239" s="361" t="s">
        <v>2748</v>
      </c>
      <c r="C239" s="337" t="str">
        <f>IF(ISBLANK(input_flt_vidb_root_username),"Value Missing",input_flt_vidb_root_username)</f>
        <v>Value Missing</v>
      </c>
      <c r="H239" s="22" t="s">
        <v>461</v>
      </c>
      <c r="I239" s="337" t="str">
        <f>IF(ISBLANK(input_cluster_az2_principal_storage_pool_end_ip),"Value Missing",input_cluster_az2_principal_storage_pool_end_ip)</f>
        <v>Value Missing</v>
      </c>
      <c r="K239" s="4" t="s">
        <v>1028</v>
      </c>
      <c r="L239" s="337" t="str">
        <f>IF(ISBLANK(input_flt_net_cert_state),"Value Missing",input_flt_net_cert_state)</f>
        <v>Value Missing</v>
      </c>
    </row>
    <row r="240" spans="2:12" ht="20.100000000000001" customHeight="1" x14ac:dyDescent="0.2">
      <c r="B240" s="17" t="s">
        <v>2749</v>
      </c>
      <c r="C240" s="337" t="str">
        <f>IF(ISBLANK(input_flt_vidb_system_user_alias),"Value Missing",input_flt_vidb_system_user_alias)</f>
        <v>Value Missing</v>
      </c>
      <c r="H240" s="528" t="s">
        <v>2750</v>
      </c>
      <c r="I240" s="530"/>
      <c r="K240" s="4" t="s">
        <v>1029</v>
      </c>
      <c r="L240" s="337" t="str">
        <f>IF(ISBLANK(flt_net_cert_key_length_chosen),"Value Missing",flt_net_cert_key_length_chosen)</f>
        <v>4096</v>
      </c>
    </row>
    <row r="241" spans="2:12" ht="20.100000000000001" customHeight="1" x14ac:dyDescent="0.2">
      <c r="B241" s="22" t="s">
        <v>2751</v>
      </c>
      <c r="C241" s="337" t="str">
        <f>IF(ISBLANK(input_flt_vidb_system_user_password),"Value Missing",input_flt_vidb_system_user_password)</f>
        <v>Value Missing</v>
      </c>
      <c r="H241" s="22" t="s">
        <v>2752</v>
      </c>
      <c r="I241" s="337" t="str">
        <f>IF(ISBLANK(input_cluster_az2_secondary_storage_vlan),"Value Missing",input_cluster_az2_secondary_storage_vlan)</f>
        <v>Value Missing</v>
      </c>
      <c r="K241" s="4" t="s">
        <v>1166</v>
      </c>
      <c r="L241" s="337" t="str">
        <f>IF(ISBLANK(input_flt_net_nodea_fqdn),"Value Missing",input_flt_net_nodea_fqdn)</f>
        <v>Value Missing</v>
      </c>
    </row>
    <row r="242" spans="2:12" ht="20.100000000000001" customHeight="1" x14ac:dyDescent="0.2">
      <c r="B242" s="22" t="s">
        <v>2753</v>
      </c>
      <c r="C242" s="337" t="str">
        <f>IF(ISBLANK(input_flt_vidb_system_user_description),"Value Missing",input_flt_vidb_system_user_description)</f>
        <v>Value Missing</v>
      </c>
      <c r="H242" s="22" t="s">
        <v>401</v>
      </c>
      <c r="I242" s="337" t="str">
        <f>IF(ISBLANK(input_cluster_az2_secondary_storage_mtu),"Value Missing",input_cluster_az2_secondary_storage_mtu)</f>
        <v>Value Missing</v>
      </c>
      <c r="K242" s="4" t="s">
        <v>1167</v>
      </c>
      <c r="L242" s="337" t="str">
        <f>IF(ISBLANK(input_flt_net_nodeb_fqdn),"Value Missing",input_flt_net_nodeb_fqdn)</f>
        <v>Value Missing</v>
      </c>
    </row>
    <row r="243" spans="2:12" ht="20.100000000000001" customHeight="1" x14ac:dyDescent="0.2">
      <c r="B243" s="32"/>
      <c r="C243" s="32"/>
      <c r="H243" s="22" t="s">
        <v>2754</v>
      </c>
      <c r="I243" s="337" t="str">
        <f>IF(ISBLANK(input_cluster_az2_secondary_storage_network),"Value Missing",input_cluster_az2_secondary_storage_network)</f>
        <v>Value Missing</v>
      </c>
      <c r="K243" s="4" t="s">
        <v>1168</v>
      </c>
      <c r="L243" s="337" t="str">
        <f>IF(ISBLANK(input_flt_net_nodec_fqdn),"Value Missing",input_flt_net_nodec_fqdn)</f>
        <v>Value Missing</v>
      </c>
    </row>
    <row r="244" spans="2:12" ht="20.100000000000001" customHeight="1" x14ac:dyDescent="0.2">
      <c r="B244" s="361" t="s">
        <v>2755</v>
      </c>
      <c r="C244" s="337" t="str">
        <f>IF(ISBLANK(input_mgmt_az1_en1_eth0_uplink0),"Value Missing",input_mgmt_az1_en1_eth0_uplink0)</f>
        <v>Value Missing</v>
      </c>
      <c r="H244" s="22" t="s">
        <v>707</v>
      </c>
      <c r="I244" s="337" t="str">
        <f>IF(ISBLANK(input_cluster_az2_secondary_storage_mask),"Value Missing",input_cluster_az2_secondary_storage_mask)</f>
        <v>Value Missing</v>
      </c>
      <c r="K244" s="4" t="s">
        <v>2756</v>
      </c>
      <c r="L244" s="337" t="str">
        <f>IF(ISBLANK(input_flt_net_prxy_fqdn),"Value Missing",input_flt_net_prxy_fqdn)</f>
        <v>Value Missing</v>
      </c>
    </row>
    <row r="245" spans="2:12" ht="20.100000000000001" customHeight="1" x14ac:dyDescent="0.2">
      <c r="B245" s="361" t="s">
        <v>2757</v>
      </c>
      <c r="C245" s="337" t="str">
        <f>IF(ISBLANK(input_mgmt_az1_en1_eth0_uplink1),"Value Missing",input_mgmt_az1_en1_eth0_uplink1)</f>
        <v>Value Missing</v>
      </c>
      <c r="H245" s="22" t="s">
        <v>708</v>
      </c>
      <c r="I245" s="337" t="str">
        <f>IF(ISBLANK(input_cluster_az2_secondary_storage_gateway_ip),"Value Missing",input_cluster_az2_secondary_storage_gateway_ip)</f>
        <v>Value Missing</v>
      </c>
      <c r="K245" s="4" t="s">
        <v>1170</v>
      </c>
      <c r="L245" s="337" t="str">
        <f>IF(ISBLANK(input_flt_net_nodea_ip),"Value Missing",input_flt_net_nodea_ip)</f>
        <v>Value Missing</v>
      </c>
    </row>
    <row r="246" spans="2:12" ht="20.100000000000001" customHeight="1" x14ac:dyDescent="0.2">
      <c r="B246" s="361" t="s">
        <v>2758</v>
      </c>
      <c r="C246" s="337" t="str">
        <f>IF(ISBLANK(input_mgmt_az1_en1_eth1_uplink0),"Value Missing",input_mgmt_az1_en1_eth1_uplink0)</f>
        <v>Value Missing</v>
      </c>
      <c r="H246" s="22" t="s">
        <v>460</v>
      </c>
      <c r="I246" s="337" t="str">
        <f>IF(ISBLANK(input_cluster_az2_secondary_storage_pool_start_ip),"Value Missing",input_cluster_az2_secondary_storage_pool_start_ip)</f>
        <v>Value Missing</v>
      </c>
      <c r="K246" s="4" t="s">
        <v>1171</v>
      </c>
      <c r="L246" s="337" t="str">
        <f>IF(ISBLANK(input_flt_net_nodeb_ip),"Value Missing",input_flt_net_nodeb_ip)</f>
        <v>Value Missing</v>
      </c>
    </row>
    <row r="247" spans="2:12" ht="20.100000000000001" customHeight="1" x14ac:dyDescent="0.2">
      <c r="B247" s="361" t="s">
        <v>2759</v>
      </c>
      <c r="C247" s="337" t="str">
        <f>IF(ISBLANK(input_mgmt_az1_en1_eth1_uplink1),"Value Missing",input_mgmt_az1_en1_eth1_uplink1)</f>
        <v>Value Missing</v>
      </c>
      <c r="H247" s="22" t="s">
        <v>461</v>
      </c>
      <c r="I247" s="337" t="str">
        <f>IF(ISBLANK(input_cluster_az2_secondary_storage_pool_end_ip),"Value Missing",input_cluster_az2_secondary_storage_pool_end_ip)</f>
        <v>Value Missing</v>
      </c>
      <c r="K247" s="4" t="s">
        <v>1172</v>
      </c>
      <c r="L247" s="337" t="str">
        <f>IF(ISBLANK(input_flt_net_nodec_ip),"Value Missing",input_flt_net_nodec_ip)</f>
        <v>Value Missing</v>
      </c>
    </row>
    <row r="248" spans="2:12" ht="20.100000000000001" customHeight="1" x14ac:dyDescent="0.2">
      <c r="B248" s="361" t="s">
        <v>2760</v>
      </c>
      <c r="C248" s="337" t="str">
        <f>IF(ISBLANK(input_mgmt_az1_en2_eth0_uplink0),"Value Missing",input_mgmt_az1_en2_eth0_uplink0)</f>
        <v>Value Missing</v>
      </c>
      <c r="H248" s="528" t="s">
        <v>1231</v>
      </c>
      <c r="I248" s="530"/>
      <c r="K248" s="4" t="s">
        <v>2761</v>
      </c>
      <c r="L248" s="337" t="str">
        <f>IF(ISBLANK(input_flt_net_prxy_ip),"Value Missing",input_flt_net_prxy_ip)</f>
        <v>Value Missing</v>
      </c>
    </row>
    <row r="249" spans="2:12" ht="20.100000000000001" customHeight="1" x14ac:dyDescent="0.2">
      <c r="B249" s="361" t="s">
        <v>2762</v>
      </c>
      <c r="C249" s="337" t="str">
        <f>IF(ISBLANK(input_mgmt_az1_en2_eth0_uplink1),"Value Missing",input_mgmt_az1_en2_eth0_uplink1)</f>
        <v>Value Missing</v>
      </c>
      <c r="H249" s="4" t="s">
        <v>398</v>
      </c>
      <c r="I249" s="337" t="str">
        <f>IF(ISBLANK(input_cluster_az2_storage_cluster_vlan),"Value Missing",input_cluster_az2_storage_cluster_vlan)</f>
        <v>Value Missing</v>
      </c>
      <c r="K249" s="4" t="s">
        <v>2763</v>
      </c>
      <c r="L249" s="337" t="str">
        <f>IF(flt_net_nodea_fqdn="Value Missing",flt_net_nodea_fqdn,LEFT(flt_net_nodea_fqdn,FIND(".",flt_net_nodea_fqdn)-1))</f>
        <v>Value Missing</v>
      </c>
    </row>
    <row r="250" spans="2:12" ht="20.100000000000001" customHeight="1" x14ac:dyDescent="0.2">
      <c r="B250" s="361" t="s">
        <v>2764</v>
      </c>
      <c r="C250" s="337" t="str">
        <f>IF(ISBLANK(input_mgmt_az1_en2_eth1_uplink0),"Value Missing",input_mgmt_az1_en2_eth1_uplink0)</f>
        <v>Value Missing</v>
      </c>
      <c r="H250" s="4" t="s">
        <v>401</v>
      </c>
      <c r="I250" s="337" t="str">
        <f>IF(ISBLANK(input_cluster_az2_storage_cluster_mtu),"Value Missing",input_cluster_az2_storage_cluster_mtu)</f>
        <v>Value Missing</v>
      </c>
      <c r="K250" s="4" t="s">
        <v>2765</v>
      </c>
      <c r="L250" s="337" t="str">
        <f>IF(flt_net_nodeb_fqdn="Value Missing",flt_net_nodeb_fqdn,LEFT(flt_net_nodeb_fqdn,FIND(".",flt_net_nodeb_fqdn)-1))</f>
        <v>Value Missing</v>
      </c>
    </row>
    <row r="251" spans="2:12" ht="20.100000000000001" customHeight="1" x14ac:dyDescent="0.2">
      <c r="B251" s="361" t="s">
        <v>2766</v>
      </c>
      <c r="C251" s="337" t="str">
        <f>IF(ISBLANK(input_mgmt_az1_en2_eth1_uplink1),"Value Missing",input_mgmt_az1_en2_eth1_uplink1)</f>
        <v>Value Missing</v>
      </c>
      <c r="H251" s="4" t="s">
        <v>706</v>
      </c>
      <c r="I251" s="337" t="str">
        <f>IF(ISBLANK(input_cluster_az2_storage_cluster_network),"Value Missing",input_cluster_az2_storage_cluster_network)</f>
        <v>Value Missing</v>
      </c>
      <c r="K251" s="4" t="s">
        <v>2767</v>
      </c>
      <c r="L251" s="337" t="str">
        <f>IF(flt_net_nodec_fqdn="Value Missing",flt_net_nodec_fqdn,LEFT(flt_net_nodec_fqdn,FIND(".",flt_net_nodec_fqdn)-1))</f>
        <v>Value Missing</v>
      </c>
    </row>
    <row r="252" spans="2:12" ht="20.100000000000001" customHeight="1" x14ac:dyDescent="0.2">
      <c r="B252" s="361"/>
      <c r="H252" s="4" t="s">
        <v>732</v>
      </c>
      <c r="I252" s="337" t="str">
        <f>IF(ISBLANK(input_cluster_az2_storage_cluster_mask),"Value Missing",input_cluster_az2_storage_cluster_mask)</f>
        <v>Value Missing</v>
      </c>
      <c r="K252" s="4" t="s">
        <v>2768</v>
      </c>
      <c r="L252" s="337" t="str">
        <f>IF(flt_net_prxy_fqdn="Value Missing",flt_net_prxy_fqdn,LEFT(flt_net_prxy_fqdn,FIND(".",flt_net_prxy_fqdn)-1))</f>
        <v>Value Missing</v>
      </c>
    </row>
    <row r="253" spans="2:12" ht="20.100000000000001" customHeight="1" x14ac:dyDescent="0.2">
      <c r="B253" s="361" t="s">
        <v>2769</v>
      </c>
      <c r="C253" s="337" t="str">
        <f>IF(ISBLANK(input_wld_az1_en1_eth0_uplink0),"Value Missing",input_wld_az1_en1_eth0_uplink0)</f>
        <v>Value Missing</v>
      </c>
      <c r="H253" s="4" t="s">
        <v>459</v>
      </c>
      <c r="I253" s="337" t="str">
        <f>IF(OR(cluster_az2_storage_cluster_network="Value Missing",cluster_az2_storage_cluster_mask="Value Missing"),"Value Missing",(CONCATENATE(cluster_az2_storage_cluster_network,"/",VLOOKUP(cluster_az2_storage_cluster_mask,table_mask_to_cidr,2,FALSE))))</f>
        <v>Value Missing</v>
      </c>
      <c r="K253" s="4" t="s">
        <v>1035</v>
      </c>
    </row>
    <row r="254" spans="2:12" ht="20.100000000000001" customHeight="1" x14ac:dyDescent="0.2">
      <c r="B254" s="361" t="s">
        <v>2770</v>
      </c>
      <c r="C254" s="337" t="str">
        <f>IF(ISBLANK(input_wld_az1_en1_eth0_uplink1),"Value Missing",input_wld_az1_en1_eth0_uplink1)</f>
        <v>Value Missing</v>
      </c>
      <c r="H254" s="4" t="s">
        <v>399</v>
      </c>
      <c r="I254" s="337" t="str">
        <f>IF(ISBLANK(input_cluster_az2_storage_cluster_gateway_ip),"Value Missing",input_cluster_az2_storage_cluster_gateway_ip)</f>
        <v>Value Missing</v>
      </c>
      <c r="K254" s="4" t="s">
        <v>1036</v>
      </c>
      <c r="L254" s="337" t="str">
        <f>IF(ISBLANK(input_flt_net_cluster),"Value Missing",input_flt_net_cluster)</f>
        <v>Value Missing</v>
      </c>
    </row>
    <row r="255" spans="2:12" ht="20.100000000000001" customHeight="1" x14ac:dyDescent="0.2">
      <c r="B255" s="361" t="s">
        <v>2771</v>
      </c>
      <c r="C255" s="337" t="str">
        <f>IF(ISBLANK(input_wld_az1_en1_eth1_uplink0),"Value Missing",input_wld_az1_en1_eth1_uplink0)</f>
        <v>Value Missing</v>
      </c>
      <c r="H255" s="17" t="s">
        <v>460</v>
      </c>
      <c r="I255" s="337" t="str">
        <f>IF(ISBLANK(input_cluster_az2_storage_cluster_pool_start_ip),"Value Missing",input_cluster_az2_storage_cluster_pool_start_ip)</f>
        <v>Value Missing</v>
      </c>
      <c r="K255" s="4" t="s">
        <v>1037</v>
      </c>
      <c r="L255" s="337" t="str">
        <f>IF(ISBLANK(input_flt_net_folder),"Value Missing",input_flt_net_folder)</f>
        <v>Value Missing</v>
      </c>
    </row>
    <row r="256" spans="2:12" ht="20.100000000000001" customHeight="1" x14ac:dyDescent="0.2">
      <c r="B256" s="361" t="s">
        <v>2772</v>
      </c>
      <c r="C256" s="337" t="str">
        <f>IF(ISBLANK(input_wld_az1_en1_eth1_uplink1),"Value Missing",input_wld_az1_en1_eth1_uplink1)</f>
        <v>Value Missing</v>
      </c>
      <c r="H256" s="17" t="s">
        <v>461</v>
      </c>
      <c r="I256" s="337" t="str">
        <f>IF(ISBLANK(input_cluster_az2_storage_cluster_pool_end_ip),"Value Missing",input_cluster_az2_storage_cluster_pool_end_ip)</f>
        <v>Value Missing</v>
      </c>
      <c r="K256" s="4" t="s">
        <v>1039</v>
      </c>
      <c r="L256" s="337" t="str">
        <f>IF(ISBLANK(input_flt_net_resource_pool),"Value Missing",input_flt_net_resource_pool)</f>
        <v>Value Missing</v>
      </c>
    </row>
    <row r="257" spans="2:12" ht="20.100000000000001" customHeight="1" x14ac:dyDescent="0.2">
      <c r="B257" s="361" t="s">
        <v>2773</v>
      </c>
      <c r="C257" s="337" t="str">
        <f>IF(ISBLANK(input_wld_az1_en2_eth0_uplink0),"Value Missing",input_wld_az1_en2_eth0_uplink0)</f>
        <v>Value Missing</v>
      </c>
      <c r="H257" s="22" t="s">
        <v>712</v>
      </c>
      <c r="I257" s="337"/>
      <c r="K257" s="4" t="s">
        <v>587</v>
      </c>
      <c r="L257" s="337" t="str">
        <f>IF(ISBLANK(input_flt_net_datastore),"Value Missing",input_flt_net_datastore)</f>
        <v>Value Missing</v>
      </c>
    </row>
    <row r="258" spans="2:12" ht="20.100000000000001" customHeight="1" x14ac:dyDescent="0.2">
      <c r="B258" s="361" t="s">
        <v>2774</v>
      </c>
      <c r="C258" s="337" t="str">
        <f>IF(ISBLANK(input_wld_az1_en2_eth0_uplink1),"Value Missing",input_wld_az1_en2_eth0_uplink1)</f>
        <v>Value Missing</v>
      </c>
      <c r="H258" s="22" t="s">
        <v>714</v>
      </c>
      <c r="I258" s="337"/>
      <c r="K258" s="4" t="s">
        <v>299</v>
      </c>
      <c r="L258" s="337" t="str">
        <f>IF(ISBLANK(input_flt_net_vcenter_fqdn),"Value Missing",input_flt_net_vcenter_fqdn)</f>
        <v>Value Missing</v>
      </c>
    </row>
    <row r="259" spans="2:12" ht="20.100000000000001" customHeight="1" x14ac:dyDescent="0.2">
      <c r="B259" s="361" t="s">
        <v>2775</v>
      </c>
      <c r="C259" s="337" t="str">
        <f>IF(ISBLANK(input_wld_az1_en2_eth1_uplink0),"Value Missing",input_wld_az1_en2_eth1_uplink0)</f>
        <v>Value Missing</v>
      </c>
      <c r="H259" s="22" t="s">
        <v>716</v>
      </c>
      <c r="I259" s="337"/>
      <c r="K259" s="4" t="s">
        <v>1040</v>
      </c>
      <c r="L259" s="337" t="str">
        <f>IF(ISBLANK(input_flt_net_node_portgroup),"Value Missing",input_flt_net_node_portgroup)</f>
        <v>Value Missing</v>
      </c>
    </row>
    <row r="260" spans="2:12" ht="20.100000000000001" customHeight="1" x14ac:dyDescent="0.2">
      <c r="B260" s="361" t="s">
        <v>2776</v>
      </c>
      <c r="C260" s="337" t="str">
        <f>IF(ISBLANK(input_wld_az1_en2_eth1_uplink1),"Value Missing",input_wld_az1_en2_eth1_uplink1)</f>
        <v>Value Missing</v>
      </c>
      <c r="H260" s="22" t="s">
        <v>2777</v>
      </c>
      <c r="I260" s="337" t="str">
        <f>IF(ISBLANK(input_cluster_witnessaz_mgmt_vlan),"Value Missing",input_cluster_witnessaz_mgmt_vlan)</f>
        <v>Value Missing</v>
      </c>
      <c r="K260" s="4" t="s">
        <v>2727</v>
      </c>
      <c r="L260" s="337" t="str">
        <f>IF(ISBLANK(flt_net_disk_mode_chosen),"Value Missing",flt_net_disk_mode_chosen)</f>
        <v>Thin</v>
      </c>
    </row>
    <row r="261" spans="2:12" ht="20.100000000000001" customHeight="1" x14ac:dyDescent="0.2">
      <c r="H261" s="22" t="s">
        <v>2778</v>
      </c>
      <c r="I261" s="337" t="str">
        <f>IF(ISBLANK(input_cluster_witnessaz_mgmt_gateway_ip),"Value Missing",input_cluster_witnessaz_mgmt_gateway_ip)</f>
        <v>Value Missing</v>
      </c>
      <c r="K261" s="4" t="s">
        <v>2707</v>
      </c>
      <c r="L261" s="337" t="str">
        <f>IF(ISBLANK(input_flt_net_node_gateway_ip),"Value Missing",input_flt_net_node_gateway_ip)</f>
        <v>Value Missing</v>
      </c>
    </row>
    <row r="262" spans="2:12" ht="20.100000000000001" customHeight="1" x14ac:dyDescent="0.2">
      <c r="H262" s="22" t="s">
        <v>2779</v>
      </c>
      <c r="I262" s="337" t="str">
        <f>IF(ISBLANK(input_cluster_witnessaz_mgmt_cidr),"Value Missing",input_cluster_witnessaz_mgmt_cidr)</f>
        <v>Value Missing</v>
      </c>
      <c r="K262" s="4" t="s">
        <v>2708</v>
      </c>
      <c r="L262" s="337" t="str">
        <f>IF(ISBLANK(input_flt_net_node_mask),"Value Missing",input_flt_net_node_mask)</f>
        <v>Value Missing</v>
      </c>
    </row>
    <row r="263" spans="2:12" ht="20.100000000000001" customHeight="1" x14ac:dyDescent="0.2">
      <c r="H263" s="22" t="s">
        <v>2780</v>
      </c>
      <c r="I263" s="337" t="str">
        <f>IF(ISBLANK(input_cluster_witnessaz_mgmt_mtu),"Value Missing",input_cluster_witnessaz_mgmt_mtu)</f>
        <v>Value Missing</v>
      </c>
      <c r="K263" s="4" t="s">
        <v>354</v>
      </c>
    </row>
    <row r="264" spans="2:12" ht="20.100000000000001" customHeight="1" x14ac:dyDescent="0.2">
      <c r="H264" s="22" t="s">
        <v>721</v>
      </c>
      <c r="I264" s="337" t="str">
        <f>IF(ISBLANK(input_cluster_witness_zone_vc_fqdn),"Value Missing",input_cluster_witness_zone_vc_fqdn)</f>
        <v>Value Missing</v>
      </c>
      <c r="K264" s="4" t="s">
        <v>1042</v>
      </c>
    </row>
    <row r="265" spans="2:12" ht="20.100000000000001" customHeight="1" x14ac:dyDescent="0.2">
      <c r="H265" s="22" t="s">
        <v>724</v>
      </c>
      <c r="I265" s="337" t="str">
        <f t="array" ref="I265">IF(ISBLANK(input_cluster_witness_hostname),"Value Missing",input_cluster_witness_hostname)</f>
        <v>Value Missing</v>
      </c>
      <c r="K265" s="4" t="s">
        <v>1043</v>
      </c>
    </row>
    <row r="266" spans="2:12" ht="20.100000000000001" customHeight="1" x14ac:dyDescent="0.2">
      <c r="H266" s="22" t="s">
        <v>725</v>
      </c>
      <c r="I266" s="337" t="str">
        <f>IF(ISBLANK(input_cluster_witness_cluster),"Value Missing",input_cluster_witness_cluster)</f>
        <v>Value Missing</v>
      </c>
      <c r="K266" s="4" t="s">
        <v>746</v>
      </c>
    </row>
    <row r="267" spans="2:12" ht="20.100000000000001" customHeight="1" x14ac:dyDescent="0.2">
      <c r="H267" s="22" t="s">
        <v>726</v>
      </c>
      <c r="I267" s="337" t="str">
        <f>IF(ISBLANK(input_cluster_witness_vm_folder),"Value Missing",input_cluster_witness_vm_folder)</f>
        <v>Value Missing</v>
      </c>
      <c r="K267" s="4" t="s">
        <v>1046</v>
      </c>
    </row>
    <row r="268" spans="2:12" ht="20.100000000000001" customHeight="1" x14ac:dyDescent="0.2">
      <c r="H268" s="22" t="s">
        <v>727</v>
      </c>
      <c r="I268" s="337" t="str">
        <f>IF(ISBLANK(input_cluster_witness_vsan_datastore),"Value Missing",input_cluster_witness_vsan_datastore)</f>
        <v>Value Missing</v>
      </c>
      <c r="K268" s="4" t="s">
        <v>1047</v>
      </c>
    </row>
    <row r="269" spans="2:12" ht="20.100000000000001" customHeight="1" x14ac:dyDescent="0.2">
      <c r="H269" s="22" t="s">
        <v>728</v>
      </c>
      <c r="I269" s="337" t="str">
        <f>IF(ISBLANK(input_cluster_witness_mgmt_pg),"Value Missing",input_cluster_witness_mgmt_pg)</f>
        <v>Value Missing</v>
      </c>
      <c r="K269" s="4" t="s">
        <v>1139</v>
      </c>
      <c r="L269" s="337" t="str">
        <f>IF(ISBLANK(input_flt_net_admin_password_alias),"Value Missing",input_flt_net_admin_password_alias)</f>
        <v>Value Missing</v>
      </c>
    </row>
    <row r="270" spans="2:12" ht="20.100000000000001" customHeight="1" x14ac:dyDescent="0.2">
      <c r="H270" s="22" t="s">
        <v>729</v>
      </c>
      <c r="I270" s="337"/>
      <c r="K270" s="4" t="s">
        <v>674</v>
      </c>
      <c r="L270" s="337" t="str">
        <f>IF(ISBLANK(input_flt_net_admin_password),"Value Missing",input_flt_net_admin_password)</f>
        <v>Value Missing</v>
      </c>
    </row>
    <row r="271" spans="2:12" ht="20.100000000000001" customHeight="1" x14ac:dyDescent="0.2">
      <c r="H271" s="22" t="s">
        <v>730</v>
      </c>
      <c r="I271" s="337"/>
      <c r="K271" s="4" t="s">
        <v>1140</v>
      </c>
      <c r="L271" s="337" t="str">
        <f>IF(ISBLANK(input_flt_net_admin_password_description),"Value Missing",input_flt_net_admin_password_description)</f>
        <v>Value Missing</v>
      </c>
    </row>
    <row r="272" spans="2:12" ht="20.100000000000001" customHeight="1" x14ac:dyDescent="0.2">
      <c r="H272" s="22" t="s">
        <v>732</v>
      </c>
      <c r="I272" s="337" t="str">
        <f>IF(cluster_witnessaz_mgmt_cidr="Value Missing","Value Missing",VLOOKUP(INT(RIGHT(cluster_witnessaz_mgmt_cidr,LEN(cluster_witnessaz_mgmt_cidr)-FIND("/",cluster_witnessaz_mgmt_cidr))),table_cidr_to_mask,2,FALSE))</f>
        <v>Value Missing</v>
      </c>
      <c r="K272" s="4" t="s">
        <v>1142</v>
      </c>
      <c r="L272" s="337" t="str">
        <f>IF(ISBLANK(input_flt_net_admin_username),"Value Missing",input_flt_net_admin_username)</f>
        <v>Value Missing</v>
      </c>
    </row>
    <row r="273" spans="8:12" ht="20.100000000000001" customHeight="1" x14ac:dyDescent="0.2">
      <c r="H273" s="22" t="s">
        <v>734</v>
      </c>
      <c r="I273" s="337" t="str">
        <f>IF(ISBLANK(input_cluster_witness_ip),"Value Missing",input_cluster_witness_ip)</f>
        <v>Value Missing</v>
      </c>
      <c r="K273" s="4" t="s">
        <v>746</v>
      </c>
    </row>
    <row r="274" spans="8:12" ht="20.100000000000001" customHeight="1" x14ac:dyDescent="0.2">
      <c r="H274" s="22"/>
      <c r="I274" s="337"/>
      <c r="K274" s="4" t="s">
        <v>1177</v>
      </c>
      <c r="L274" s="337" t="str">
        <f t="array" ref="L274">IF(ISBLANK(input_flt_net_platform_password),"Value Missing",input_flt_net_platform_password)</f>
        <v>Value Missing</v>
      </c>
    </row>
    <row r="275" spans="8:12" ht="20.100000000000001" customHeight="1" x14ac:dyDescent="0.2">
      <c r="H275" s="22" t="s">
        <v>735</v>
      </c>
      <c r="I275" s="337" t="str">
        <f>IF(ISBLANK(input_cluster_witness_dns1_ip),"Value Missing",input_cluster_witness_dns1_ip)</f>
        <v>Value Missing</v>
      </c>
      <c r="K275" s="4" t="s">
        <v>1178</v>
      </c>
      <c r="L275" s="337" t="str">
        <f>IF(ISBLANK(input_flt_net_support_password),"Value Missing",input_flt_net_support_password)</f>
        <v>Value Missing</v>
      </c>
    </row>
    <row r="276" spans="8:12" ht="20.100000000000001" customHeight="1" x14ac:dyDescent="0.2">
      <c r="H276" s="22" t="s">
        <v>737</v>
      </c>
      <c r="I276" s="337" t="str">
        <f t="array" ref="I276">IF(ISBLANK(input_cluster_witness_dns2_ip),"Value Missing",input_cluster_witness_dns2_ip)</f>
        <v>Value Missing</v>
      </c>
      <c r="K276" s="4" t="s">
        <v>1179</v>
      </c>
      <c r="L276" s="337" t="str">
        <f>IF(ISBLANK(input_flt_net_console_password),"Value Missing",input_flt_net_console_password)</f>
        <v>Value Missing</v>
      </c>
    </row>
    <row r="277" spans="8:12" ht="20.100000000000001" customHeight="1" x14ac:dyDescent="0.2">
      <c r="H277" s="22" t="s">
        <v>739</v>
      </c>
      <c r="I277" s="337" t="str">
        <f>IF(ISBLANK(input_cluster_witness_ntp1_server),"Value Missing",input_cluster_witness_ntp1_server)</f>
        <v>Value Missing</v>
      </c>
      <c r="K277" s="4" t="s">
        <v>1059</v>
      </c>
      <c r="L277" s="337" t="str">
        <f>IF(ISBLANK(input_flt_net_vcenter_list),"Value Missing",input_flt_net_vcenter_list)</f>
        <v>Value Missing</v>
      </c>
    </row>
    <row r="278" spans="8:12" ht="20.100000000000001" customHeight="1" x14ac:dyDescent="0.2">
      <c r="H278" s="22" t="s">
        <v>740</v>
      </c>
      <c r="I278" s="337" t="str">
        <f>IF(ISBLANK(input_cluster_witness_ntp2_server),"Value Missing",input_cluster_witness_ntp2_server)</f>
        <v>Value Missing</v>
      </c>
      <c r="K278" s="4" t="s">
        <v>2781</v>
      </c>
      <c r="L278" s="337" t="str">
        <f>IF(ISBLANK(input_flt_net_prxy_portgroup),"Value Missing",input_flt_net_prxy_portgroup)</f>
        <v>Value Missing</v>
      </c>
    </row>
    <row r="279" spans="8:12" ht="20.100000000000001" customHeight="1" x14ac:dyDescent="0.2">
      <c r="H279" s="22" t="s">
        <v>721</v>
      </c>
      <c r="I279" s="337" t="str">
        <f>IF(ISBLANK(input_cluster_vc_fqdn),"Value Missing",input_cluster_vc_fqdn)</f>
        <v>Value Missing</v>
      </c>
      <c r="K279" s="4" t="s">
        <v>2527</v>
      </c>
      <c r="L279" s="337" t="str">
        <f>IF(ISBLANK(input_flt_net_prxy_mask),"Value Missing",input_flt_net_prxy_mask)</f>
        <v>Value Missing</v>
      </c>
    </row>
    <row r="280" spans="8:12" ht="20.100000000000001" customHeight="1" x14ac:dyDescent="0.2">
      <c r="H280" s="22" t="s">
        <v>742</v>
      </c>
      <c r="I280" s="337" t="str">
        <f>IF(ISBLANK(input_cluster_datacenter),"Value Missing",input_cluster_datacenter)</f>
        <v>Value Missing</v>
      </c>
      <c r="K280" s="4" t="s">
        <v>987</v>
      </c>
      <c r="L280" s="337" t="str">
        <f>IF(ISBLANK(input_flt_net_prxy_gateway_ip),"Value Missing",input_flt_net_prxy_gateway_ip)</f>
        <v>Value Missing</v>
      </c>
    </row>
    <row r="281" spans="8:12" ht="20.100000000000001" customHeight="1" x14ac:dyDescent="0.2">
      <c r="H281" s="22" t="s">
        <v>527</v>
      </c>
      <c r="I281" s="337" t="str">
        <f>IF(ISBLANK(input_cluster_witness_fqdn),"Value Missing",input_cluster_witness_fqdn)</f>
        <v>Value Missing</v>
      </c>
      <c r="K281" s="4" t="s">
        <v>2782</v>
      </c>
      <c r="L281" s="337" t="str">
        <f>IF(ISBLANK(flt_net_nodea_size_chosen),"Value Missing",flt_net_nodea_size_chosen)</f>
        <v>Large</v>
      </c>
    </row>
    <row r="282" spans="8:12" ht="20.100000000000001" customHeight="1" x14ac:dyDescent="0.2">
      <c r="H282" s="22" t="s">
        <v>784</v>
      </c>
      <c r="I282" s="337" t="str">
        <f>IF(ISBLANK(input_cluster_az2_host_overlay_network_profile_name),"Value Missing",input_cluster_az2_host_overlay_network_profile_name)</f>
        <v>Value Missing</v>
      </c>
      <c r="K282" s="4" t="s">
        <v>2783</v>
      </c>
      <c r="L282" s="337" t="str">
        <f>IF(ISBLANK(flt_net_nodeb_size_chosen),"Value Missing",flt_net_nodeb_size_chosen)</f>
        <v>Large</v>
      </c>
    </row>
    <row r="283" spans="8:12" ht="20.100000000000001" customHeight="1" x14ac:dyDescent="0.2">
      <c r="H283" s="22" t="s">
        <v>787</v>
      </c>
      <c r="I283" s="337" t="str">
        <f>IF(ISBLANK(input_cluster_az2_host_overlay_network_pool_name),"Value Missing",input_cluster_az2_host_overlay_network_pool_name)</f>
        <v>Value Missing</v>
      </c>
      <c r="K283" s="4" t="s">
        <v>2784</v>
      </c>
      <c r="L283" s="337" t="str">
        <f>IF(ISBLANK(flt_net_nodec_size_chosen),"Value Missing",flt_net_nodec_size_chosen)</f>
        <v>Large</v>
      </c>
    </row>
    <row r="284" spans="8:12" ht="20.100000000000001" customHeight="1" x14ac:dyDescent="0.2">
      <c r="H284" s="22" t="s">
        <v>788</v>
      </c>
      <c r="I284" s="337" t="str">
        <f>IF(ISBLANK(input_cluster_az2_host_overlay_uplink_profile_name),"Value Missing",input_cluster_az2_host_overlay_uplink_profile_name)</f>
        <v>Value Missing</v>
      </c>
      <c r="K284" s="4" t="s">
        <v>2785</v>
      </c>
      <c r="L284" s="337" t="str">
        <f>IF(ISBLANK(flt_net_prxy_size_chosen),"Value Missing",flt_net_prxy_size_chosen)</f>
        <v>Medium</v>
      </c>
    </row>
    <row r="285" spans="8:12" ht="20.100000000000001" customHeight="1" x14ac:dyDescent="0.2">
      <c r="H285" s="22" t="s">
        <v>2786</v>
      </c>
      <c r="I285" s="337" t="str">
        <f>IF(ISBLANK(input_cluster_az2_host_overlay_vlan),"Value Missing",input_cluster_az2_host_overlay_vlan)</f>
        <v>Value Missing</v>
      </c>
    </row>
    <row r="286" spans="8:12" ht="20.100000000000001" customHeight="1" x14ac:dyDescent="0.2">
      <c r="H286" s="22" t="s">
        <v>400</v>
      </c>
      <c r="I286" s="337" t="str">
        <f>IF(ISBLANK(input_cluster_az2_host_overlay_cidr),"Value Missing",input_cluster_az2_host_overlay_cidr)</f>
        <v>Value Missing</v>
      </c>
      <c r="K286" s="391" t="s">
        <v>2787</v>
      </c>
      <c r="L286" s="391"/>
    </row>
    <row r="287" spans="8:12" ht="20.100000000000001" customHeight="1" x14ac:dyDescent="0.2">
      <c r="H287" s="22" t="s">
        <v>708</v>
      </c>
      <c r="I287" s="337" t="str">
        <f>IF(ISBLANK(input_cluster_az2_host_overlay_gateway_ip),"Value Missing",input_cluster_az2_host_overlay_gateway_ip)</f>
        <v>Value Missing</v>
      </c>
      <c r="K287" s="336" t="s">
        <v>259</v>
      </c>
      <c r="L287" s="184" t="s">
        <v>277</v>
      </c>
    </row>
    <row r="288" spans="8:12" ht="20.100000000000001" customHeight="1" x14ac:dyDescent="0.2">
      <c r="H288" s="22" t="s">
        <v>460</v>
      </c>
      <c r="I288" s="337" t="str">
        <f>IF(ISBLANK(input_cluster_az2_host_overlay_pool_start_ip),"Value Missing",input_cluster_az2_host_overlay_pool_start_ip)</f>
        <v>Value Missing</v>
      </c>
      <c r="K288" s="4" t="s">
        <v>985</v>
      </c>
      <c r="L288" s="337" t="str">
        <f>IF(ISBLANK(input_flt_net_vcenter_list),"Value Missing",input_flt_net_vcenter_list)</f>
        <v>Value Missing</v>
      </c>
    </row>
    <row r="289" spans="8:12" ht="20.100000000000001" customHeight="1" x14ac:dyDescent="0.2">
      <c r="H289" s="22" t="s">
        <v>461</v>
      </c>
      <c r="I289" s="337" t="str">
        <f>IF(ISBLANK(input_cluster_az2_host_overlay_pool_end_ip),"Value Missing",input_cluster_az2_host_overlay_pool_end_ip)</f>
        <v>Value Missing</v>
      </c>
      <c r="K289" s="4" t="s">
        <v>986</v>
      </c>
      <c r="L289" s="337" t="str">
        <f>IF(ISBLANK(input_flt_net_vcenter_list),"Value Missing",input_flt_net_vcenter_list)</f>
        <v>Value Missing</v>
      </c>
    </row>
    <row r="290" spans="8:12" ht="20.100000000000001" customHeight="1" x14ac:dyDescent="0.2">
      <c r="H290" s="22" t="s">
        <v>798</v>
      </c>
      <c r="I290" s="337" t="str">
        <f>IF(ISBLANK(input_cluster_cluster_sddc_id),"Value Missing",input_cluster_cluster_sddc_id)</f>
        <v>Value Missing</v>
      </c>
      <c r="K290" s="4" t="s">
        <v>987</v>
      </c>
      <c r="L290" s="337" t="str">
        <f>IF(ISBLANK(input_flt_net_vcenter_list),"Value Missing",input_flt_net_vcenter_list)</f>
        <v>Value Missing</v>
      </c>
    </row>
    <row r="291" spans="8:12" ht="20.100000000000001" customHeight="1" x14ac:dyDescent="0.2">
      <c r="H291" s="22" t="s">
        <v>803</v>
      </c>
      <c r="I291" s="337" t="str">
        <f>IF(ISBLANK(input_cluster_nsxt_vip_fqdn),"Value Missing",input_cluster_nsxt_vip_fqdn)</f>
        <v>Value Missing</v>
      </c>
      <c r="K291" s="4" t="s">
        <v>991</v>
      </c>
      <c r="L291" s="337"/>
    </row>
    <row r="292" spans="8:12" ht="20.100000000000001" customHeight="1" x14ac:dyDescent="0.2">
      <c r="H292" s="22" t="s">
        <v>2788</v>
      </c>
      <c r="I292" s="337" t="str">
        <f>IF(ISBLANK(input_cluster_az2_host1_fqdn),"Value Missing",input_cluster_az2_host1_fqdn)</f>
        <v>Value Missing</v>
      </c>
      <c r="K292" s="4" t="s">
        <v>527</v>
      </c>
      <c r="L292" s="337" t="str">
        <f>IF(ISBLANK(input_flt_custom_network_flt_fqdn),"Value Missing",input_flt_custom_network_flt_fqdn)</f>
        <v>Value Missing</v>
      </c>
    </row>
    <row r="293" spans="8:12" ht="20.100000000000001" customHeight="1" x14ac:dyDescent="0.2">
      <c r="H293" s="22" t="s">
        <v>2789</v>
      </c>
      <c r="I293" s="337" t="str">
        <f>IF(ISBLANK(input_cluster_az2_host2_fqdn),"Value Missing",input_cluster_az2_host2_fqdn)</f>
        <v>Value Missing</v>
      </c>
      <c r="K293" s="4" t="s">
        <v>992</v>
      </c>
      <c r="L293" s="337" t="str">
        <f>IF(ISBLANK(input_flt_custom_network_flt_ip),"Value Missing",input_flt_custom_network_flt_ip)</f>
        <v>Value Missing</v>
      </c>
    </row>
    <row r="294" spans="8:12" ht="20.100000000000001" customHeight="1" x14ac:dyDescent="0.2">
      <c r="H294" s="22" t="s">
        <v>2790</v>
      </c>
      <c r="I294" s="337" t="str">
        <f>IF(ISBLANK(input_cluster_az2_host3_fqdn),"Value Missing",input_cluster_az2_host3_fqdn)</f>
        <v>Value Missing</v>
      </c>
      <c r="K294" s="4" t="s">
        <v>993</v>
      </c>
      <c r="L294" s="337" t="str">
        <f>IF(ISBLANK(input_flt_custom_network_flt_root_password),"Value Missing",input_flt_custom_network_flt_root_password)</f>
        <v>Value Missing</v>
      </c>
    </row>
    <row r="295" spans="8:12" ht="20.100000000000001" customHeight="1" x14ac:dyDescent="0.2">
      <c r="H295" s="22" t="s">
        <v>2791</v>
      </c>
      <c r="I295" s="337" t="str">
        <f>IF(ISBLANK(input_cluster_az2_host4_fqdn),"Value Missing",input_cluster_az2_host4_fqdn)</f>
        <v>Value Missing</v>
      </c>
      <c r="K295" s="4" t="s">
        <v>994</v>
      </c>
      <c r="L295" s="337" t="str">
        <f>IF(ISBLANK(input_flt_custom_network_flt_admin_password),"Value Missing",input_flt_custom_network_flt_admin_password)</f>
        <v>Value Missing</v>
      </c>
    </row>
    <row r="296" spans="8:12" ht="20.100000000000001" customHeight="1" x14ac:dyDescent="0.2">
      <c r="H296" s="22" t="s">
        <v>2792</v>
      </c>
      <c r="I296" s="337" t="str">
        <f>IF(ISBLANK(input_cluster_az2_host5_fqdn),"Value Missing",input_cluster_az2_host5_fqdn)</f>
        <v>Value Missing</v>
      </c>
      <c r="K296" s="4" t="s">
        <v>991</v>
      </c>
      <c r="L296" s="337"/>
    </row>
    <row r="297" spans="8:12" ht="20.100000000000001" customHeight="1" x14ac:dyDescent="0.2">
      <c r="H297" s="22" t="s">
        <v>2793</v>
      </c>
      <c r="I297" s="337" t="str">
        <f>IF(ISBLANK(input_cluster_az2_host6_fqdn),"Value Missing",input_cluster_az2_host6_fqdn)</f>
        <v>Value Missing</v>
      </c>
      <c r="K297" s="4" t="s">
        <v>2794</v>
      </c>
      <c r="L297" s="337" t="str">
        <f>IF(ISBLANK(input_flt_custom_network_ops_vip_fqdn),"Value Missing",input_flt_custom_network_ops_vip_fqdn)</f>
        <v>Value Missing</v>
      </c>
    </row>
    <row r="298" spans="8:12" ht="20.100000000000001" customHeight="1" x14ac:dyDescent="0.2">
      <c r="H298" s="22" t="s">
        <v>2795</v>
      </c>
      <c r="I298" s="337" t="str">
        <f>IF(ISBLANK(input_cluster_az2_host7_fqdn),"Value Missing",input_cluster_az2_host7_fqdn)</f>
        <v>Value Missing</v>
      </c>
      <c r="K298" s="4" t="s">
        <v>2796</v>
      </c>
      <c r="L298" s="337" t="str">
        <f>IF(ISBLANK(input_flt_custom_network_ops_nodea_fqdn),"Value Missing",input_flt_custom_network_ops_nodea_fqdn)</f>
        <v>Value Missing</v>
      </c>
    </row>
    <row r="299" spans="8:12" ht="20.100000000000001" customHeight="1" x14ac:dyDescent="0.2">
      <c r="H299" s="22" t="s">
        <v>2797</v>
      </c>
      <c r="I299" s="337" t="str">
        <f>IF(ISBLANK(input_cluster_az2_host8_fqdn),"Value Missing",input_cluster_az2_host8_fqdn)</f>
        <v>Value Missing</v>
      </c>
      <c r="K299" s="4" t="s">
        <v>2798</v>
      </c>
      <c r="L299" s="337" t="str">
        <f>IF(ISBLANK(input_flt_custom_network_ops_nodeb_fqdn),"Value Missing",input_flt_custom_network_ops_nodeb_fqdn)</f>
        <v>Value Missing</v>
      </c>
    </row>
    <row r="300" spans="8:12" ht="20.100000000000001" customHeight="1" x14ac:dyDescent="0.2">
      <c r="H300" s="22" t="s">
        <v>2799</v>
      </c>
      <c r="I300" s="337" t="str">
        <f>IF(ISBLANK(input_cluster_az2_host9_fqdn),"Value Missing",input_cluster_az2_host9_fqdn)</f>
        <v>Value Missing</v>
      </c>
      <c r="K300" s="4" t="s">
        <v>2800</v>
      </c>
      <c r="L300" s="337" t="str">
        <f>IF(ISBLANK(input_flt_custom_network_ops_nodec_fqdn),"Value Missing",input_flt_custom_network_ops_nodec_fqdn)</f>
        <v>Value Missing</v>
      </c>
    </row>
    <row r="301" spans="8:12" ht="20.100000000000001" customHeight="1" x14ac:dyDescent="0.2">
      <c r="H301" s="22" t="s">
        <v>2801</v>
      </c>
      <c r="I301" s="337" t="str">
        <f>IF(ISBLANK(input_cluster_az2_host10_fqdn),"Value Missing",input_cluster_az2_host10_fqdn)</f>
        <v>Value Missing</v>
      </c>
      <c r="K301" s="17" t="s">
        <v>2802</v>
      </c>
      <c r="L301" s="337" t="str">
        <f>IF(ISBLANK(input_flt_custom_network_ops_vip_ip),"Value Missing",input_flt_custom_network_ops_vip_ip)</f>
        <v>Value Missing</v>
      </c>
    </row>
    <row r="302" spans="8:12" ht="20.100000000000001" customHeight="1" x14ac:dyDescent="0.2">
      <c r="H302" s="22" t="s">
        <v>2803</v>
      </c>
      <c r="I302" s="337" t="str">
        <f>IF(ISBLANK(input_cluster_az2_host11_fqdn),"Value Missing",input_cluster_az2_host11_fqdn)</f>
        <v>Value Missing</v>
      </c>
      <c r="K302" s="17" t="s">
        <v>2804</v>
      </c>
      <c r="L302" s="337" t="str">
        <f>IF(ISBLANK(input_flt_custom_network_ops_nodea_ip),"Value Missing",input_flt_custom_network_ops_nodea_ip)</f>
        <v>Value Missing</v>
      </c>
    </row>
    <row r="303" spans="8:12" ht="20.100000000000001" customHeight="1" x14ac:dyDescent="0.2">
      <c r="H303" s="22" t="s">
        <v>2805</v>
      </c>
      <c r="I303" s="337" t="str">
        <f>IF(ISBLANK(input_cluster_az2_host12_fqdn),"Value Missing",input_cluster_az2_host12_fqdn)</f>
        <v>Value Missing</v>
      </c>
      <c r="K303" s="22" t="s">
        <v>2806</v>
      </c>
      <c r="L303" s="337" t="str">
        <f>IF(ISBLANK(input_flt_custom_network_ops_nodeb_ip),"Value Missing",input_flt_custom_network_ops_nodeb_ip)</f>
        <v>Value Missing</v>
      </c>
    </row>
    <row r="304" spans="8:12" ht="20.100000000000001" customHeight="1" x14ac:dyDescent="0.2">
      <c r="H304" s="22" t="s">
        <v>2807</v>
      </c>
      <c r="I304" s="337" t="str">
        <f>IF(ISBLANK(input_cluster_az2_host13_fqdn),"Value Missing",input_cluster_az2_host13_fqdn)</f>
        <v>Value Missing</v>
      </c>
      <c r="K304" s="22" t="s">
        <v>2808</v>
      </c>
      <c r="L304" s="337" t="str">
        <f>IF(ISBLANK(input_flt_custom_network_ops_nodec_ip),"Value Missing",input_flt_custom_network_ops_nodec_ip)</f>
        <v>Value Missing</v>
      </c>
    </row>
    <row r="305" spans="8:12" ht="20.100000000000001" customHeight="1" x14ac:dyDescent="0.2">
      <c r="H305" s="22" t="s">
        <v>2809</v>
      </c>
      <c r="I305" s="337" t="str">
        <f>IF(ISBLANK(input_cluster_az2_host14_fqdn),"Value Missing",input_cluster_az2_host14_fqdn)</f>
        <v>Value Missing</v>
      </c>
      <c r="K305" s="4" t="s">
        <v>1001</v>
      </c>
      <c r="L305" s="337"/>
    </row>
    <row r="306" spans="8:12" ht="20.100000000000001" customHeight="1" x14ac:dyDescent="0.2">
      <c r="H306" s="22" t="s">
        <v>2810</v>
      </c>
      <c r="I306" s="337" t="str">
        <f>IF(ISBLANK(input_cluster_az2_host15_fqdn),"Value Missing",input_cluster_az2_host15_fqdn)</f>
        <v>Value Missing</v>
      </c>
      <c r="K306" s="4" t="s">
        <v>330</v>
      </c>
      <c r="L306" s="337" t="str">
        <f>IF(ISBLANK(input_flt_custom_network_ops_root_password),"Value Missing",input_flt_custom_network_ops_root_password)</f>
        <v>Value Missing</v>
      </c>
    </row>
    <row r="307" spans="8:12" ht="20.100000000000001" customHeight="1" x14ac:dyDescent="0.2">
      <c r="H307" s="22" t="s">
        <v>2811</v>
      </c>
      <c r="I307" s="337" t="str">
        <f>IF(ISBLANK(input_cluster_az2_host16_fqdn),"Value Missing",input_cluster_az2_host16_fqdn)</f>
        <v>Value Missing</v>
      </c>
      <c r="K307" s="4" t="s">
        <v>674</v>
      </c>
      <c r="L307" s="337" t="str">
        <f>IF(ISBLANK(input_flt_custom_network_ops_admin_password),"Value Missing",input_flt_custom_network_ops_admin_password)</f>
        <v>Value Missing</v>
      </c>
    </row>
    <row r="308" spans="8:12" ht="20.100000000000001" customHeight="1" x14ac:dyDescent="0.2">
      <c r="H308" s="22" t="s">
        <v>808</v>
      </c>
      <c r="I308" s="337" t="str">
        <f>IF(ISBLANK(input_cluster_az2_tor1_peer_asn),"Value Missing",input_cluster_az2_tor1_peer_asn)</f>
        <v>Value Missing</v>
      </c>
      <c r="K308" s="4" t="s">
        <v>2812</v>
      </c>
      <c r="L308" s="337" t="str">
        <f>IF(ISBLANK(input_flt_custom_network_ops_collector_fqdn),"Value Missing",input_flt_custom_network_ops_collector_fqdn)</f>
        <v>Value Missing</v>
      </c>
    </row>
    <row r="309" spans="8:12" ht="20.100000000000001" customHeight="1" x14ac:dyDescent="0.2">
      <c r="H309" s="22" t="s">
        <v>812</v>
      </c>
      <c r="I309" s="337" t="str">
        <f>IF(ISBLANK(input_cluster_az2_tor1_peer_ip),"Value Missing",input_cluster_az2_tor1_peer_ip)</f>
        <v>Value Missing</v>
      </c>
      <c r="K309" s="4" t="s">
        <v>730</v>
      </c>
      <c r="L309" s="337" t="str">
        <f>IF(ISBLANK(input_flt_custom_network_ops_collector_ip),"Value Missing",input_flt_custom_network_ops_collector_ip)</f>
        <v>Value Missing</v>
      </c>
    </row>
    <row r="310" spans="8:12" ht="20.100000000000001" customHeight="1" x14ac:dyDescent="0.2">
      <c r="H310" s="22" t="s">
        <v>813</v>
      </c>
      <c r="I310" s="337" t="str">
        <f>IF(ISBLANK(input_cluster_az2_tor2_peer_asn),"Value Missing",input_cluster_az2_tor2_peer_asn)</f>
        <v>Value Missing</v>
      </c>
      <c r="K310" s="4" t="s">
        <v>121</v>
      </c>
      <c r="L310" s="337" t="str">
        <f>IF(ISBLANK(input_flt_custom_network_ops_collector_version),"Value Missing",input_flt_custom_network_ops_collector_version)</f>
        <v>Value Missing</v>
      </c>
    </row>
    <row r="311" spans="8:12" ht="20.100000000000001" customHeight="1" x14ac:dyDescent="0.2">
      <c r="I311" s="337" t="str">
        <f>IF(ISBLANK(input_cluster_az2_tor2_peer_ip),"Value Missing",input_cluster_az2_tor2_peer_ip)</f>
        <v>Value Missing</v>
      </c>
      <c r="K311" s="4" t="s">
        <v>1001</v>
      </c>
      <c r="L311" s="337"/>
    </row>
    <row r="312" spans="8:12" ht="20.100000000000001" customHeight="1" x14ac:dyDescent="0.2">
      <c r="I312" s="337" t="str">
        <f>IF(ISBLANK(input_cluster_host_overlay_transportzone),"Value Missing",input_cluster_host_overlay_transportzone)</f>
        <v>Value Missing</v>
      </c>
      <c r="K312" s="4" t="s">
        <v>330</v>
      </c>
      <c r="L312" s="337" t="str">
        <f>IF(ISBLANK(input_flt_custom_network_ops_collector_root_password),"Value Missing",input_flt_custom_network_ops_collector_root_password)</f>
        <v>Value Missing</v>
      </c>
    </row>
    <row r="313" spans="8:12" ht="20.100000000000001" customHeight="1" x14ac:dyDescent="0.2">
      <c r="K313" s="4" t="s">
        <v>2813</v>
      </c>
      <c r="L313" s="337" t="str">
        <f>IF(ISBLANK(input_flt_custom_network_auto_vip_fqdn),"Value Missing",input_flt_custom_network_auto_vip_fqdn)</f>
        <v>Value Missing</v>
      </c>
    </row>
    <row r="314" spans="8:12" ht="20.100000000000001" customHeight="1" x14ac:dyDescent="0.2">
      <c r="K314" s="4" t="s">
        <v>1004</v>
      </c>
      <c r="L314" s="337" t="str">
        <f>IF(ISBLANK(input_flt_custom_network_auto_prefix),"Value Missing",input_flt_custom_network_auto_prefix)</f>
        <v>Value Missing</v>
      </c>
    </row>
    <row r="315" spans="8:12" ht="20.100000000000001" customHeight="1" x14ac:dyDescent="0.2">
      <c r="K315" s="4" t="s">
        <v>730</v>
      </c>
      <c r="L315" s="337" t="str">
        <f>IF(ISBLANK(input_flt_custom_network_auto_vip_ip),"Value Missing",input_flt_custom_network_auto_vip_ip)</f>
        <v>Value Missing</v>
      </c>
    </row>
    <row r="316" spans="8:12" ht="20.100000000000001" customHeight="1" x14ac:dyDescent="0.2">
      <c r="K316" s="4" t="s">
        <v>1006</v>
      </c>
      <c r="L316" s="337" t="str">
        <f>IF(ISBLANK(input_flt_custom_network_auto_nodea_ip),"Value Missing",input_flt_custom_network_auto_nodea_ip)</f>
        <v>Value Missing</v>
      </c>
    </row>
    <row r="317" spans="8:12" ht="20.100000000000001" customHeight="1" x14ac:dyDescent="0.2">
      <c r="K317" s="4" t="s">
        <v>1008</v>
      </c>
      <c r="L317" s="337" t="str">
        <f>IF(ISBLANK(input_flt_custom_network_auto_nodeb_ip),"Value Missing",input_flt_custom_network_auto_nodeb_ip)</f>
        <v>Value Missing</v>
      </c>
    </row>
    <row r="318" spans="8:12" ht="20.100000000000001" customHeight="1" x14ac:dyDescent="0.2">
      <c r="K318" s="4" t="s">
        <v>1009</v>
      </c>
      <c r="L318" s="337" t="str">
        <f>IF(ISBLANK(input_flt_custom_network_auto_nodec_ip),"Value Missing",input_flt_custom_network_auto_nodec_ip)</f>
        <v>Value Missing</v>
      </c>
    </row>
    <row r="319" spans="8:12" ht="20.100000000000001" customHeight="1" x14ac:dyDescent="0.2">
      <c r="K319" s="4" t="s">
        <v>1010</v>
      </c>
      <c r="L319" s="337" t="str">
        <f>IF(ISBLANK(input_flt_custom_network_auto_noded_ip),"Value Missing",input_flt_custom_network_auto_noded_ip)</f>
        <v>Value Missing</v>
      </c>
    </row>
    <row r="320" spans="8:12" ht="20.100000000000001" customHeight="1" x14ac:dyDescent="0.2">
      <c r="K320" s="4" t="s">
        <v>1011</v>
      </c>
      <c r="L320" s="337" t="str">
        <f>IF(ISBLANK(flt_custom_network_auto_cluster_cidr_chosen),"Value Missing",flt_custom_network_auto_cluster_cidr_chosen)</f>
        <v>198.18.0.0/15</v>
      </c>
    </row>
    <row r="321" spans="11:12" ht="20.100000000000001" customHeight="1" x14ac:dyDescent="0.2">
      <c r="K321" s="4" t="s">
        <v>994</v>
      </c>
      <c r="L321" s="337" t="str">
        <f>IF(ISBLANK(input_flt_custom_network_auto_admin_password),"Value Missing",input_flt_custom_network_auto_admin_password)</f>
        <v>Value Missing</v>
      </c>
    </row>
    <row r="322" spans="11:12" ht="20.100000000000001" customHeight="1" x14ac:dyDescent="0.2">
      <c r="K322" s="4" t="s">
        <v>2814</v>
      </c>
      <c r="L322" s="337" t="str">
        <f>IF(ISBLANK(input_flt_custom_network_x_reg_pg),"Value Missing",input_flt_custom_network_x_reg_pg)</f>
        <v>Value Missing</v>
      </c>
    </row>
    <row r="323" spans="11:12" ht="20.100000000000001" customHeight="1" x14ac:dyDescent="0.2">
      <c r="K323" s="4" t="s">
        <v>2815</v>
      </c>
      <c r="L323" s="337" t="str">
        <f>IF(ISBLANK(input_flt_custom_network_x_reg_mask),"Value Missing",input_flt_custom_network_x_reg_mask)</f>
        <v>Value Missing</v>
      </c>
    </row>
    <row r="324" spans="11:12" ht="20.100000000000001" customHeight="1" x14ac:dyDescent="0.2">
      <c r="K324" s="4" t="s">
        <v>2816</v>
      </c>
      <c r="L324" s="337" t="str">
        <f>IF(ISBLANK(input_flt_custom_network_x_reg_gateway_ip),"Value Missing",input_flt_custom_network_x_reg_gateway_ip)</f>
        <v>Value Missing</v>
      </c>
    </row>
    <row r="325" spans="11:12" ht="20.100000000000001" customHeight="1" x14ac:dyDescent="0.2">
      <c r="K325" s="4" t="s">
        <v>2817</v>
      </c>
      <c r="L325" s="337" t="str">
        <f>IF(ISBLANK(input_flt_custom_network_local_reg_pg),"Value Missing",input_flt_custom_network_local_reg_pg)</f>
        <v>Value Missing</v>
      </c>
    </row>
    <row r="326" spans="11:12" ht="20.100000000000001" customHeight="1" x14ac:dyDescent="0.2">
      <c r="K326" s="4" t="s">
        <v>2818</v>
      </c>
      <c r="L326" s="337" t="str">
        <f>IF(ISBLANK(input_flt_custom_network_local_reg_mask),"Value Missing",input_flt_custom_network_local_reg_mask)</f>
        <v>Value Missing</v>
      </c>
    </row>
    <row r="327" spans="11:12" ht="20.100000000000001" customHeight="1" x14ac:dyDescent="0.2">
      <c r="K327" s="4" t="s">
        <v>2819</v>
      </c>
      <c r="L327" s="337" t="str">
        <f>IF(ISBLANK(input_flt_custom_network_local_reg_gateway_ip),"Value Missing",input_flt_custom_network_local_reg_gateway_ip)</f>
        <v>Value Missing</v>
      </c>
    </row>
    <row r="328" spans="11:12" ht="20.100000000000001" customHeight="1" x14ac:dyDescent="0.2">
      <c r="K328" s="391" t="s">
        <v>2820</v>
      </c>
      <c r="L328" s="391"/>
    </row>
    <row r="329" spans="11:12" ht="20.100000000000001" customHeight="1" x14ac:dyDescent="0.2">
      <c r="K329" s="336" t="s">
        <v>259</v>
      </c>
      <c r="L329" s="184" t="s">
        <v>277</v>
      </c>
    </row>
    <row r="330" spans="11:12" ht="20.100000000000001" customHeight="1" x14ac:dyDescent="0.2">
      <c r="K330" s="4" t="s">
        <v>1015</v>
      </c>
      <c r="L330" s="337" t="str">
        <f>IF(ISBLANK(vcf_automation_type_chosen),"Value Missing",vcf_automation_type_chosen)</f>
        <v>New Install</v>
      </c>
    </row>
    <row r="331" spans="11:12" ht="20.100000000000001" customHeight="1" x14ac:dyDescent="0.2">
      <c r="K331" s="4" t="s">
        <v>121</v>
      </c>
      <c r="L331" s="337" t="str">
        <f>IF(ISBLANK(input_vcf_automation_version),"Value Missing",input_vcf_automation_version)</f>
        <v>Value Missing</v>
      </c>
    </row>
    <row r="332" spans="11:12" ht="20.100000000000001" customHeight="1" x14ac:dyDescent="0.2">
      <c r="K332" s="4" t="s">
        <v>982</v>
      </c>
      <c r="L332" s="337" t="str">
        <f>IF(ISBLANK(vcf_automation_size_chosen),"Value Missing",vcf_automation_size_chosen)</f>
        <v>Small</v>
      </c>
    </row>
    <row r="333" spans="11:12" ht="20.100000000000001" customHeight="1" x14ac:dyDescent="0.2">
      <c r="K333" s="4" t="s">
        <v>1019</v>
      </c>
      <c r="L333" s="337" t="str">
        <f>IF(ISBLANK(vcf_automation_cert_type_chosen),"Value Missing",vcf_automation_cert_type_chosen)</f>
        <v>Generate Certificate</v>
      </c>
    </row>
    <row r="334" spans="11:12" ht="20.100000000000001" customHeight="1" x14ac:dyDescent="0.2">
      <c r="K334" s="4" t="s">
        <v>1021</v>
      </c>
      <c r="L334" s="337" t="str">
        <f>IF(ISBLANK(input_vcf_automation_cert_alias),"Value Missing",input_vcf_automation_cert_alias)</f>
        <v>Value Missing</v>
      </c>
    </row>
    <row r="335" spans="11:12" ht="20.100000000000001" customHeight="1" x14ac:dyDescent="0.2">
      <c r="K335" s="4" t="s">
        <v>1022</v>
      </c>
      <c r="L335" s="337" t="str">
        <f>IF(ISBLANK(input_vcf_automation_cert_file),"Value Missing",input_vcf_automation_cert_file)</f>
        <v>Value Missing</v>
      </c>
    </row>
    <row r="336" spans="11:12" ht="20.100000000000001" customHeight="1" x14ac:dyDescent="0.2">
      <c r="K336" s="4" t="s">
        <v>1023</v>
      </c>
      <c r="L336" s="337" t="str">
        <f>IF(ISBLANK(input_vcf_automation_cert_common_name),"Value Missing",input_vcf_automation_cert_common_name)</f>
        <v>Value Missing</v>
      </c>
    </row>
    <row r="337" spans="11:12" ht="20.100000000000001" customHeight="1" x14ac:dyDescent="0.2">
      <c r="K337" s="4" t="s">
        <v>1024</v>
      </c>
      <c r="L337" s="337" t="str">
        <f>IF(ISBLANK(input_vcf_automation_cert_organisation),"Value Missing",input_vcf_automation_cert_organisation)</f>
        <v>Value Missing</v>
      </c>
    </row>
    <row r="338" spans="11:12" ht="20.100000000000001" customHeight="1" x14ac:dyDescent="0.2">
      <c r="K338" s="4" t="s">
        <v>1025</v>
      </c>
      <c r="L338" s="337" t="str">
        <f>IF(ISBLANK(input_vcf_automation_ou_cert),"Value Missing",input_vcf_automation_ou_cert)</f>
        <v>Value Missing</v>
      </c>
    </row>
    <row r="339" spans="11:12" ht="20.100000000000001" customHeight="1" x14ac:dyDescent="0.2">
      <c r="K339" s="4" t="s">
        <v>1026</v>
      </c>
      <c r="L339" s="337" t="str">
        <f>IF(ISBLANK(input_vcf_automation_cert_country_code),"Value Missing",input_vcf_automation_cert_country_code)</f>
        <v>Value Missing</v>
      </c>
    </row>
    <row r="340" spans="11:12" ht="20.100000000000001" customHeight="1" x14ac:dyDescent="0.2">
      <c r="K340" s="4" t="s">
        <v>1027</v>
      </c>
      <c r="L340" s="337" t="str">
        <f>IF(ISBLANK(input_vcf_automation_cert_locality),"Value Missing",input_vcf_automation_cert_locality)</f>
        <v>Value Missing</v>
      </c>
    </row>
    <row r="341" spans="11:12" ht="20.100000000000001" customHeight="1" x14ac:dyDescent="0.2">
      <c r="K341" s="4" t="s">
        <v>1028</v>
      </c>
      <c r="L341" s="337" t="str">
        <f>IF(ISBLANK(input_vcf_automation_cert_state),"Value Missing",input_vcf_automation_cert_state)</f>
        <v>Value Missing</v>
      </c>
    </row>
    <row r="342" spans="11:12" ht="20.100000000000001" customHeight="1" x14ac:dyDescent="0.2">
      <c r="K342" s="4" t="s">
        <v>1029</v>
      </c>
      <c r="L342" s="337" t="str">
        <f>IF(ISBLANK(vcf_automation_cert_key_length_chosen),"Value Missing",vcf_automation_cert_key_length_chosen)</f>
        <v>4096</v>
      </c>
    </row>
    <row r="343" spans="11:12" ht="20.100000000000001" customHeight="1" x14ac:dyDescent="0.2">
      <c r="K343" s="4" t="s">
        <v>1031</v>
      </c>
      <c r="L343" s="337" t="str">
        <f>IF(ISBLANK(input_vcf_automation_vip_fqdn),"Value Missing",input_vcf_automation_vip_fqdn)</f>
        <v>Value Missing</v>
      </c>
    </row>
    <row r="344" spans="11:12" ht="20.100000000000001" customHeight="1" x14ac:dyDescent="0.2">
      <c r="K344" s="17" t="s">
        <v>730</v>
      </c>
      <c r="L344" s="337" t="str">
        <f>IF(ISBLANK(input_vcf_automation_vip_ip),"Value Missing",input_vcf_automation_vip_ip)</f>
        <v>Value Missing</v>
      </c>
    </row>
    <row r="345" spans="11:12" ht="20.100000000000001" customHeight="1" x14ac:dyDescent="0.2">
      <c r="K345" s="22" t="s">
        <v>1006</v>
      </c>
      <c r="L345" s="337" t="str">
        <f>IF(ISBLANK(input_vcf_automation_nodea_ip),"Value Missing",input_vcf_automation_nodea_ip)</f>
        <v>Value Missing</v>
      </c>
    </row>
    <row r="346" spans="11:12" ht="20.100000000000001" customHeight="1" x14ac:dyDescent="0.2">
      <c r="K346" s="22" t="s">
        <v>1008</v>
      </c>
      <c r="L346" s="337" t="str">
        <f>IF(ISBLANK(input_vcf_automation_nodeb_ip),"Value Missing",input_vcf_automation_nodeb_ip)</f>
        <v>Value Missing</v>
      </c>
    </row>
    <row r="347" spans="11:12" ht="20.100000000000001" customHeight="1" x14ac:dyDescent="0.2">
      <c r="K347" s="22" t="s">
        <v>1009</v>
      </c>
      <c r="L347" s="337" t="str">
        <f>IF(ISBLANK(input_vcf_automation_nodec_ip),"Value Missing",input_vcf_automation_nodec_ip)</f>
        <v>Value Missing</v>
      </c>
    </row>
    <row r="348" spans="11:12" ht="20.100000000000001" customHeight="1" x14ac:dyDescent="0.2">
      <c r="K348" s="22" t="s">
        <v>1010</v>
      </c>
      <c r="L348" s="337" t="str">
        <f>IF(ISBLANK(input_vcf_automation_noded_ip),"Value Missing",input_vcf_automation_noded_ip)</f>
        <v>Value Missing</v>
      </c>
    </row>
    <row r="349" spans="11:12" ht="20.100000000000001" customHeight="1" x14ac:dyDescent="0.2">
      <c r="K349" s="4" t="s">
        <v>1037</v>
      </c>
      <c r="L349" s="337" t="str">
        <f>IF(ISBLANK(input_vcf_automation_folder),"Value Missing",input_vcf_automation_folder)</f>
        <v>Value Missing</v>
      </c>
    </row>
    <row r="350" spans="11:12" ht="20.100000000000001" customHeight="1" x14ac:dyDescent="0.2">
      <c r="K350" s="4" t="s">
        <v>1039</v>
      </c>
      <c r="L350" s="337" t="str">
        <f>IF(ISBLANK(input_vcf_automation_resource_pool),"Value Missing",input_vcf_automation_resource_pool)</f>
        <v>Value Missing</v>
      </c>
    </row>
    <row r="351" spans="11:12" ht="20.100000000000001" customHeight="1" x14ac:dyDescent="0.2">
      <c r="K351" s="4" t="s">
        <v>2821</v>
      </c>
      <c r="L351" s="337" t="str">
        <f>IF(ISBLANK(input_vcf_automation_mask),"Value Missing",input_vcf_automation_mask)</f>
        <v>Value Missing</v>
      </c>
    </row>
    <row r="352" spans="11:12" ht="20.100000000000001" customHeight="1" x14ac:dyDescent="0.2">
      <c r="K352" s="4" t="s">
        <v>2707</v>
      </c>
      <c r="L352" s="337" t="str">
        <f>IF(ISBLANK(input_vcf_automation_gateway_ip),"Value Missing",input_vcf_automation_gateway_ip)</f>
        <v>Value Missing</v>
      </c>
    </row>
    <row r="353" spans="11:12" ht="20.100000000000001" customHeight="1" x14ac:dyDescent="0.2">
      <c r="K353" s="4" t="s">
        <v>2822</v>
      </c>
      <c r="L353" s="337" t="str">
        <f>IF(ISBLANK(input_vcf_automation_portgroup),"Value Missing",input_vcf_automation_portgroup)</f>
        <v>Value Missing</v>
      </c>
    </row>
    <row r="354" spans="11:12" ht="20.100000000000001" customHeight="1" x14ac:dyDescent="0.2">
      <c r="K354" s="17" t="s">
        <v>1139</v>
      </c>
      <c r="L354" s="337" t="str">
        <f>IF(ISBLANK(input_vcf_automation_admin_password_alias),"Value Missing",input_vcf_automation_admin_password_alias)</f>
        <v>Value Missing</v>
      </c>
    </row>
    <row r="355" spans="11:12" ht="20.100000000000001" customHeight="1" x14ac:dyDescent="0.2">
      <c r="K355" s="22" t="s">
        <v>674</v>
      </c>
      <c r="L355" s="337" t="str">
        <f>IF(ISBLANK(input_vcf_automation_admin_password),"Value Missing",input_vcf_automation_admin_password)</f>
        <v>Value Missing</v>
      </c>
    </row>
    <row r="356" spans="11:12" ht="20.100000000000001" customHeight="1" x14ac:dyDescent="0.2">
      <c r="K356" s="22" t="s">
        <v>1140</v>
      </c>
      <c r="L356" s="337" t="str">
        <f>IF(ISBLANK(input_vcf_automation_admin_password_description),"Value Missing",input_vcf_automation_admin_password_description)</f>
        <v>Value Missing</v>
      </c>
    </row>
    <row r="357" spans="11:12" ht="20.100000000000001" customHeight="1" x14ac:dyDescent="0.2">
      <c r="K357" s="22" t="s">
        <v>1142</v>
      </c>
      <c r="L357" s="337" t="str">
        <f>IF(ISBLANK(input_vcf_automation_admin_username),"Value Missing",input_vcf_automation_admin_username)</f>
        <v>Value Missing</v>
      </c>
    </row>
    <row r="358" spans="11:12" ht="20.100000000000001" customHeight="1" x14ac:dyDescent="0.2">
      <c r="K358" s="4" t="s">
        <v>2823</v>
      </c>
      <c r="L358" s="337" t="str">
        <f>IF(ISBLANK(input_vcf_automation_root_password_alias),"Value Missing",input_vcf_automation_root_password_alias)</f>
        <v>Value Missing</v>
      </c>
    </row>
    <row r="359" spans="11:12" ht="20.100000000000001" customHeight="1" x14ac:dyDescent="0.2">
      <c r="K359" s="4" t="s">
        <v>296</v>
      </c>
      <c r="L359" s="337" t="str">
        <f>IF(ISBLANK(input_vcf_automation_root_password),"Value Missing",input_vcf_automation_root_password)</f>
        <v>Value Missing</v>
      </c>
    </row>
    <row r="360" spans="11:12" ht="20.100000000000001" customHeight="1" x14ac:dyDescent="0.2">
      <c r="K360" s="4" t="s">
        <v>2824</v>
      </c>
      <c r="L360" s="337" t="str">
        <f>IF(ISBLANK(input_vcf_automation_root_password_description),"Value Missing",input_vcf_automation_root_password_description)</f>
        <v>Value Missing</v>
      </c>
    </row>
    <row r="361" spans="11:12" ht="20.100000000000001" customHeight="1" x14ac:dyDescent="0.2">
      <c r="K361" s="4" t="s">
        <v>294</v>
      </c>
      <c r="L361" s="337" t="str">
        <f>IF(ISBLANK(input_vcf_automation_root_username),"Value Missing",input_vcf_automation_root_username)</f>
        <v>Value Missing</v>
      </c>
    </row>
    <row r="362" spans="11:12" ht="20.100000000000001" customHeight="1" x14ac:dyDescent="0.2">
      <c r="K362" s="22" t="s">
        <v>1060</v>
      </c>
      <c r="L362" s="337" t="str">
        <f>IF(ISBLANK(vcf_automation_lb_type_chosen),"Value Missing",vcf_automation_lb_type_chosen)</f>
        <v>Internal Load Balancer</v>
      </c>
    </row>
    <row r="363" spans="11:12" ht="20.100000000000001" customHeight="1" x14ac:dyDescent="0.2">
      <c r="K363" s="22" t="s">
        <v>1004</v>
      </c>
      <c r="L363" s="337" t="str">
        <f>IF(ISBLANK(vcf_automation_node_prefix_chosen),"Value Missing",vcf_automation_node_prefix_chosen)</f>
        <v>flt-auto</v>
      </c>
    </row>
    <row r="364" spans="11:12" ht="20.100000000000001" customHeight="1" x14ac:dyDescent="0.2">
      <c r="K364" s="22" t="s">
        <v>347</v>
      </c>
      <c r="L364" s="337" t="str">
        <f>IF(ISBLANK(vcf_automation_internal_cidr_chosen),"Value Missing",vcf_automation_internal_cidr_chosen)</f>
        <v>192.18.0.0/15</v>
      </c>
    </row>
    <row r="365" spans="11:12" ht="20.100000000000001" customHeight="1" x14ac:dyDescent="0.2">
      <c r="K365" s="22" t="s">
        <v>1065</v>
      </c>
      <c r="L365" s="337" t="str">
        <f>IF(ISBLANK(input_vcf_automation_additional_vips),"Value Missing",input_vcf_automation_additional_vips)</f>
        <v>Value Missing</v>
      </c>
    </row>
  </sheetData>
  <mergeCells count="49">
    <mergeCell ref="H248:I248"/>
    <mergeCell ref="H240:I240"/>
    <mergeCell ref="H231:I231"/>
    <mergeCell ref="H222:I222"/>
    <mergeCell ref="T190:U190"/>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E66:F66"/>
    <mergeCell ref="K64:L64"/>
    <mergeCell ref="B35:C35"/>
    <mergeCell ref="E41:F41"/>
    <mergeCell ref="B74:C74"/>
    <mergeCell ref="H52:I52"/>
    <mergeCell ref="B88:C88"/>
    <mergeCell ref="B116:C116"/>
    <mergeCell ref="Q75:R75"/>
    <mergeCell ref="Q83:R83"/>
    <mergeCell ref="K109:L109"/>
    <mergeCell ref="Q91:R91"/>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s>
  <phoneticPr fontId="9" type="noConversion"/>
  <conditionalFormatting sqref="C7:C10 L39:L40">
    <cfRule type="containsBlanks" dxfId="720" priority="400">
      <formula>LEN(TRIM(C7))=0</formula>
    </cfRule>
    <cfRule type="expression" dxfId="719" priority="401">
      <formula>(VROPS_Result="Excluded")</formula>
    </cfRule>
    <cfRule type="notContainsBlanks" dxfId="718" priority="399">
      <formula>LEN(TRIM(C7))&gt;0</formula>
    </cfRule>
    <cfRule type="expression" dxfId="716" priority="397">
      <formula>mgmt_domain_existing_vcf_operations_chosen="Selected"</formula>
    </cfRule>
  </conditionalFormatting>
  <conditionalFormatting sqref="C14:C33 C92:C97 C99:C104 C106:C111 C118:C124 C147:C188 I178:I197 L183:L224 L288:L327">
    <cfRule type="expression" dxfId="715" priority="408">
      <formula>mgmt_domain_existing_vcf_operations_chosen="Selected"</formula>
    </cfRule>
  </conditionalFormatting>
  <conditionalFormatting sqref="C14:C33 I71:I125 C92:C97 O93:O130 C99:C104 C106:C111 C118:C124 C128:C135 I178:I197 L183:L224 I201:I221 I223:I230 I232:I239 I241:I247 L288:L327">
    <cfRule type="notContainsBlanks" dxfId="713" priority="935">
      <formula>LEN(TRIM(C14))&gt;0</formula>
    </cfRule>
    <cfRule type="containsBlanks" dxfId="712" priority="936">
      <formula>LEN(TRIM(C14))=0</formula>
    </cfRule>
  </conditionalFormatting>
  <conditionalFormatting sqref="C37:C48">
    <cfRule type="expression" dxfId="709" priority="929">
      <formula>AND((VRLI_Result="Excluded"),(VROPS_Result="Excluded"),(VRA_Result="Excluded"))</formula>
    </cfRule>
  </conditionalFormatting>
  <conditionalFormatting sqref="C37:C49 L167:L179">
    <cfRule type="notContainsBlanks" dxfId="706" priority="623">
      <formula>LEN(TRIM(C37))&gt;0</formula>
    </cfRule>
    <cfRule type="expression" dxfId="703" priority="625">
      <formula>(VROPS_Result="Excluded")</formula>
    </cfRule>
    <cfRule type="containsBlanks" dxfId="702" priority="624">
      <formula>LEN(TRIM(C37))=0</formula>
    </cfRule>
  </conditionalFormatting>
  <conditionalFormatting sqref="C49">
    <cfRule type="expression" dxfId="699" priority="630">
      <formula>AND((VRLI_Result="Excluded"),(VROPS_Result="Excluded"),(VRA_Result="Excluded"))</formula>
    </cfRule>
  </conditionalFormatting>
  <conditionalFormatting sqref="C53:C67 C138:C143">
    <cfRule type="expression" dxfId="693" priority="916">
      <formula>AND((VRLI_Result="Excluded"),(VROPS_Result="Excluded"),(VRA_Result="Excluded"))</formula>
    </cfRule>
    <cfRule type="expression" dxfId="689" priority="911">
      <formula>(VROPS_Result="Excluded")</formula>
    </cfRule>
    <cfRule type="containsBlanks" dxfId="688" priority="910">
      <formula>LEN(TRIM(C53))=0</formula>
    </cfRule>
    <cfRule type="notContainsBlanks" dxfId="687" priority="909">
      <formula>LEN(TRIM(C53))&gt;0</formula>
    </cfRule>
  </conditionalFormatting>
  <conditionalFormatting sqref="C71:C72 F125:F126">
    <cfRule type="expression" dxfId="680" priority="875">
      <formula>AND((VRLI_Result="Excluded"),(VROPS_Result="Excluded"),(VRA_Result="Excluded"))</formula>
    </cfRule>
  </conditionalFormatting>
  <conditionalFormatting sqref="C71:C72">
    <cfRule type="notContainsBlanks" dxfId="679" priority="868">
      <formula>LEN(TRIM(C71))&gt;0</formula>
    </cfRule>
    <cfRule type="expression" dxfId="675" priority="870">
      <formula>(VROPS_Result="Excluded")</formula>
    </cfRule>
    <cfRule type="containsBlanks" dxfId="674" priority="869">
      <formula>LEN(TRIM(C71))=0</formula>
    </cfRule>
    <cfRule type="expression" dxfId="673" priority="866">
      <formula>mgmt_domain_existing_vcf_operations_chosen="Selected"</formula>
    </cfRule>
  </conditionalFormatting>
  <conditionalFormatting sqref="C76:C85">
    <cfRule type="expression" dxfId="670" priority="903">
      <formula>AND((VRLI_Result="Excluded"),(VROPS_Result="Excluded"),(VRA_Result="Excluded"))</formula>
    </cfRule>
  </conditionalFormatting>
  <conditionalFormatting sqref="C76:C86">
    <cfRule type="expression" dxfId="664" priority="729">
      <formula>mgmt_domain_existing_vcf_operations_chosen="Selected"</formula>
    </cfRule>
    <cfRule type="expression" dxfId="663" priority="733">
      <formula>(VROPS_Result="Excluded")</formula>
    </cfRule>
    <cfRule type="containsBlanks" dxfId="662" priority="732">
      <formula>LEN(TRIM(C76))=0</formula>
    </cfRule>
    <cfRule type="notContainsBlanks" dxfId="661" priority="731">
      <formula>LEN(TRIM(C76))&gt;0</formula>
    </cfRule>
  </conditionalFormatting>
  <conditionalFormatting sqref="C86">
    <cfRule type="expression" dxfId="660" priority="738">
      <formula>AND((VRLI_Result="Excluded"),(VROPS_Result="Excluded"),(VRA_Result="Excluded"))</formula>
    </cfRule>
  </conditionalFormatting>
  <conditionalFormatting sqref="C90 F96:F102 C114">
    <cfRule type="expression" dxfId="653" priority="709">
      <formula>(VROPS_Result="Excluded")</formula>
    </cfRule>
    <cfRule type="containsBlanks" dxfId="652" priority="708">
      <formula>LEN(TRIM(C90))=0</formula>
    </cfRule>
    <cfRule type="notContainsBlanks" dxfId="650" priority="707">
      <formula>LEN(TRIM(C90))&gt;0</formula>
    </cfRule>
    <cfRule type="expression" dxfId="648" priority="705">
      <formula>mgmt_domain_existing_vcf_operations_chosen="Selected"</formula>
    </cfRule>
  </conditionalFormatting>
  <conditionalFormatting sqref="C136:C137">
    <cfRule type="expression" dxfId="647" priority="742">
      <formula>(vcf_version_result="Excluded")</formula>
    </cfRule>
    <cfRule type="expression" dxfId="646" priority="741">
      <formula>vcf_granular_option_chosen&lt;&gt;"Full Instance"</formula>
    </cfRule>
    <cfRule type="expression" dxfId="645" priority="744">
      <formula>(mgmt_dpg_reuse_result="Included")</formula>
    </cfRule>
    <cfRule type="expression" dxfId="644" priority="745">
      <formula>(mgmt_dpg_reuse_result="Excluded")</formula>
    </cfRule>
    <cfRule type="expression" dxfId="643" priority="743">
      <formula>(mgmt_dpg_reuse_chosen="Exclude")</formula>
    </cfRule>
  </conditionalFormatting>
  <conditionalFormatting sqref="C138:C143 I71:I125 C53:C67 O93:O130 C128:C135 I201:I221 I223:I230 I232:I239 I241:I247">
    <cfRule type="expression" dxfId="642" priority="907">
      <formula>mgmt_domain_existing_vcf_operations_chosen="Selected"</formula>
    </cfRule>
  </conditionalFormatting>
  <conditionalFormatting sqref="C138:C143">
    <cfRule type="notContainsBlanks" dxfId="639" priority="507">
      <formula>LEN(TRIM(C138))&gt;0</formula>
    </cfRule>
  </conditionalFormatting>
  <conditionalFormatting sqref="C197:C202">
    <cfRule type="containsBlanks" dxfId="637" priority="833">
      <formula>LEN(TRIM(C197))=0</formula>
    </cfRule>
    <cfRule type="expression" dxfId="634" priority="839">
      <formula>AND((VRLI_Result="Excluded"),(VROPS_Result="Excluded"),(VRA_Result="Excluded"))</formula>
    </cfRule>
    <cfRule type="expression" dxfId="629" priority="834">
      <formula>(VROPS_Result="Excluded")</formula>
    </cfRule>
    <cfRule type="notContainsBlanks" dxfId="628" priority="832">
      <formula>LEN(TRIM(C197))&gt;0</formula>
    </cfRule>
    <cfRule type="expression" dxfId="626" priority="830">
      <formula>mgmt_domain_existing_vcf_operations_chosen="Selected"</formula>
    </cfRule>
  </conditionalFormatting>
  <conditionalFormatting sqref="C215:C218">
    <cfRule type="expression" dxfId="622" priority="195">
      <formula>AND((VRLI_Result="Excluded"),(VROPS_Result="Excluded"),(VRA_Result="Excluded"))</formula>
    </cfRule>
    <cfRule type="expression" dxfId="621" priority="186">
      <formula>mgmt_domain_existing_vcf_operations_chosen="Selected"</formula>
    </cfRule>
    <cfRule type="notContainsBlanks" dxfId="619" priority="188">
      <formula>LEN(TRIM(C215))&gt;0</formula>
    </cfRule>
    <cfRule type="containsBlanks" dxfId="618" priority="189">
      <formula>LEN(TRIM(C215))=0</formula>
    </cfRule>
    <cfRule type="expression" dxfId="617" priority="190">
      <formula>(VROPS_Result="Excluded")</formula>
    </cfRule>
  </conditionalFormatting>
  <conditionalFormatting sqref="C222:C230">
    <cfRule type="containsBlanks" dxfId="616" priority="496">
      <formula>LEN(TRIM(C222))=0</formula>
    </cfRule>
    <cfRule type="expression" dxfId="615" priority="493">
      <formula>mgmt_domain_existing_vcf_operations_chosen="Selected"</formula>
    </cfRule>
    <cfRule type="notContainsBlanks" dxfId="613" priority="495">
      <formula>LEN(TRIM(C222))&gt;0</formula>
    </cfRule>
  </conditionalFormatting>
  <conditionalFormatting sqref="E10:F10">
    <cfRule type="expression" dxfId="612" priority="343">
      <formula>wld_multirack_result="Excluded"</formula>
    </cfRule>
    <cfRule type="expression" dxfId="611" priority="344">
      <formula>(vcf_version_chosen&lt;&gt;"Exclude")</formula>
    </cfRule>
    <cfRule type="expression" dxfId="610" priority="342">
      <formula>(vcf_version_result="Excluded")</formula>
    </cfRule>
    <cfRule type="expression" dxfId="609" priority="341">
      <formula>AND((wld_multirack_calc="Include"),(wld_multirack_result="Excluded"))</formula>
    </cfRule>
  </conditionalFormatting>
  <conditionalFormatting sqref="F7:F9">
    <cfRule type="notContainsBlanks" dxfId="605" priority="308">
      <formula>LEN(TRIM(F7))&gt;0</formula>
    </cfRule>
    <cfRule type="containsBlanks" dxfId="604" priority="309">
      <formula>LEN(TRIM(F7))=0</formula>
    </cfRule>
    <cfRule type="expression" dxfId="603" priority="310">
      <formula>(VROPS_Result="Excluded")</formula>
    </cfRule>
    <cfRule type="expression" dxfId="600" priority="306">
      <formula>mgmt_domain_existing_vcf_operations_chosen="Selected"</formula>
    </cfRule>
    <cfRule type="expression" dxfId="597" priority="315">
      <formula>AND((VRLI_Result="Excluded"),(VROPS_Result="Excluded"),(VRA_Result="Excluded"))</formula>
    </cfRule>
  </conditionalFormatting>
  <conditionalFormatting sqref="F14:F22">
    <cfRule type="expression" dxfId="592" priority="803">
      <formula>AND((VRLI_Result="Excluded"),(VROPS_Result="Excluded"),(VRA_Result="Excluded"))</formula>
    </cfRule>
  </conditionalFormatting>
  <conditionalFormatting sqref="F14:F26">
    <cfRule type="expression" dxfId="591" priority="750">
      <formula>(VROPS_Result="Excluded")</formula>
    </cfRule>
    <cfRule type="containsBlanks" dxfId="590" priority="749">
      <formula>LEN(TRIM(F14))=0</formula>
    </cfRule>
    <cfRule type="notContainsBlanks" dxfId="589" priority="748">
      <formula>LEN(TRIM(F14))&gt;0</formula>
    </cfRule>
    <cfRule type="expression" dxfId="587" priority="746">
      <formula>mgmt_domain_existing_vcf_operations_chosen="Selected"</formula>
    </cfRule>
  </conditionalFormatting>
  <conditionalFormatting sqref="F23:F26">
    <cfRule type="expression" dxfId="584" priority="755">
      <formula>AND((VRLI_Result="Excluded"),(VROPS_Result="Excluded"),(VRA_Result="Excluded"))</formula>
    </cfRule>
  </conditionalFormatting>
  <conditionalFormatting sqref="F30:F39">
    <cfRule type="expression" dxfId="578" priority="758">
      <formula>mgmt_domain_existing_vcf_operations_chosen="Selected"</formula>
    </cfRule>
    <cfRule type="notContainsBlanks" dxfId="575" priority="760">
      <formula>LEN(TRIM(F30))&gt;0</formula>
    </cfRule>
    <cfRule type="expression" dxfId="573" priority="827">
      <formula>AND((VRLI_Result="Excluded"),(VROPS_Result="Excluded"),(VRA_Result="Excluded"))</formula>
    </cfRule>
    <cfRule type="containsBlanks" dxfId="571" priority="761">
      <formula>LEN(TRIM(F30))=0</formula>
    </cfRule>
    <cfRule type="expression" dxfId="570" priority="762">
      <formula>(VROPS_Result="Excluded")</formula>
    </cfRule>
  </conditionalFormatting>
  <conditionalFormatting sqref="F43:F47">
    <cfRule type="expression" dxfId="564" priority="815">
      <formula>AND((VRLI_Result="Excluded"),(VROPS_Result="Excluded"),(VRA_Result="Excluded"))</formula>
    </cfRule>
  </conditionalFormatting>
  <conditionalFormatting sqref="F43:F54">
    <cfRule type="containsBlanks" dxfId="562" priority="773">
      <formula>LEN(TRIM(F43))=0</formula>
    </cfRule>
    <cfRule type="notContainsBlanks" dxfId="561" priority="772">
      <formula>LEN(TRIM(F43))&gt;0</formula>
    </cfRule>
    <cfRule type="expression" dxfId="559" priority="770">
      <formula>mgmt_domain_existing_vcf_operations_chosen="Selected"</formula>
    </cfRule>
    <cfRule type="expression" dxfId="556" priority="774">
      <formula>(VROPS_Result="Excluded")</formula>
    </cfRule>
  </conditionalFormatting>
  <conditionalFormatting sqref="F48:F54">
    <cfRule type="expression" dxfId="555" priority="791">
      <formula>AND((VRLI_Result="Excluded"),(VROPS_Result="Excluded"),(VRA_Result="Excluded"))</formula>
    </cfRule>
  </conditionalFormatting>
  <conditionalFormatting sqref="F58">
    <cfRule type="expression" dxfId="549" priority="642">
      <formula>AND((VRLI_Result="Excluded"),(VROPS_Result="Excluded"),(VRA_Result="Excluded"))</formula>
    </cfRule>
  </conditionalFormatting>
  <conditionalFormatting sqref="F58:F59">
    <cfRule type="expression" dxfId="545" priority="637">
      <formula>(VROPS_Result="Excluded")</formula>
    </cfRule>
    <cfRule type="notContainsBlanks" dxfId="543" priority="635">
      <formula>LEN(TRIM(F58))&gt;0</formula>
    </cfRule>
    <cfRule type="containsBlanks" dxfId="542" priority="636">
      <formula>LEN(TRIM(F58))=0</formula>
    </cfRule>
    <cfRule type="expression" dxfId="540" priority="633">
      <formula>mgmt_domain_existing_vcf_operations_chosen="Selected"</formula>
    </cfRule>
  </conditionalFormatting>
  <conditionalFormatting sqref="F59">
    <cfRule type="expression" dxfId="534" priority="654">
      <formula>AND((VRLI_Result="Excluded"),(VROPS_Result="Excluded"),(VRA_Result="Excluded"))</formula>
    </cfRule>
  </conditionalFormatting>
  <conditionalFormatting sqref="F63:F64">
    <cfRule type="expression" dxfId="531" priority="303">
      <formula>AND((VRLI_Result="Excluded"),(VROPS_Result="Excluded"),(VRA_Result="Excluded"))</formula>
    </cfRule>
    <cfRule type="expression" dxfId="530" priority="298">
      <formula>(VROPS_Result="Excluded")</formula>
    </cfRule>
    <cfRule type="containsBlanks" dxfId="529" priority="297">
      <formula>LEN(TRIM(F63))=0</formula>
    </cfRule>
    <cfRule type="notContainsBlanks" dxfId="528" priority="296">
      <formula>LEN(TRIM(F63))&gt;0</formula>
    </cfRule>
    <cfRule type="expression" dxfId="527" priority="294">
      <formula>mgmt_domain_existing_vcf_operations_chosen="Selected"</formula>
    </cfRule>
  </conditionalFormatting>
  <conditionalFormatting sqref="F68">
    <cfRule type="expression" dxfId="520" priority="267">
      <formula>AND((VRLI_Result="Excluded"),(VROPS_Result="Excluded"),(VRA_Result="Excluded"))</formula>
    </cfRule>
    <cfRule type="expression" dxfId="515" priority="262">
      <formula>(VROPS_Result="Excluded")</formula>
    </cfRule>
    <cfRule type="containsBlanks" dxfId="514" priority="261">
      <formula>LEN(TRIM(F68))=0</formula>
    </cfRule>
    <cfRule type="notContainsBlanks" dxfId="513" priority="260">
      <formula>LEN(TRIM(F68))&gt;0</formula>
    </cfRule>
    <cfRule type="expression" dxfId="512" priority="258">
      <formula>mgmt_domain_existing_vcf_operations_chosen="Selected"</formula>
    </cfRule>
  </conditionalFormatting>
  <conditionalFormatting sqref="F70:F75">
    <cfRule type="expression" dxfId="509" priority="255">
      <formula>AND((VRLI_Result="Excluded"),(VROPS_Result="Excluded"),(VRA_Result="Excluded"))</formula>
    </cfRule>
  </conditionalFormatting>
  <conditionalFormatting sqref="F70:F76">
    <cfRule type="expression" dxfId="503" priority="250">
      <formula>(VROPS_Result="Excluded")</formula>
    </cfRule>
    <cfRule type="containsBlanks" dxfId="502" priority="249">
      <formula>LEN(TRIM(F70))=0</formula>
    </cfRule>
    <cfRule type="notContainsBlanks" dxfId="501" priority="248">
      <formula>LEN(TRIM(F70))&gt;0</formula>
    </cfRule>
    <cfRule type="expression" dxfId="498" priority="246">
      <formula>mgmt_domain_existing_vcf_operations_chosen="Selected"</formula>
    </cfRule>
  </conditionalFormatting>
  <conditionalFormatting sqref="F76 F84 C90 F92 F96:F102 C114">
    <cfRule type="expression" dxfId="496" priority="714">
      <formula>AND((VRLI_Result="Excluded"),(VROPS_Result="Excluded"),(VRA_Result="Excluded"))</formula>
    </cfRule>
  </conditionalFormatting>
  <conditionalFormatting sqref="F78:F83">
    <cfRule type="expression" dxfId="493" priority="243">
      <formula>AND((VRLI_Result="Excluded"),(VROPS_Result="Excluded"),(VRA_Result="Excluded"))</formula>
    </cfRule>
  </conditionalFormatting>
  <conditionalFormatting sqref="F78:F84">
    <cfRule type="expression" dxfId="488" priority="238">
      <formula>(VROPS_Result="Excluded")</formula>
    </cfRule>
    <cfRule type="expression" dxfId="485" priority="234">
      <formula>mgmt_domain_existing_vcf_operations_chosen="Selected"</formula>
    </cfRule>
    <cfRule type="notContainsBlanks" dxfId="484" priority="236">
      <formula>LEN(TRIM(F78))&gt;0</formula>
    </cfRule>
    <cfRule type="containsBlanks" dxfId="483" priority="237">
      <formula>LEN(TRIM(F78))=0</formula>
    </cfRule>
  </conditionalFormatting>
  <conditionalFormatting sqref="F86:F91">
    <cfRule type="expression" dxfId="477" priority="231">
      <formula>AND((VRLI_Result="Excluded"),(VROPS_Result="Excluded"),(VRA_Result="Excluded"))</formula>
    </cfRule>
  </conditionalFormatting>
  <conditionalFormatting sqref="F86:F92">
    <cfRule type="expression" dxfId="476" priority="226">
      <formula>(VROPS_Result="Excluded")</formula>
    </cfRule>
    <cfRule type="containsBlanks" dxfId="475" priority="225">
      <formula>LEN(TRIM(F86))=0</formula>
    </cfRule>
    <cfRule type="notContainsBlanks" dxfId="474" priority="224">
      <formula>LEN(TRIM(F86))&gt;0</formula>
    </cfRule>
    <cfRule type="expression" dxfId="470" priority="222">
      <formula>mgmt_domain_existing_vcf_operations_chosen="Selected"</formula>
    </cfRule>
  </conditionalFormatting>
  <conditionalFormatting sqref="F111:F116">
    <cfRule type="expression" dxfId="463" priority="854">
      <formula>mgmt_domain_existing_vcf_operations_chosen="Selected"</formula>
    </cfRule>
    <cfRule type="notContainsBlanks" dxfId="461" priority="856">
      <formula>LEN(TRIM(F111))&gt;0</formula>
    </cfRule>
    <cfRule type="expression" dxfId="458" priority="863">
      <formula>AND((VRLI_Result="Excluded"),(VROPS_Result="Excluded"),(VRA_Result="Excluded"))</formula>
    </cfRule>
    <cfRule type="expression" dxfId="457" priority="858">
      <formula>(VROPS_Result="Excluded")</formula>
    </cfRule>
    <cfRule type="containsBlanks" dxfId="455" priority="857">
      <formula>LEN(TRIM(F111))=0</formula>
    </cfRule>
  </conditionalFormatting>
  <conditionalFormatting sqref="F122:F124">
    <cfRule type="expression" dxfId="452" priority="207">
      <formula>AND((VRLI_Result="Excluded"),(VROPS_Result="Excluded"),(VRA_Result="Excluded"))</formula>
    </cfRule>
  </conditionalFormatting>
  <conditionalFormatting sqref="F122:F126">
    <cfRule type="containsBlanks" dxfId="447" priority="201">
      <formula>LEN(TRIM(F122))=0</formula>
    </cfRule>
    <cfRule type="notContainsBlanks" dxfId="446" priority="200">
      <formula>LEN(TRIM(F122))&gt;0</formula>
    </cfRule>
    <cfRule type="expression" dxfId="444" priority="198">
      <formula>mgmt_domain_existing_vcf_operations_chosen="Selected"</formula>
    </cfRule>
    <cfRule type="expression" dxfId="443" priority="202">
      <formula>(VROPS_Result="Excluded")</formula>
    </cfRule>
  </conditionalFormatting>
  <conditionalFormatting sqref="F132:F137">
    <cfRule type="expression" dxfId="440" priority="524">
      <formula>(VROPS_Result="Excluded")</formula>
    </cfRule>
    <cfRule type="expression" dxfId="435" priority="529">
      <formula>AND((VRLI_Result="Excluded"),(VROPS_Result="Excluded"),(VRA_Result="Excluded"))</formula>
    </cfRule>
  </conditionalFormatting>
  <conditionalFormatting sqref="F132:F140 C232:C242 C244:C251 L254:L262 L330:L365">
    <cfRule type="containsBlanks" dxfId="434" priority="181">
      <formula>LEN(TRIM(C132))=0</formula>
    </cfRule>
    <cfRule type="notContainsBlanks" dxfId="433" priority="180">
      <formula>LEN(TRIM(C132))&gt;0</formula>
    </cfRule>
    <cfRule type="expression" dxfId="432" priority="178">
      <formula>mgmt_domain_existing_vcf_operations_chosen="Selected"</formula>
    </cfRule>
  </conditionalFormatting>
  <conditionalFormatting sqref="F144:F146">
    <cfRule type="expression" dxfId="426" priority="851">
      <formula>AND((VRLI_Result="Excluded"),(VROPS_Result="Excluded"),(VRA_Result="Excluded"))</formula>
    </cfRule>
  </conditionalFormatting>
  <conditionalFormatting sqref="F144:F158">
    <cfRule type="notContainsBlanks" dxfId="422" priority="510">
      <formula>LEN(TRIM(F144))&gt;0</formula>
    </cfRule>
    <cfRule type="expression" dxfId="421" priority="508">
      <formula>mgmt_domain_existing_vcf_operations_chosen="Selected"</formula>
    </cfRule>
    <cfRule type="containsBlanks" dxfId="419" priority="511">
      <formula>LEN(TRIM(F144))=0</formula>
    </cfRule>
    <cfRule type="expression" dxfId="418" priority="512">
      <formula>(VROPS_Result="Excluded")</formula>
    </cfRule>
  </conditionalFormatting>
  <conditionalFormatting sqref="F147">
    <cfRule type="expression" dxfId="413" priority="517">
      <formula>AND((VRLI_Result="Excluded"),(VROPS_Result="Excluded"),(VRA_Result="Excluded"))</formula>
    </cfRule>
  </conditionalFormatting>
  <conditionalFormatting sqref="F148:F152">
    <cfRule type="expression" dxfId="411" priority="541">
      <formula>AND((VRLI_Result="Excluded"),(VROPS_Result="Excluded"),(VRA_Result="Excluded"))</formula>
    </cfRule>
  </conditionalFormatting>
  <conditionalFormatting sqref="F160:F192 C253:C260">
    <cfRule type="containsBlanks" dxfId="407" priority="173">
      <formula>LEN(TRIM(C160))=0</formula>
    </cfRule>
    <cfRule type="notContainsBlanks" dxfId="406" priority="172">
      <formula>LEN(TRIM(C160))&gt;0</formula>
    </cfRule>
    <cfRule type="expression" dxfId="404" priority="170">
      <formula>mgmt_domain_existing_vcf_operations_chosen="Selected"</formula>
    </cfRule>
  </conditionalFormatting>
  <conditionalFormatting sqref="F172:F192">
    <cfRule type="expression" dxfId="403" priority="150">
      <formula>(VROPS_Result="Excluded")</formula>
    </cfRule>
  </conditionalFormatting>
  <conditionalFormatting sqref="F191:F192">
    <cfRule type="expression" dxfId="402" priority="155">
      <formula>AND((VRLI_Result="Excluded"),(VROPS_Result="Excluded"),(VRA_Result="Excluded"))</formula>
    </cfRule>
  </conditionalFormatting>
  <conditionalFormatting sqref="I8:I10 I12:I15 I17:I24 I26:I33 I35:I42 I53:I69 C147:C188">
    <cfRule type="notContainsBlanks" dxfId="395" priority="483">
      <formula>LEN(TRIM(C8))&gt;0</formula>
    </cfRule>
    <cfRule type="containsBlanks" dxfId="394" priority="484">
      <formula>LEN(TRIM(C8))=0</formula>
    </cfRule>
  </conditionalFormatting>
  <conditionalFormatting sqref="I17:I24 I26:I33 I35:I42 I8:I10 I12:I15 I53:I69">
    <cfRule type="expression" dxfId="392" priority="481">
      <formula>mgmt_domain_existing_vcf_operations_chosen="Selected"</formula>
    </cfRule>
  </conditionalFormatting>
  <conditionalFormatting sqref="I17:I24">
    <cfRule type="expression" dxfId="391" priority="326">
      <formula>mgmt_domain_existing_vcf_operations_chosen="Selected"</formula>
    </cfRule>
    <cfRule type="notContainsBlanks" dxfId="389" priority="328">
      <formula>LEN(TRIM(I17))&gt;0</formula>
    </cfRule>
    <cfRule type="containsBlanks" dxfId="388" priority="329">
      <formula>LEN(TRIM(I17))=0</formula>
    </cfRule>
  </conditionalFormatting>
  <conditionalFormatting sqref="I26:I33">
    <cfRule type="containsBlanks" dxfId="387" priority="325">
      <formula>LEN(TRIM(I26))=0</formula>
    </cfRule>
    <cfRule type="expression" dxfId="386" priority="322">
      <formula>mgmt_domain_existing_vcf_operations_chosen="Selected"</formula>
    </cfRule>
    <cfRule type="notContainsBlanks" dxfId="384" priority="324">
      <formula>LEN(TRIM(I26))&gt;0</formula>
    </cfRule>
  </conditionalFormatting>
  <conditionalFormatting sqref="I35:I42">
    <cfRule type="containsBlanks" dxfId="383" priority="321">
      <formula>LEN(TRIM(I35))=0</formula>
    </cfRule>
    <cfRule type="expression" dxfId="381" priority="318">
      <formula>mgmt_domain_existing_vcf_operations_chosen="Selected"</formula>
    </cfRule>
    <cfRule type="notContainsBlanks" dxfId="380" priority="320">
      <formula>LEN(TRIM(I35))&gt;0</formula>
    </cfRule>
  </conditionalFormatting>
  <conditionalFormatting sqref="I44:I51">
    <cfRule type="expression" dxfId="379" priority="32">
      <formula>mgmt_domain_existing_vcf_operations_chosen="Selected"</formula>
    </cfRule>
    <cfRule type="containsBlanks" dxfId="378" priority="31">
      <formula>LEN(TRIM(I44))=0</formula>
    </cfRule>
    <cfRule type="notContainsBlanks" dxfId="377" priority="30">
      <formula>LEN(TRIM(I44))&gt;0</formula>
    </cfRule>
    <cfRule type="expression" dxfId="375" priority="28">
      <formula>mgmt_domain_existing_vcf_operations_chosen="Selected"</formula>
    </cfRule>
    <cfRule type="containsBlanks" dxfId="374" priority="35">
      <formula>LEN(TRIM(I44))=0</formula>
    </cfRule>
    <cfRule type="notContainsBlanks" dxfId="373" priority="34">
      <formula>LEN(TRIM(I44))&gt;0</formula>
    </cfRule>
  </conditionalFormatting>
  <conditionalFormatting sqref="I127:I130 I132:I135 I137:I140 I105:I125">
    <cfRule type="expression" dxfId="370" priority="465">
      <formula>AND((VRLI_Result="Excluded"),(VROPS_Result="Excluded"),(VRA_Result="Excluded"))</formula>
    </cfRule>
  </conditionalFormatting>
  <conditionalFormatting sqref="I127:I130 I132:I135 I137:I140">
    <cfRule type="expression" dxfId="369" priority="461">
      <formula>(VROPS_Result="Excluded")</formula>
    </cfRule>
    <cfRule type="notContainsBlanks" dxfId="365" priority="459">
      <formula>LEN(TRIM(I127))&gt;0</formula>
    </cfRule>
    <cfRule type="expression" dxfId="364" priority="457">
      <formula>mgmt_domain_existing_vcf_operations_chosen="Selected"</formula>
    </cfRule>
    <cfRule type="containsBlanks" dxfId="363" priority="460">
      <formula>LEN(TRIM(I127))=0</formula>
    </cfRule>
  </conditionalFormatting>
  <conditionalFormatting sqref="I142:I145 I147:I150">
    <cfRule type="expression" dxfId="359" priority="453">
      <formula>AND((VRLI_Result="Excluded"),(VROPS_Result="Excluded"),(VRA_Result="Excluded"))</formula>
    </cfRule>
    <cfRule type="expression" dxfId="356" priority="449">
      <formula>(VROPS_Result="Excluded")</formula>
    </cfRule>
    <cfRule type="containsBlanks" dxfId="355" priority="448">
      <formula>LEN(TRIM(I142))=0</formula>
    </cfRule>
    <cfRule type="notContainsBlanks" dxfId="354" priority="447">
      <formula>LEN(TRIM(I142))&gt;0</formula>
    </cfRule>
    <cfRule type="expression" dxfId="352" priority="445">
      <formula>mgmt_domain_existing_vcf_operations_chosen="Selected"</formula>
    </cfRule>
  </conditionalFormatting>
  <conditionalFormatting sqref="I152:I155">
    <cfRule type="expression" dxfId="348" priority="429">
      <formula>AND((VRLI_Result="Excluded"),(VROPS_Result="Excluded"),(VRA_Result="Excluded"))</formula>
    </cfRule>
    <cfRule type="expression" dxfId="345" priority="421">
      <formula>mgmt_domain_existing_vcf_operations_chosen="Selected"</formula>
    </cfRule>
    <cfRule type="notContainsBlanks" dxfId="343" priority="423">
      <formula>LEN(TRIM(I152))&gt;0</formula>
    </cfRule>
    <cfRule type="containsBlanks" dxfId="342" priority="424">
      <formula>LEN(TRIM(I152))=0</formula>
    </cfRule>
    <cfRule type="expression" dxfId="341" priority="425">
      <formula>(VROPS_Result="Excluded")</formula>
    </cfRule>
  </conditionalFormatting>
  <conditionalFormatting sqref="I157:I160">
    <cfRule type="expression" dxfId="336" priority="417">
      <formula>AND((VRLI_Result="Excluded"),(VROPS_Result="Excluded"),(VRA_Result="Excluded"))</formula>
    </cfRule>
  </conditionalFormatting>
  <conditionalFormatting sqref="I157:I174 L254:L260 L330:L351 L354:L365">
    <cfRule type="expression" dxfId="334" priority="413">
      <formula>(VROPS_Result="Excluded")</formula>
    </cfRule>
  </conditionalFormatting>
  <conditionalFormatting sqref="I157:I174">
    <cfRule type="expression" dxfId="333" priority="409">
      <formula>mgmt_domain_existing_vcf_operations_chosen="Selected"</formula>
    </cfRule>
    <cfRule type="notContainsBlanks" dxfId="331" priority="411">
      <formula>LEN(TRIM(I157))&gt;0</formula>
    </cfRule>
    <cfRule type="containsBlanks" dxfId="330" priority="412">
      <formula>LEN(TRIM(I157))=0</formula>
    </cfRule>
  </conditionalFormatting>
  <conditionalFormatting sqref="I161:I174">
    <cfRule type="expression" dxfId="329" priority="441">
      <formula>AND((VRLI_Result="Excluded"),(VROPS_Result="Excluded"),(VRA_Result="Excluded"))</formula>
    </cfRule>
  </conditionalFormatting>
  <conditionalFormatting sqref="I249:I256">
    <cfRule type="notContainsBlanks" dxfId="324" priority="22">
      <formula>LEN(TRIM(I249))&gt;0</formula>
    </cfRule>
    <cfRule type="expression" dxfId="323" priority="20">
      <formula>mgmt_domain_existing_vcf_operations_chosen="Selected"</formula>
    </cfRule>
    <cfRule type="containsBlanks" dxfId="322" priority="23">
      <formula>LEN(TRIM(I249))=0</formula>
    </cfRule>
  </conditionalFormatting>
  <conditionalFormatting sqref="I249:I312">
    <cfRule type="expression" dxfId="320" priority="24">
      <formula>mgmt_domain_existing_vcf_operations_chosen="Selected"</formula>
    </cfRule>
    <cfRule type="notContainsBlanks" dxfId="319" priority="26">
      <formula>LEN(TRIM(I249))&gt;0</formula>
    </cfRule>
    <cfRule type="containsBlanks" dxfId="318" priority="27">
      <formula>LEN(TRIM(I249))=0</formula>
    </cfRule>
  </conditionalFormatting>
  <conditionalFormatting sqref="L39">
    <cfRule type="expression" dxfId="316" priority="618">
      <formula>AND((VRLI_Result="Excluded"),(VROPS_Result="Excluded"),(VRA_Result="Excluded"))</formula>
    </cfRule>
  </conditionalFormatting>
  <conditionalFormatting sqref="L60:L62">
    <cfRule type="expression" dxfId="312" priority="5366">
      <formula>AND(VVD_Result="Excluded",ISBLANK(#REF!))</formula>
    </cfRule>
  </conditionalFormatting>
  <conditionalFormatting sqref="L66:L67">
    <cfRule type="expression" dxfId="311" priority="2694">
      <formula>AND(VVD_Result="Excluded",ISBLANK(#REF!))</formula>
    </cfRule>
  </conditionalFormatting>
  <conditionalFormatting sqref="L68">
    <cfRule type="expression" dxfId="307" priority="5351">
      <formula>AND(VVD_Result="Excluded",ISBLANK(#REF!))</formula>
    </cfRule>
  </conditionalFormatting>
  <conditionalFormatting sqref="L97:L98 L111:L122">
    <cfRule type="expression" dxfId="293" priority="1532">
      <formula>(VVD_Result="Excluded")</formula>
    </cfRule>
  </conditionalFormatting>
  <conditionalFormatting sqref="L100">
    <cfRule type="expression" dxfId="292" priority="2029">
      <formula>OR((VROPS_Result="Excluded"),(VRA_Result="Excluded"))</formula>
    </cfRule>
  </conditionalFormatting>
  <conditionalFormatting sqref="L101">
    <cfRule type="expression" dxfId="291" priority="2028">
      <formula>(VRLI_Result="Excluded")</formula>
    </cfRule>
  </conditionalFormatting>
  <conditionalFormatting sqref="L102">
    <cfRule type="expression" dxfId="290" priority="2027">
      <formula>OR((VRLI_Result="Excluded"),(VROPS_Result="Excluded"))</formula>
    </cfRule>
  </conditionalFormatting>
  <conditionalFormatting sqref="L107">
    <cfRule type="expression" dxfId="285" priority="2025">
      <formula>OR((VROPS_Result="Excluded"),(VRA_Result="Excluded"))</formula>
    </cfRule>
  </conditionalFormatting>
  <conditionalFormatting sqref="L126:L127">
    <cfRule type="expression" dxfId="283" priority="2276">
      <formula>(VVD_Result="Excluded")</formula>
    </cfRule>
  </conditionalFormatting>
  <conditionalFormatting sqref="L131:L132">
    <cfRule type="expression" dxfId="280" priority="2084">
      <formula>OR((VVD_Result="Excluded"),(tanzu_result="Excluded"))</formula>
    </cfRule>
  </conditionalFormatting>
  <conditionalFormatting sqref="L145:L151 L103:L106">
    <cfRule type="expression" dxfId="279" priority="2022">
      <formula>(VRA_Result="Excluded")</formula>
    </cfRule>
  </conditionalFormatting>
  <conditionalFormatting sqref="L164">
    <cfRule type="expression" dxfId="278" priority="1529">
      <formula>(VVD_Result="Excluded")</formula>
    </cfRule>
  </conditionalFormatting>
  <conditionalFormatting sqref="L167:L179 C37:C49">
    <cfRule type="expression" dxfId="275" priority="621">
      <formula>mgmt_domain_existing_vcf_operations_chosen="Selected"</formula>
    </cfRule>
  </conditionalFormatting>
  <conditionalFormatting sqref="L179">
    <cfRule type="expression" dxfId="274" priority="582">
      <formula>AND((VRLI_Result="Excluded"),(VROPS_Result="Excluded"),(VRA_Result="Excluded"))</formula>
    </cfRule>
  </conditionalFormatting>
  <conditionalFormatting sqref="L229">
    <cfRule type="containsBlanks" dxfId="272" priority="99">
      <formula>LEN(TRIM(L229))=0</formula>
    </cfRule>
    <cfRule type="notContainsBlanks" dxfId="271" priority="98">
      <formula>LEN(TRIM(L229))&gt;0</formula>
    </cfRule>
    <cfRule type="expression" dxfId="269" priority="96">
      <formula>mgmt_domain_existing_vcf_operations_chosen="Selected"</formula>
    </cfRule>
    <cfRule type="expression" dxfId="268" priority="100">
      <formula>(VROPS_Result="Excluded")</formula>
    </cfRule>
  </conditionalFormatting>
  <conditionalFormatting sqref="L234:L252">
    <cfRule type="expression" dxfId="264" priority="106">
      <formula>(VROPS_Result="Excluded")</formula>
    </cfRule>
    <cfRule type="containsBlanks" dxfId="263" priority="105">
      <formula>LEN(TRIM(L234))=0</formula>
    </cfRule>
    <cfRule type="notContainsBlanks" dxfId="262" priority="104">
      <formula>LEN(TRIM(L234))&gt;0</formula>
    </cfRule>
    <cfRule type="expression" dxfId="261" priority="102">
      <formula>mgmt_domain_existing_vcf_operations_chosen="Selected"</formula>
    </cfRule>
  </conditionalFormatting>
  <conditionalFormatting sqref="L269:L272">
    <cfRule type="expression" dxfId="260" priority="78">
      <formula>mgmt_domain_existing_vcf_operations_chosen="Selected"</formula>
    </cfRule>
    <cfRule type="notContainsBlanks" dxfId="258" priority="80">
      <formula>LEN(TRIM(L269))&gt;0</formula>
    </cfRule>
    <cfRule type="containsBlanks" dxfId="257" priority="81">
      <formula>LEN(TRIM(L269))=0</formula>
    </cfRule>
    <cfRule type="expression" dxfId="256" priority="82">
      <formula>(VROPS_Result="Excluded")</formula>
    </cfRule>
  </conditionalFormatting>
  <conditionalFormatting sqref="L274:L284">
    <cfRule type="notContainsBlanks" dxfId="254" priority="74">
      <formula>LEN(TRIM(L274))&gt;0</formula>
    </cfRule>
    <cfRule type="containsBlanks" dxfId="252" priority="75">
      <formula>LEN(TRIM(L274))=0</formula>
    </cfRule>
    <cfRule type="expression" dxfId="251" priority="76">
      <formula>(VROPS_Result="Excluded")</formula>
    </cfRule>
    <cfRule type="expression" dxfId="249" priority="72">
      <formula>mgmt_domain_existing_vcf_operations_chosen="Selected"</formula>
    </cfRule>
  </conditionalFormatting>
  <conditionalFormatting sqref="Q106">
    <cfRule type="expression" dxfId="247" priority="1451">
      <formula>AND((VRLI_Result="Excluded"),(VROPS_Result="Excluded"),(VRA_Result="Excluded"))</formula>
    </cfRule>
  </conditionalFormatting>
  <conditionalFormatting sqref="Q112">
    <cfRule type="expression" dxfId="246" priority="1442">
      <formula>AND((VRLI_Result="Excluded"),(VROPS_Result="Excluded"),(VRA_Result="Excluded"))</formula>
    </cfRule>
  </conditionalFormatting>
  <conditionalFormatting sqref="Q117">
    <cfRule type="expression" dxfId="245" priority="1441">
      <formula>AND((VRLI_Result="Excluded"),(VROPS_Result="Excluded"),(VRA_Result="Excluded"))</formula>
    </cfRule>
  </conditionalFormatting>
  <conditionalFormatting sqref="Q122">
    <cfRule type="expression" dxfId="244" priority="1444">
      <formula>AND((VRLI_Result="Excluded"),(VROPS_Result="Excluded"),(VRA_Result="Excluded"))</formula>
    </cfRule>
  </conditionalFormatting>
  <conditionalFormatting sqref="Q127">
    <cfRule type="expression" dxfId="243" priority="1443">
      <formula>AND((VRLI_Result="Excluded"),(VROPS_Result="Excluded"),(VRA_Result="Excluded"))</formula>
    </cfRule>
  </conditionalFormatting>
  <conditionalFormatting sqref="R8 L152:L160 R16 R12 T6 K13">
    <cfRule type="expression" dxfId="242" priority="1976">
      <formula>AND((VRLI_Result="Excluded"),(VROPS_Result="Excluded"),(VRA_Result="Excluded"))</formula>
    </cfRule>
  </conditionalFormatting>
  <conditionalFormatting sqref="R8">
    <cfRule type="expression" dxfId="237" priority="1017">
      <formula>mgmt_domain_existing_vcf_operations_chosen="Selected"</formula>
    </cfRule>
    <cfRule type="notContainsBlanks" dxfId="235" priority="1019">
      <formula>LEN(TRIM(R8))&gt;0</formula>
    </cfRule>
    <cfRule type="containsBlanks" dxfId="234" priority="1020">
      <formula>LEN(TRIM(R8))=0</formula>
    </cfRule>
    <cfRule type="expression" dxfId="233" priority="1021">
      <formula>(VROPS_Result="Excluded")</formula>
    </cfRule>
  </conditionalFormatting>
  <conditionalFormatting sqref="R12">
    <cfRule type="expression" dxfId="226" priority="995">
      <formula>(VROPS_Result="Excluded")</formula>
    </cfRule>
    <cfRule type="expression" dxfId="225" priority="991">
      <formula>mgmt_domain_existing_vcf_operations_chosen="Selected"</formula>
    </cfRule>
    <cfRule type="notContainsBlanks" dxfId="223" priority="993">
      <formula>LEN(TRIM(R12))&gt;0</formula>
    </cfRule>
    <cfRule type="containsBlanks" dxfId="222" priority="994">
      <formula>LEN(TRIM(R12))=0</formula>
    </cfRule>
  </conditionalFormatting>
  <conditionalFormatting sqref="R16">
    <cfRule type="expression" dxfId="211" priority="1009">
      <formula>(VROPS_Result="Excluded")</formula>
    </cfRule>
    <cfRule type="containsBlanks" dxfId="210" priority="1008">
      <formula>LEN(TRIM(R16))=0</formula>
    </cfRule>
    <cfRule type="notContainsBlanks" dxfId="209" priority="1007">
      <formula>LEN(TRIM(R16))&gt;0</formula>
    </cfRule>
    <cfRule type="expression" dxfId="207" priority="1005">
      <formula>mgmt_domain_existing_vcf_operations_chosen="Selected"</formula>
    </cfRule>
  </conditionalFormatting>
  <conditionalFormatting sqref="R38:R43">
    <cfRule type="notContainsBlanks" dxfId="199" priority="978">
      <formula>LEN(TRIM(R38))&gt;0</formula>
    </cfRule>
    <cfRule type="containsBlanks" dxfId="198" priority="979">
      <formula>LEN(TRIM(R38))=0</formula>
    </cfRule>
    <cfRule type="expression" dxfId="197" priority="976">
      <formula>mgmt_domain_existing_vcf_operations_chosen="Selected"</formula>
    </cfRule>
    <cfRule type="expression" dxfId="195" priority="980">
      <formula>(VROPS_Result="Excluded")</formula>
    </cfRule>
    <cfRule type="expression" dxfId="189" priority="990">
      <formula>AND((VRLI_Result="Excluded"),(VROPS_Result="Excluded"),(VRA_Result="Excluded"))</formula>
    </cfRule>
  </conditionalFormatting>
  <conditionalFormatting sqref="R48">
    <cfRule type="expression" dxfId="184" priority="975">
      <formula>AND((VRLI_Result="Excluded"),(VROPS_Result="Excluded"),(VRA_Result="Excluded"))</formula>
    </cfRule>
    <cfRule type="expression" dxfId="183" priority="961">
      <formula>mgmt_domain_existing_vcf_operations_chosen="Selected"</formula>
    </cfRule>
    <cfRule type="notContainsBlanks" dxfId="180" priority="963">
      <formula>LEN(TRIM(R48))&gt;0</formula>
    </cfRule>
    <cfRule type="containsBlanks" dxfId="179" priority="964">
      <formula>LEN(TRIM(R48))=0</formula>
    </cfRule>
    <cfRule type="expression" dxfId="178" priority="965">
      <formula>(VROPS_Result="Excluded")</formula>
    </cfRule>
  </conditionalFormatting>
  <conditionalFormatting sqref="R52">
    <cfRule type="expression" dxfId="169" priority="950">
      <formula>(VROPS_Result="Excluded")</formula>
    </cfRule>
    <cfRule type="expression" dxfId="167" priority="960">
      <formula>AND((VRLI_Result="Excluded"),(VROPS_Result="Excluded"),(VRA_Result="Excluded"))</formula>
    </cfRule>
    <cfRule type="containsBlanks" dxfId="166" priority="949">
      <formula>LEN(TRIM(R52))=0</formula>
    </cfRule>
    <cfRule type="notContainsBlanks" dxfId="163" priority="948">
      <formula>LEN(TRIM(R52))&gt;0</formula>
    </cfRule>
    <cfRule type="expression" dxfId="160" priority="946">
      <formula>mgmt_domain_existing_vcf_operations_chosen="Selected"</formula>
    </cfRule>
  </conditionalFormatting>
  <conditionalFormatting sqref="R56:R59">
    <cfRule type="expression" dxfId="157" priority="2053">
      <formula>(VRLI_Result="Excluded")</formula>
    </cfRule>
  </conditionalFormatting>
  <conditionalFormatting sqref="R63:R66">
    <cfRule type="expression" dxfId="155" priority="2065">
      <formula>(VRLI_Result="Excluded")</formula>
    </cfRule>
  </conditionalFormatting>
  <conditionalFormatting sqref="R70:R73">
    <cfRule type="expression" dxfId="154" priority="2039">
      <formula>(VRLI_Result="Excluded")</formula>
    </cfRule>
  </conditionalFormatting>
  <conditionalFormatting sqref="R85:R88 L99">
    <cfRule type="expression" dxfId="152" priority="2066">
      <formula>(VROPS_Result="Excluded")</formula>
    </cfRule>
  </conditionalFormatting>
  <conditionalFormatting sqref="R85:R89">
    <cfRule type="expression" dxfId="150" priority="1029">
      <formula>mgmt_domain_existing_vcf_operations_chosen="Selected"</formula>
    </cfRule>
    <cfRule type="notContainsBlanks" dxfId="149" priority="1031">
      <formula>LEN(TRIM(R85))&gt;0</formula>
    </cfRule>
    <cfRule type="containsBlanks" dxfId="148" priority="1032">
      <formula>LEN(TRIM(R85))=0</formula>
    </cfRule>
  </conditionalFormatting>
  <conditionalFormatting sqref="R93:R97">
    <cfRule type="containsBlanks" dxfId="146" priority="1028">
      <formula>LEN(TRIM(R93))=0</formula>
    </cfRule>
    <cfRule type="notContainsBlanks" dxfId="145" priority="1027">
      <formula>LEN(TRIM(R93))&gt;0</formula>
    </cfRule>
    <cfRule type="expression" dxfId="143" priority="1025">
      <formula>mgmt_domain_existing_vcf_operations_chosen="Selected"</formula>
    </cfRule>
  </conditionalFormatting>
  <conditionalFormatting sqref="R134:R135">
    <cfRule type="expression" dxfId="132" priority="1140">
      <formula>(VROPS_Result="Excluded")</formula>
    </cfRule>
  </conditionalFormatting>
  <conditionalFormatting sqref="R139:R140">
    <cfRule type="expression" dxfId="124" priority="1145">
      <formula>(VRLI_Result="Excluded")</formula>
    </cfRule>
  </conditionalFormatting>
  <conditionalFormatting sqref="T42">
    <cfRule type="expression" dxfId="122" priority="1054">
      <formula>AND((VRLI_Result="Excluded"),(VROPS_Result="Excluded"),(VRA_Result="Excluded"))</formula>
    </cfRule>
  </conditionalFormatting>
  <conditionalFormatting sqref="T50">
    <cfRule type="expression" dxfId="121" priority="1430">
      <formula>AND((VRLI_Result="Excluded"),(VROPS_Result="Excluded"),(VRA_Result="Excluded"))</formula>
    </cfRule>
  </conditionalFormatting>
  <conditionalFormatting sqref="T125">
    <cfRule type="expression" dxfId="120" priority="1161">
      <formula>AND((VRLI_Result="Excluded"),(VROPS_Result="Excluded"),(VRA_Result="Excluded"))</formula>
    </cfRule>
  </conditionalFormatting>
  <conditionalFormatting sqref="T155">
    <cfRule type="expression" dxfId="119" priority="1224">
      <formula>AND((VRLI_Result="Excluded"),(VROPS_Result="Excluded"),(VRA_Result="Excluded"))</formula>
    </cfRule>
  </conditionalFormatting>
  <conditionalFormatting sqref="T190">
    <cfRule type="expression" dxfId="118" priority="65">
      <formula>AND((VRLI_Result="Excluded"),(VROPS_Result="Excluded"),(VRA_Result="Excluded"))</formula>
    </cfRule>
  </conditionalFormatting>
  <conditionalFormatting sqref="T62:U62">
    <cfRule type="expression" dxfId="117" priority="1466">
      <formula>AND((VRLI_Result="Excluded"),(VROPS_Result="Excluded"),(VRA_Result="Excluded"))</formula>
    </cfRule>
  </conditionalFormatting>
  <conditionalFormatting sqref="T101:U101">
    <cfRule type="expression" dxfId="116" priority="1462">
      <formula>AND((VRLI_Result="Excluded"),(VROPS_Result="Excluded"),(VRA_Result="Excluded"))</formula>
    </cfRule>
  </conditionalFormatting>
  <conditionalFormatting sqref="U52:U60">
    <cfRule type="expression" dxfId="110" priority="1427">
      <formula>(VROPS_Result="Excluded")</formula>
    </cfRule>
  </conditionalFormatting>
  <conditionalFormatting sqref="U55:U60">
    <cfRule type="expression" dxfId="107" priority="1327">
      <formula>(VROPS_Result="Excluded")</formula>
    </cfRule>
  </conditionalFormatting>
  <conditionalFormatting sqref="U64">
    <cfRule type="expression" dxfId="104" priority="1372">
      <formula>(VROPS_Result="Excluded")</formula>
    </cfRule>
  </conditionalFormatting>
  <conditionalFormatting sqref="U64:U98 U103:U122 R77:R81">
    <cfRule type="expression" dxfId="101" priority="2054">
      <formula>(VROPS_Result="Excluded")</formula>
    </cfRule>
  </conditionalFormatting>
  <conditionalFormatting sqref="U71:U72">
    <cfRule type="expression" dxfId="98" priority="1416">
      <formula>(VROPS_Result="Excluded")</formula>
    </cfRule>
  </conditionalFormatting>
  <conditionalFormatting sqref="U79">
    <cfRule type="expression" dxfId="96" priority="1413">
      <formula>(VROPS_Result="Excluded")</formula>
    </cfRule>
  </conditionalFormatting>
  <conditionalFormatting sqref="U80 L139:L141">
    <cfRule type="expression" dxfId="94" priority="1992">
      <formula>(VROPS_Result="Excluded")</formula>
    </cfRule>
  </conditionalFormatting>
  <conditionalFormatting sqref="U91:U99">
    <cfRule type="expression" dxfId="89" priority="1380">
      <formula>(VROPS_Result="Excluded")</formula>
    </cfRule>
  </conditionalFormatting>
  <conditionalFormatting sqref="U191:U211">
    <cfRule type="containsBlanks" dxfId="85" priority="177">
      <formula>LEN(TRIM(U191))=0</formula>
    </cfRule>
    <cfRule type="notContainsBlanks" dxfId="84" priority="176">
      <formula>LEN(TRIM(U191))&gt;0</formula>
    </cfRule>
    <cfRule type="expression" dxfId="82" priority="174">
      <formula>mgmt_domain_existing_vcf_operations_chosen="Selected"</formula>
    </cfRule>
  </conditionalFormatting>
  <conditionalFormatting sqref="U212">
    <cfRule type="expression" dxfId="81" priority="43">
      <formula>mgmt_tier0_skip_chosen="Selected"</formula>
    </cfRule>
    <cfRule type="notContainsBlanks" dxfId="79" priority="45">
      <formula>LEN(TRIM(U212))&gt;0</formula>
    </cfRule>
    <cfRule type="containsBlanks" dxfId="78" priority="46">
      <formula>LEN(TRIM(U212))=0</formula>
    </cfRule>
    <cfRule type="expression" dxfId="77" priority="42">
      <formula>mgmt_vns_result="Excluded"</formula>
    </cfRule>
  </conditionalFormatting>
  <conditionalFormatting sqref="Z6">
    <cfRule type="expression" dxfId="48" priority="1979">
      <formula>AND((VRLI_Result="Excluded"),(VROPS_Result="Excluded"),(VRA_Result="Excluded"))</formula>
    </cfRule>
  </conditionalFormatting>
  <conditionalFormatting sqref="AA8:AA28 Q99">
    <cfRule type="expression" dxfId="45" priority="1458">
      <formula>AND((VRLI_Result="Excluded"),(VROPS_Result="Excluded"),(VRA_Result="Excluded"))</formula>
    </cfRule>
  </conditionalFormatting>
  <conditionalFormatting sqref="AA29">
    <cfRule type="expression" dxfId="41" priority="1904">
      <formula>(VRA_Result="Excluded")</formula>
    </cfRule>
  </conditionalFormatting>
  <conditionalFormatting sqref="AA30:AA32">
    <cfRule type="expression" dxfId="38" priority="1688">
      <formula>AND((VRLI_Result="Excluded"),(VROPS_Result="Excluded"),(VRA_Result="Excluded"))</formula>
    </cfRule>
  </conditionalFormatting>
  <conditionalFormatting sqref="AA94:AA106 L133:L138">
    <cfRule type="expression" dxfId="22" priority="1998">
      <formula>AND((VRLI_Result="Excluded"),(VROPS_Result="Excluded"),(VRA_Result="Excluded"))</formula>
    </cfRule>
  </conditionalFormatting>
  <conditionalFormatting sqref="AA107">
    <cfRule type="expression" dxfId="20" priority="1033">
      <formula>(mgmt_consolidated_chosen="Exclude")</formula>
    </cfRule>
    <cfRule type="expression" dxfId="19"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C00-000000000000}"/>
    <hyperlink ref="O53" r:id="rId2" display="mailto:administrator@vsphere.local" xr:uid="{00000000-0004-0000-0C00-000001000000}"/>
    <hyperlink ref="L97" r:id="rId3" xr:uid="{00000000-0004-0000-0C00-000002000000}"/>
    <hyperlink ref="L98" r:id="rId4" xr:uid="{00000000-0004-0000-0C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F172:F190 I105:I125</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C92:C97 C99:C104 C106:C111 C118:C124 I178:I197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containsText" priority="632" operator="containsText" id="{45654649-EFE1-A540-A197-6FEA8676699E}">
            <xm:f>NOT(ISERROR(SEARCH("Value Missing",C37)))</xm:f>
            <xm:f>"Value Missing"</xm:f>
            <x14:dxf>
              <font>
                <color rgb="FF9C0006"/>
              </font>
              <fill>
                <patternFill>
                  <bgColor rgb="FFFFC7CE"/>
                </patternFill>
              </fill>
            </x14:dxf>
          </x14:cfRule>
          <x14:cfRule type="notContainsText" priority="631" operator="notContains" id="{3F626B30-2739-4949-A2CF-049038D959E0}">
            <xm:f>ISERROR(SEARCH("Value Missing",C37))</xm:f>
            <xm:f>"Value Missing"</xm:f>
            <x14:dxf>
              <font>
                <color rgb="FF006100"/>
              </font>
              <fill>
                <patternFill>
                  <bgColor rgb="FFC6EFCE"/>
                </patternFill>
              </fill>
            </x14:dxf>
          </x14:cfRule>
          <x14:cfRule type="containsText" priority="622" stopIfTrue="1" operator="containsText" id="{139CEF10-6B32-8E46-AF0B-73F806C72281}">
            <xm:f>NOT(ISERROR(SEARCH("Value Missing",C37)))</xm:f>
            <xm:f>"Value Missing"</xm:f>
            <x14:dxf>
              <font>
                <color rgb="FF0E223A"/>
              </font>
              <fill>
                <patternFill>
                  <bgColor rgb="FFFFBE29"/>
                </patternFill>
              </fill>
            </x14:dxf>
          </x14:cfRule>
          <xm:sqref>C37:C49 L167:L179</xm:sqref>
        </x14:conditionalFormatting>
        <x14:conditionalFormatting xmlns:xm="http://schemas.microsoft.com/office/excel/2006/main">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6" operator="notContains" id="{FED53504-F98F-8540-A345-EE292A0E8991}">
            <xm:f>ISERROR(SEARCH("Value Missing",C49))</xm:f>
            <xm:f>"Value Missing"</xm:f>
            <x14:dxf>
              <font>
                <color rgb="FF006100"/>
              </font>
              <fill>
                <patternFill>
                  <bgColor rgb="FFC6EFCE"/>
                </patternFill>
              </fill>
            </x14:dxf>
          </x14:cfRule>
          <xm:sqref>C49</xm:sqref>
        </x14:conditionalFormatting>
        <x14:conditionalFormatting xmlns:xm="http://schemas.microsoft.com/office/excel/2006/main">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08" stopIfTrue="1" operator="containsText" id="{196DA387-4BB6-CF4F-B80D-AD3FB0D0A3B0}">
            <xm:f>NOT(ISERROR(SEARCH("Value Missing",C53)))</xm:f>
            <xm:f>"Value Missing"</xm:f>
            <x14:dxf>
              <font>
                <color rgb="FF0E223A"/>
              </font>
              <fill>
                <patternFill>
                  <bgColor rgb="FFFFBE29"/>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m:sqref>C53:C67 C138:C143</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F125:F126 C217:C218 F172:F190</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F125:F126 C217:C218</xm:sqref>
        </x14:conditionalFormatting>
        <x14:conditionalFormatting xmlns:xm="http://schemas.microsoft.com/office/excel/2006/main">
          <x14:cfRule type="containsText" priority="874" operator="containsText" id="{42430647-ECE9-7145-89A7-D69739395044}">
            <xm:f>NOT(ISERROR(SEARCH("Value Missing",C71)))</xm:f>
            <xm:f>"Value Missing"</xm:f>
            <x14:dxf>
              <font>
                <color rgb="FF9C0006"/>
              </font>
              <fill>
                <patternFill>
                  <bgColor rgb="FFFFC7CE"/>
                </patternFill>
              </fill>
            </x14:dxf>
          </x14:cfRule>
          <x14:cfRule type="notContainsText" priority="873" operator="notContains" id="{B90AA90A-F22C-9142-B488-C285EDBC0C8D}">
            <xm:f>ISERROR(SEARCH("Value Missing",C71))</xm:f>
            <xm:f>"Value Missing"</xm:f>
            <x14:dxf>
              <font>
                <color rgb="FF006100"/>
              </font>
              <fill>
                <patternFill>
                  <bgColor rgb="FFC6EFCE"/>
                </patternFill>
              </fill>
            </x14:dxf>
          </x14:cfRule>
          <xm:sqref>C71:C72 F125:F126</xm:sqref>
        </x14:conditionalFormatting>
        <x14:conditionalFormatting xmlns:xm="http://schemas.microsoft.com/office/excel/2006/main">
          <x14:cfRule type="containsText" priority="872" operator="containsText" id="{E9A5B4EF-85A9-7B4C-B1A6-403A97BCAD7B}">
            <xm:f>NOT(ISERROR(SEARCH("Value Missing",C71)))</xm:f>
            <xm:f>"Value Missing"</xm:f>
            <x14:dxf>
              <font>
                <color rgb="FF9C0006"/>
              </font>
              <fill>
                <patternFill>
                  <bgColor rgb="FFFFC7CE"/>
                </patternFill>
              </fill>
            </x14:dxf>
          </x14:cfRule>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notContainsText" priority="871" operator="notContains" id="{04B390F6-D85C-164A-B336-373BA07B0F8D}">
            <xm:f>ISERROR(SEARCH("Value Missing",C71))</xm:f>
            <xm:f>"Value Missing"</xm:f>
            <x14:dxf>
              <font>
                <color rgb="FF006100"/>
              </font>
              <fill>
                <patternFill>
                  <bgColor rgb="FFC6EFCE"/>
                </patternFill>
              </fill>
            </x14:dxf>
          </x14:cfRule>
          <xm:sqref>C71:C72</xm:sqref>
        </x14:conditionalFormatting>
        <x14:conditionalFormatting xmlns:xm="http://schemas.microsoft.com/office/excel/2006/main">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14:cfRule type="notContainsText" priority="901" operator="notContains" id="{5A60A5FE-8485-104F-A2E0-FEB93A7D9DBB}">
            <xm:f>ISERROR(SEARCH("Value Missing",C76))</xm:f>
            <xm:f>"Value Missing"</xm:f>
            <x14:dxf>
              <font>
                <color rgb="FF006100"/>
              </font>
              <fill>
                <patternFill>
                  <bgColor rgb="FFC6EFCE"/>
                </patternFill>
              </fill>
            </x14:dxf>
          </x14:cfRule>
          <xm:sqref>C76:C85</xm:sqref>
        </x14:conditionalFormatting>
        <x14:conditionalFormatting xmlns:xm="http://schemas.microsoft.com/office/excel/2006/main">
          <x14:cfRule type="containsText" priority="740" operator="containsText" id="{A8E1A3D0-401E-5A41-8700-6960D5A1FC10}">
            <xm:f>NOT(ISERROR(SEARCH("Value Missing",C76)))</xm:f>
            <xm:f>"Value Missing"</xm:f>
            <x14:dxf>
              <font>
                <color rgb="FF9C0006"/>
              </font>
              <fill>
                <patternFill>
                  <bgColor rgb="FFFFC7CE"/>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14:cfRule type="containsText" priority="730" stopIfTrue="1" operator="containsText" id="{0E05923D-6B83-244F-BFB2-4896DDCFF4ED}">
            <xm:f>NOT(ISERROR(SEARCH("Value Missing",C76)))</xm:f>
            <xm:f>"Value Missing"</xm:f>
            <x14:dxf>
              <font>
                <color rgb="FF0E223A"/>
              </font>
              <fill>
                <patternFill>
                  <bgColor rgb="FFFFBE29"/>
                </patternFill>
              </fill>
            </x14:dxf>
          </x14:cfRule>
          <xm:sqref>C76:C86</xm:sqref>
        </x14:conditionalFormatting>
        <x14:conditionalFormatting xmlns:xm="http://schemas.microsoft.com/office/excel/2006/main">
          <x14:cfRule type="containsText" priority="737" operator="containsText" id="{463A4E4F-0B20-2F43-B440-772F3B3C8605}">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notContainsText" priority="734" operator="notContains" id="{32E5BB4A-1E8B-4948-8734-1598C82BE990}">
            <xm:f>ISERROR(SEARCH("Value Missing",C86))</xm:f>
            <xm:f>"Value Missing"</xm:f>
            <x14:dxf>
              <font>
                <color rgb="FF006100"/>
              </font>
              <fill>
                <patternFill>
                  <bgColor rgb="FFC6EFCE"/>
                </patternFill>
              </fill>
            </x14:dxf>
          </x14:cfRule>
          <x14:cfRule type="containsText" priority="735" operator="containsText" id="{F249F13C-E21B-884B-AEA8-3AB1B4DE6913}">
            <xm:f>NOT(ISERROR(SEARCH("Value Missing",C86)))</xm:f>
            <xm:f>"Value Missing"</xm:f>
            <x14:dxf>
              <font>
                <color rgb="FF9C0006"/>
              </font>
              <fill>
                <patternFill>
                  <bgColor rgb="FFFFC7CE"/>
                </patternFill>
              </fill>
            </x14:dxf>
          </x14:cfRule>
          <xm:sqref>C86</xm:sqref>
        </x14:conditionalFormatting>
        <x14:conditionalFormatting xmlns:xm="http://schemas.microsoft.com/office/excel/2006/main">
          <x14:cfRule type="notContainsText" priority="712" operator="notContains" id="{4EB59D7F-93B0-8646-91E7-0FBB95F1117B}">
            <xm:f>ISERROR(SEARCH("Value Missing",C76))</xm:f>
            <xm:f>"Value Missing"</xm:f>
            <x14:dxf>
              <font>
                <color rgb="FF006100"/>
              </font>
              <fill>
                <patternFill>
                  <bgColor rgb="FFC6EFCE"/>
                </patternFill>
              </fill>
            </x14:dxf>
          </x14:cfRule>
          <xm:sqref>C90 F96:F102 C114 F76 F84 F92</xm:sqref>
        </x14:conditionalFormatting>
        <x14:conditionalFormatting xmlns:xm="http://schemas.microsoft.com/office/excel/2006/main">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06" stopIfTrue="1" operator="containsText" id="{570B5BAF-613F-754C-B95A-DADE1FA8278E}">
            <xm:f>NOT(ISERROR(SEARCH("Value Missing",C90)))</xm:f>
            <xm:f>"Value Missing"</xm:f>
            <x14:dxf>
              <font>
                <color rgb="FF0E223A"/>
              </font>
              <fill>
                <patternFill>
                  <bgColor rgb="FFFFBE29"/>
                </patternFill>
              </fill>
            </x14:dxf>
          </x14:cfRule>
          <xm:sqref>C90 F96:F102 C114</xm:sqref>
        </x14:conditionalFormatting>
        <x14:conditionalFormatting xmlns:xm="http://schemas.microsoft.com/office/excel/2006/main">
          <x14:cfRule type="containsText" priority="505" operator="containsText" id="{7956EDE0-2BB6-F346-A2E3-3567D656FB65}">
            <xm:f>NOT(ISERROR(SEARCH("Value Missing",C138)))</xm:f>
            <xm:f>"Value Missing"</xm:f>
            <x14:dxf>
              <font>
                <color theme="1"/>
              </font>
              <fill>
                <patternFill>
                  <bgColor rgb="FFFFBE29"/>
                </patternFill>
              </fill>
            </x14:dxf>
          </x14:cfRule>
          <x14:cfRule type="containsText" priority="506" operator="containsText" id="{B8544281-BAF2-BA48-A545-8DD1DE0A408F}">
            <xm:f>NOT(ISERROR(SEARCH("Not Required",C138)))</xm:f>
            <xm:f>"Not Required"</xm:f>
            <x14:dxf>
              <font>
                <color theme="0"/>
              </font>
              <fill>
                <patternFill>
                  <bgColor rgb="FF4F5F69"/>
                </patternFill>
              </fill>
            </x14:dxf>
          </x14:cfRule>
          <xm:sqref>C138:C143</xm:sqref>
        </x14:conditionalFormatting>
        <x14:conditionalFormatting xmlns:xm="http://schemas.microsoft.com/office/excel/2006/main">
          <x14:cfRule type="containsText" priority="2167" operator="containsText" id="{3C982F0C-8AB8-8C4D-AA00-BD6BA6595FAE}">
            <xm:f>NOT(ISERROR(SEARCH("Value Missing",C192)))</xm:f>
            <xm:f>"Value Missing"</xm:f>
            <x14:dxf>
              <font>
                <color rgb="FF9C0006"/>
              </font>
              <fill>
                <patternFill>
                  <bgColor rgb="FFFFC7CE"/>
                </patternFill>
              </fill>
            </x14:dxf>
          </x14:cfRule>
          <xm:sqref>C192:C193</xm:sqref>
        </x14:conditionalFormatting>
        <x14:conditionalFormatting xmlns:xm="http://schemas.microsoft.com/office/excel/2006/main">
          <x14:cfRule type="containsText" priority="841" operator="containsText" id="{4BECE36B-CEA4-7C44-B78A-E738B7ACC849}">
            <xm:f>NOT(ISERROR(SEARCH("Value Missing",C197)))</xm:f>
            <xm:f>"Value Missing"</xm:f>
            <x14:dxf>
              <font>
                <color rgb="FF9C0006"/>
              </font>
              <fill>
                <patternFill>
                  <bgColor rgb="FFFFC7CE"/>
                </patternFill>
              </fill>
            </x14:dxf>
          </x14:cfRule>
          <x14:cfRule type="notContainsText" priority="840" operator="notContains" id="{D93929A9-AF2D-A149-A030-6B18FC5A9959}">
            <xm:f>ISERROR(SEARCH("Value Missing",C197))</xm:f>
            <xm:f>"Value Missing"</xm:f>
            <x14:dxf>
              <font>
                <color rgb="FF006100"/>
              </font>
              <fill>
                <patternFill>
                  <bgColor rgb="FFC6EFCE"/>
                </patternFill>
              </fill>
            </x14:dxf>
          </x14:cfRule>
          <x14:cfRule type="containsText" priority="838" operator="containsText" id="{6552ADF1-1F8F-394C-94E1-4953748E8DCC}">
            <xm:f>NOT(ISERROR(SEARCH("Value Missing",C197)))</xm:f>
            <xm:f>"Value Missing"</xm:f>
            <x14:dxf>
              <font>
                <color rgb="FF9C0006"/>
              </font>
              <fill>
                <patternFill>
                  <bgColor rgb="FFFFC7CE"/>
                </patternFill>
              </fill>
            </x14:dxf>
          </x14:cfRule>
          <x14:cfRule type="notContainsText" priority="837" operator="notContains" id="{58E0AF9F-8D1B-D14D-B42D-83C752E1E382}">
            <xm:f>ISERROR(SEARCH("Value Missing",C197))</xm:f>
            <xm:f>"Value Missing"</xm:f>
            <x14:dxf>
              <font>
                <color rgb="FF006100"/>
              </font>
              <fill>
                <patternFill>
                  <bgColor rgb="FFC6EFCE"/>
                </patternFill>
              </fill>
            </x14:dxf>
          </x14:cfRule>
          <x14:cfRule type="containsText" priority="836" operator="containsText" id="{8D5FC990-D1EB-6B42-A90B-A3E6DC24BD4E}">
            <xm:f>NOT(ISERROR(SEARCH("Value Missing",C197)))</xm:f>
            <xm:f>"Value Missing"</xm:f>
            <x14:dxf>
              <font>
                <color rgb="FF9C0006"/>
              </font>
              <fill>
                <patternFill>
                  <bgColor rgb="FFFFC7CE"/>
                </patternFill>
              </fill>
            </x14:dxf>
          </x14:cfRule>
          <x14:cfRule type="notContainsText" priority="835" operator="notContains" id="{E762F261-B482-6D46-8323-FEB8B6636848}">
            <xm:f>ISERROR(SEARCH("Value Missing",C197))</xm:f>
            <xm:f>"Value Missing"</xm:f>
            <x14:dxf>
              <font>
                <color rgb="FF006100"/>
              </font>
              <fill>
                <patternFill>
                  <bgColor rgb="FFC6EFCE"/>
                </patternFill>
              </fill>
            </x14:dxf>
          </x14:cfRule>
          <x14:cfRule type="containsText" priority="831" stopIfTrue="1" operator="containsText" id="{D391F2F4-7E4D-8647-98B9-1F0269C8F1BF}">
            <xm:f>NOT(ISERROR(SEARCH("Value Missing",C197)))</xm:f>
            <xm:f>"Value Missing"</xm:f>
            <x14:dxf>
              <font>
                <color rgb="FF0E223A"/>
              </font>
              <fill>
                <patternFill>
                  <bgColor rgb="FFFFBE29"/>
                </patternFill>
              </fill>
            </x14:dxf>
          </x14:cfRule>
          <xm:sqref>C197:C202</xm:sqref>
        </x14:conditionalFormatting>
        <x14:conditionalFormatting xmlns:xm="http://schemas.microsoft.com/office/excel/2006/main">
          <x14:cfRule type="notContainsText" priority="193" operator="notContains" id="{39A0F161-6FE3-1945-9E37-D1335634B6DE}">
            <xm:f>ISERROR(SEARCH("Value Missing",C136))</xm:f>
            <xm:f>"Value Missing"</xm:f>
            <x14:dxf>
              <font>
                <color rgb="FF006100"/>
              </font>
              <fill>
                <patternFill>
                  <bgColor rgb="FFC6EFCE"/>
                </patternFill>
              </fill>
            </x14:dxf>
          </x14:cfRule>
          <xm:sqref>C213:C218 F136:F137</xm:sqref>
        </x14:conditionalFormatting>
        <x14:conditionalFormatting xmlns:xm="http://schemas.microsoft.com/office/excel/2006/main">
          <x14:cfRule type="notContainsText" priority="191" operator="notContains" id="{FA7AE440-5247-9B4D-949A-C149C97646D8}">
            <xm:f>ISERROR(SEARCH("Value Missing",C215))</xm:f>
            <xm:f>"Value Missing"</xm:f>
            <x14:dxf>
              <font>
                <color rgb="FF006100"/>
              </font>
              <fill>
                <patternFill>
                  <bgColor rgb="FFC6EFCE"/>
                </patternFill>
              </fill>
            </x14:dxf>
          </x14:cfRule>
          <x14:cfRule type="containsText" priority="192" operator="containsText" id="{B15241BF-1597-354E-9C79-A31098E6FA6A}">
            <xm:f>NOT(ISERROR(SEARCH("Value Missing",C215)))</xm:f>
            <xm:f>"Value Missing"</xm:f>
            <x14:dxf>
              <font>
                <color rgb="FF9C0006"/>
              </font>
              <fill>
                <patternFill>
                  <bgColor rgb="FFFFC7CE"/>
                </patternFill>
              </fill>
            </x14:dxf>
          </x14:cfRule>
          <xm:sqref>C215:C216</xm:sqref>
        </x14:conditionalFormatting>
        <x14:conditionalFormatting xmlns:xm="http://schemas.microsoft.com/office/excel/2006/main">
          <x14:cfRule type="containsText" priority="187" stopIfTrue="1" operator="containsText" id="{6B22C62C-7BCD-6342-B033-FFA489954237}">
            <xm:f>NOT(ISERROR(SEARCH("Value Missing",C215)))</xm:f>
            <xm:f>"Value Missing"</xm:f>
            <x14:dxf>
              <font>
                <color rgb="FF0E223A"/>
              </font>
              <fill>
                <patternFill>
                  <bgColor rgb="FFFFBE29"/>
                </patternFill>
              </fill>
            </x14:dxf>
          </x14:cfRule>
          <xm:sqref>C215:C218</xm:sqref>
        </x14:conditionalFormatting>
        <x14:conditionalFormatting xmlns:xm="http://schemas.microsoft.com/office/excel/2006/main">
          <x14:cfRule type="containsText" priority="494" stopIfTrue="1" operator="containsText" id="{AAB2D5E8-39AB-8243-B1D2-12EFB0EC13A5}">
            <xm:f>NOT(ISERROR(SEARCH("Value Missing",C222)))</xm:f>
            <xm:f>"Value Missing"</xm:f>
            <x14:dxf>
              <font>
                <color rgb="FF0E223A"/>
              </font>
              <fill>
                <patternFill>
                  <bgColor rgb="FFFFBE29"/>
                </patternFill>
              </fill>
            </x14:dxf>
          </x14:cfRule>
          <xm:sqref>C222:C230</xm:sqref>
        </x14:conditionalFormatting>
        <x14:conditionalFormatting xmlns:xm="http://schemas.microsoft.com/office/excel/2006/main">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14:cfRule type="notContainsText" priority="316" operator="notContains" id="{968D150F-81E8-2449-8AEB-6930E17413BE}">
            <xm:f>ISERROR(SEARCH("Value Missing",F7))</xm:f>
            <xm:f>"Value Missing"</xm:f>
            <x14:dxf>
              <font>
                <color rgb="FF006100"/>
              </font>
              <fill>
                <patternFill>
                  <bgColor rgb="FFC6EFCE"/>
                </patternFill>
              </fill>
            </x14:dxf>
          </x14:cfRule>
          <xm:sqref>F7:F9</xm:sqref>
        </x14:conditionalFormatting>
        <x14:conditionalFormatting xmlns:xm="http://schemas.microsoft.com/office/excel/2006/main">
          <x14:cfRule type="notContainsText" priority="804" operator="notContains" id="{C78C2299-FD0A-6342-ADAE-C35645A19501}">
            <xm:f>ISERROR(SEARCH("Value Missing",F14))</xm:f>
            <xm:f>"Value Missing"</xm:f>
            <x14:dxf>
              <font>
                <color rgb="FF006100"/>
              </font>
              <fill>
                <patternFill>
                  <bgColor rgb="FFC6EFCE"/>
                </patternFill>
              </fill>
            </x14:dxf>
          </x14:cfRule>
          <x14:cfRule type="containsText" priority="802" operator="containsText" id="{E506C10D-59F6-804F-9E3D-DBAE8662DF0A}">
            <xm:f>NOT(ISERROR(SEARCH("Value Missing",F14)))</xm:f>
            <xm:f>"Value Missing"</xm:f>
            <x14:dxf>
              <font>
                <color rgb="FF9C0006"/>
              </font>
              <fill>
                <patternFill>
                  <bgColor rgb="FFFFC7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m:sqref>F14:F26</xm:sqref>
        </x14:conditionalFormatting>
        <x14:conditionalFormatting xmlns:xm="http://schemas.microsoft.com/office/excel/2006/main">
          <x14:cfRule type="containsText" priority="754" operator="containsText" id="{DB5F6F4E-5082-944D-941E-A09994BA5EC5}">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1" operator="notContains" id="{74FBF562-78D8-D442-AE85-621F4A4C9E28}">
            <xm:f>ISERROR(SEARCH("Value Missing",F23))</xm:f>
            <xm:f>"Value Missing"</xm:f>
            <x14:dxf>
              <font>
                <color rgb="FF006100"/>
              </font>
              <fill>
                <patternFill>
                  <bgColor rgb="FFC6EFCE"/>
                </patternFill>
              </fill>
            </x14:dxf>
          </x14:cfRule>
          <xm:sqref>F23:F26</xm:sqref>
        </x14:conditionalFormatting>
        <x14:conditionalFormatting xmlns:xm="http://schemas.microsoft.com/office/excel/2006/main">
          <x14:cfRule type="containsText" priority="826" operator="containsText" id="{AC6DD4B5-BE77-8D4E-A58D-523533198F4F}">
            <xm:f>NOT(ISERROR(SEARCH("Value Missing",F30)))</xm:f>
            <xm:f>"Value Missing"</xm:f>
            <x14:dxf>
              <font>
                <color rgb="FF9C0006"/>
              </font>
              <fill>
                <patternFill>
                  <bgColor rgb="FFFFC7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769" operator="containsText" id="{74109180-CE81-574B-B64D-35E64CD32ED9}">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6" operator="notContains" id="{DAD5F391-609A-C04F-B39F-44B5DA2760CF}">
            <xm:f>ISERROR(SEARCH("Value Missing",F43))</xm:f>
            <xm:f>"Value Missing"</xm:f>
            <x14:dxf>
              <font>
                <color rgb="FF006100"/>
              </font>
              <fill>
                <patternFill>
                  <bgColor rgb="FFC6EFCE"/>
                </patternFill>
              </fill>
            </x14:dxf>
          </x14:cfRule>
          <xm:sqref>F43:F47</xm:sqref>
        </x14:conditionalFormatting>
        <x14:conditionalFormatting xmlns:xm="http://schemas.microsoft.com/office/excel/2006/main">
          <x14:cfRule type="containsText" priority="771" stopIfTrue="1" operator="containsText" id="{1B21DC2B-871D-D24C-BE67-CBF19A3125C1}">
            <xm:f>NOT(ISERROR(SEARCH("Value Missing",F43)))</xm:f>
            <xm:f>"Value Missing"</xm:f>
            <x14:dxf>
              <font>
                <color rgb="FF0E223A"/>
              </font>
              <fill>
                <patternFill>
                  <bgColor rgb="FFFFBE29"/>
                </patternFill>
              </fill>
            </x14:dxf>
          </x14:cfRule>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m:sqref>F43:F54</xm:sqref>
        </x14:conditionalFormatting>
        <x14:conditionalFormatting xmlns:xm="http://schemas.microsoft.com/office/excel/2006/main">
          <x14:cfRule type="containsText" priority="790" operator="containsText" id="{1BED8F98-7EEC-3042-8D32-973CFB065CFB}">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0" operator="notContains" id="{BD5945AF-7542-E042-9F70-2C6486995429}">
            <xm:f>ISERROR(SEARCH("Value Missing",F48))</xm:f>
            <xm:f>"Value Missing"</xm:f>
            <x14:dxf>
              <font>
                <color rgb="FF006100"/>
              </font>
              <fill>
                <patternFill>
                  <bgColor rgb="FFC6EF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44" operator="containsText" id="{A2FC2F74-DE7B-7941-86C0-F393025D0933}">
            <xm:f>NOT(ISERROR(SEARCH("Value Missing",F58)))</xm:f>
            <xm:f>"Value Missing"</xm:f>
            <x14:dxf>
              <font>
                <color rgb="FF9C0006"/>
              </font>
              <fill>
                <patternFill>
                  <bgColor rgb="FFFFC7CE"/>
                </patternFill>
              </fill>
            </x14:dxf>
          </x14:cfRule>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m:sqref>F58:F59</xm:sqref>
        </x14:conditionalFormatting>
        <x14:conditionalFormatting xmlns:xm="http://schemas.microsoft.com/office/excel/2006/main">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2" operator="notContains" id="{AAAD6AE0-B21C-BE43-AC31-1DF6A85D4B69}">
            <xm:f>ISERROR(SEARCH("Value Missing",F59))</xm:f>
            <xm:f>"Value Missing"</xm:f>
            <x14:dxf>
              <font>
                <color rgb="FF006100"/>
              </font>
              <fill>
                <patternFill>
                  <bgColor rgb="FFC6EF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4" operator="containsText" id="{0CAB5667-A35D-444F-B672-1DC5F05F5281}">
            <xm:f>NOT(ISERROR(SEARCH("Value Missing",F70)))</xm:f>
            <xm:f>"Value Missing"</xm:f>
            <x14:dxf>
              <font>
                <color rgb="FF9C0006"/>
              </font>
              <fill>
                <patternFill>
                  <bgColor rgb="FFFFC7CE"/>
                </patternFill>
              </fill>
            </x14:dxf>
          </x14:cfRule>
          <xm:sqref>F70:F75</xm:sqref>
        </x14:conditionalFormatting>
        <x14:conditionalFormatting xmlns:xm="http://schemas.microsoft.com/office/excel/2006/main">
          <x14:cfRule type="containsText" priority="247" stopIfTrue="1" operator="containsText" id="{C8D28008-C104-A14E-AF51-103FC3577CEF}">
            <xm:f>NOT(ISERROR(SEARCH("Value Missing",F70)))</xm:f>
            <xm:f>"Value Missing"</xm:f>
            <x14:dxf>
              <font>
                <color rgb="FF0E223A"/>
              </font>
              <fill>
                <patternFill>
                  <bgColor rgb="FFFFBE29"/>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57" operator="containsText" id="{EC5839D8-9C7D-DE4E-A685-167169CC417A}">
            <xm:f>NOT(ISERROR(SEARCH("Value Missing",F70)))</xm:f>
            <xm:f>"Value Missing"</xm:f>
            <x14:dxf>
              <font>
                <color rgb="FF9C0006"/>
              </font>
              <fill>
                <patternFill>
                  <bgColor rgb="FFFFC7CE"/>
                </patternFill>
              </fill>
            </x14:dxf>
          </x14:cfRule>
          <xm:sqref>F70:F76</xm:sqref>
        </x14:conditionalFormatting>
        <x14:conditionalFormatting xmlns:xm="http://schemas.microsoft.com/office/excel/2006/main">
          <x14:cfRule type="notContainsText" priority="715" operator="notContains" id="{FC7181B3-A8EC-A34C-80A3-1F6B5F1A1CA6}">
            <xm:f>ISERROR(SEARCH("Value Missing",C76))</xm:f>
            <xm:f>"Value Missing"</xm:f>
            <x14:dxf>
              <font>
                <color rgb="FF006100"/>
              </font>
              <fill>
                <patternFill>
                  <bgColor rgb="FFC6EFCE"/>
                </patternFill>
              </fill>
            </x14:dxf>
          </x14:cfRule>
          <x14:cfRule type="containsText" priority="713" operator="containsText" id="{64296EDF-1AF9-774A-826F-854DF5952EF2}">
            <xm:f>NOT(ISERROR(SEARCH("Value Missing",C76)))</xm:f>
            <xm:f>"Value Missing"</xm:f>
            <x14:dxf>
              <font>
                <color rgb="FF9C0006"/>
              </font>
              <fill>
                <patternFill>
                  <bgColor rgb="FFFFC7CE"/>
                </patternFill>
              </fill>
            </x14:dxf>
          </x14:cfRule>
          <x14:cfRule type="containsText" priority="716" operator="containsText" id="{74BF2CE7-E850-6F4E-B7B9-3656A685D9E0}">
            <xm:f>NOT(ISERROR(SEARCH("Value Missing",C76)))</xm:f>
            <xm:f>"Value Missing"</xm:f>
            <x14:dxf>
              <font>
                <color rgb="FF9C0006"/>
              </font>
              <fill>
                <patternFill>
                  <bgColor rgb="FFFFC7CE"/>
                </patternFill>
              </fill>
            </x14:dxf>
          </x14:cfRule>
          <xm:sqref>F76 F84 C90 F92 F96:F102 C114</xm:sqref>
        </x14:conditionalFormatting>
        <x14:conditionalFormatting xmlns:xm="http://schemas.microsoft.com/office/excel/2006/main">
          <x14:cfRule type="notContainsText" priority="239" operator="notContains" id="{3C19ACE4-4316-1F40-920E-60F70B7F4759}">
            <xm:f>ISERROR(SEARCH("Value Missing",F78))</xm:f>
            <xm:f>"Value Missing"</xm:f>
            <x14:dxf>
              <font>
                <color rgb="FF006100"/>
              </font>
              <fill>
                <patternFill>
                  <bgColor rgb="FFC6EFCE"/>
                </patternFill>
              </fill>
            </x14:dxf>
          </x14:cfRule>
          <x14:cfRule type="containsText" priority="240" operator="containsText" id="{BAC16A6A-CCC3-9542-BE76-15BA178123B5}">
            <xm:f>NOT(ISERROR(SEARCH("Value Missing",F78)))</xm:f>
            <xm:f>"Value Missing"</xm:f>
            <x14:dxf>
              <font>
                <color rgb="FF9C0006"/>
              </font>
              <fill>
                <patternFill>
                  <bgColor rgb="FFFFC7CE"/>
                </patternFill>
              </fill>
            </x14:dxf>
          </x14:cfRule>
          <x14:cfRule type="notContainsText" priority="241" operator="notContains" id="{5CBB3D4D-3F19-7B40-BDE2-01CCF684348B}">
            <xm:f>ISERROR(SEARCH("Value Missing",F78))</xm:f>
            <xm:f>"Value Missing"</xm:f>
            <x14:dxf>
              <font>
                <color rgb="FF006100"/>
              </font>
              <fill>
                <patternFill>
                  <bgColor rgb="FFC6EFCE"/>
                </patternFill>
              </fill>
            </x14:dxf>
          </x14:cfRule>
          <x14:cfRule type="containsText" priority="242" operator="containsText" id="{9F56AC9E-B2F2-2D4B-81B2-5B26E05ACBDF}">
            <xm:f>NOT(ISERROR(SEARCH("Value Missing",F78)))</xm:f>
            <xm:f>"Value Missing"</xm:f>
            <x14:dxf>
              <font>
                <color rgb="FF9C0006"/>
              </font>
              <fill>
                <patternFill>
                  <bgColor rgb="FFFFC7CE"/>
                </patternFill>
              </fill>
            </x14:dxf>
          </x14:cfRule>
          <xm:sqref>F78:F83</xm:sqref>
        </x14:conditionalFormatting>
        <x14:conditionalFormatting xmlns:xm="http://schemas.microsoft.com/office/excel/2006/main">
          <x14:cfRule type="notContainsText" priority="244" operator="notContains" id="{C9F669C8-0F97-B94F-8320-681FC16ED25F}">
            <xm:f>ISERROR(SEARCH("Value Missing",F78))</xm:f>
            <xm:f>"Value Missing"</xm:f>
            <x14:dxf>
              <font>
                <color rgb="FF006100"/>
              </font>
              <fill>
                <patternFill>
                  <bgColor rgb="FFC6EFCE"/>
                </patternFill>
              </fill>
            </x14:dxf>
          </x14:cfRule>
          <x14:cfRule type="containsText" priority="245" operator="containsText" id="{70DA1400-61C7-EC43-8BC4-164C07915638}">
            <xm:f>NOT(ISERROR(SEARCH("Value Missing",F78)))</xm:f>
            <xm:f>"Value Missing"</xm:f>
            <x14:dxf>
              <font>
                <color rgb="FF9C0006"/>
              </font>
              <fill>
                <patternFill>
                  <bgColor rgb="FFFFC7CE"/>
                </patternFill>
              </fill>
            </x14:dxf>
          </x14:cfRule>
          <x14:cfRule type="containsText" priority="235" stopIfTrue="1" operator="containsText" id="{95514913-BC10-AE49-8421-7F949D543B83}">
            <xm:f>NOT(ISERROR(SEARCH("Value Missing",F78)))</xm:f>
            <xm:f>"Value Missing"</xm:f>
            <x14:dxf>
              <font>
                <color rgb="FF0E223A"/>
              </font>
              <fill>
                <patternFill>
                  <bgColor rgb="FFFFBE29"/>
                </patternFill>
              </fill>
            </x14:dxf>
          </x14:cfRule>
          <xm:sqref>F78:F84</xm:sqref>
        </x14:conditionalFormatting>
        <x14:conditionalFormatting xmlns:xm="http://schemas.microsoft.com/office/excel/2006/main">
          <x14:cfRule type="notContainsText" priority="227" operator="notContains" id="{EEC1DA16-DD6D-4D4F-ADDE-EA184686B355}">
            <xm:f>ISERROR(SEARCH("Value Missing",F86))</xm:f>
            <xm:f>"Value Missing"</xm:f>
            <x14:dxf>
              <font>
                <color rgb="FF006100"/>
              </font>
              <fill>
                <patternFill>
                  <bgColor rgb="FFC6EFCE"/>
                </patternFill>
              </fill>
            </x14:dxf>
          </x14:cfRule>
          <x14:cfRule type="containsText" priority="228" operator="containsText" id="{4C5966C5-4BB4-F74E-A8D3-B036F6542455}">
            <xm:f>NOT(ISERROR(SEARCH("Value Missing",F86)))</xm:f>
            <xm:f>"Value Missing"</xm:f>
            <x14:dxf>
              <font>
                <color rgb="FF9C0006"/>
              </font>
              <fill>
                <patternFill>
                  <bgColor rgb="FFFFC7CE"/>
                </patternFill>
              </fill>
            </x14:dxf>
          </x14:cfRule>
          <x14:cfRule type="containsText" priority="230" operator="containsText" id="{B360FADC-B8C9-FD4A-9277-CFA4A60D1F1D}">
            <xm:f>NOT(ISERROR(SEARCH("Value Missing",F86)))</xm:f>
            <xm:f>"Value Missing"</xm:f>
            <x14:dxf>
              <font>
                <color rgb="FF9C0006"/>
              </font>
              <fill>
                <patternFill>
                  <bgColor rgb="FFFFC7CE"/>
                </patternFill>
              </fill>
            </x14:dxf>
          </x14:cfRule>
          <x14:cfRule type="notContainsText" priority="229" operator="notContains" id="{0FC6281C-048E-4542-B091-5FAB4609C1F0}">
            <xm:f>ISERROR(SEARCH("Value Missing",F86))</xm:f>
            <xm:f>"Value Missing"</xm:f>
            <x14:dxf>
              <font>
                <color rgb="FF006100"/>
              </font>
              <fill>
                <patternFill>
                  <bgColor rgb="FFC6EFCE"/>
                </patternFill>
              </fill>
            </x14:dxf>
          </x14:cfRule>
          <xm:sqref>F86:F91</xm:sqref>
        </x14:conditionalFormatting>
        <x14:conditionalFormatting xmlns:xm="http://schemas.microsoft.com/office/excel/2006/main">
          <x14:cfRule type="containsText" priority="223" stopIfTrue="1" operator="containsText" id="{0831BD51-5711-C543-880C-EFF00DF61074}">
            <xm:f>NOT(ISERROR(SEARCH("Value Missing",F86)))</xm:f>
            <xm:f>"Value Missing"</xm:f>
            <x14:dxf>
              <font>
                <color rgb="FF0E223A"/>
              </font>
              <fill>
                <patternFill>
                  <bgColor rgb="FFFFBE29"/>
                </patternFill>
              </fill>
            </x14:dxf>
          </x14:cfRule>
          <x14:cfRule type="containsText" priority="233" operator="containsText" id="{F9E2C018-8870-DF4C-81D7-3C375A8F3739}">
            <xm:f>NOT(ISERROR(SEARCH("Value Missing",F86)))</xm:f>
            <xm:f>"Value Missing"</xm:f>
            <x14:dxf>
              <font>
                <color rgb="FF9C0006"/>
              </font>
              <fill>
                <patternFill>
                  <bgColor rgb="FFFFC7CE"/>
                </patternFill>
              </fill>
            </x14:dxf>
          </x14:cfRule>
          <x14:cfRule type="notContainsText" priority="232" operator="notContains" id="{B50294B2-1EAA-CF43-81A0-FDADDE41DC6A}">
            <xm:f>ISERROR(SEARCH("Value Missing",F86))</xm:f>
            <xm:f>"Value Missing"</xm:f>
            <x14:dxf>
              <font>
                <color rgb="FF006100"/>
              </font>
              <fill>
                <patternFill>
                  <bgColor rgb="FFC6EFCE"/>
                </patternFill>
              </fill>
            </x14:dxf>
          </x14:cfRule>
          <xm:sqref>F86:F92</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F106:F107 R63:R66 R85:R88 R114:R115 R119:R120</xm:sqref>
        </x14:conditionalFormatting>
        <x14:conditionalFormatting xmlns:xm="http://schemas.microsoft.com/office/excel/2006/main">
          <x14:cfRule type="containsText" priority="2172" operator="containsText" id="{72123F4B-709A-374A-9878-3CD45AC708BF}">
            <xm:f>NOT(ISERROR(SEARCH("Value Missing",F106)))</xm:f>
            <xm:f>"Value Missing"</xm:f>
            <x14:dxf>
              <font>
                <color rgb="FF9C0006"/>
              </font>
              <fill>
                <patternFill>
                  <bgColor rgb="FFFFC7CE"/>
                </patternFill>
              </fill>
            </x14:dxf>
          </x14:cfRule>
          <x14:cfRule type="notContainsText" priority="2189" operator="notContains" id="{69B866BF-45C9-3443-A6E1-7B3A146A6006}">
            <xm:f>ISERROR(SEARCH("Value Missing",F106))</xm:f>
            <xm:f>"Value Missing"</xm:f>
            <x14:dxf>
              <font>
                <color rgb="FF006100"/>
              </font>
              <fill>
                <patternFill>
                  <bgColor rgb="FFC6EFCE"/>
                </patternFill>
              </fill>
            </x14:dxf>
          </x14:cfRule>
          <xm:sqref>F106:F107</xm:sqref>
        </x14:conditionalFormatting>
        <x14:conditionalFormatting xmlns:xm="http://schemas.microsoft.com/office/excel/2006/main">
          <x14:cfRule type="containsText" priority="862" operator="containsText" id="{84A97266-B750-E445-9B79-EC1D979CA189}">
            <xm:f>NOT(ISERROR(SEARCH("Value Missing",F111)))</xm:f>
            <xm:f>"Value Missing"</xm:f>
            <x14:dxf>
              <font>
                <color rgb="FF9C0006"/>
              </font>
              <fill>
                <patternFill>
                  <bgColor rgb="FFFFC7CE"/>
                </patternFill>
              </fill>
            </x14:dxf>
          </x14:cfRule>
          <x14:cfRule type="notContainsText" priority="859" operator="notContains" id="{296704CA-9B80-7D46-9173-B92F71A5C879}">
            <xm:f>ISERROR(SEARCH("Value Missing",F111))</xm:f>
            <xm:f>"Value Missing"</xm:f>
            <x14:dxf>
              <font>
                <color rgb="FF006100"/>
              </font>
              <fill>
                <patternFill>
                  <bgColor rgb="FFC6EFCE"/>
                </patternFill>
              </fill>
            </x14:dxf>
          </x14:cfRule>
          <x14:cfRule type="notContainsText" priority="864" operator="notContains" id="{65845B85-5B9D-FD4A-88E0-7966F754EC6E}">
            <xm:f>ISERROR(SEARCH("Value Missing",F111))</xm:f>
            <xm:f>"Value Missing"</xm:f>
            <x14:dxf>
              <font>
                <color rgb="FF006100"/>
              </font>
              <fill>
                <patternFill>
                  <bgColor rgb="FFC6EFCE"/>
                </patternFill>
              </fill>
            </x14:dxf>
          </x14:cfRule>
          <x14:cfRule type="containsText" priority="855" stopIfTrue="1" operator="containsText" id="{4F5B644A-10A1-1D4F-84AD-0358D43C10AC}">
            <xm:f>NOT(ISERROR(SEARCH("Value Missing",F111)))</xm:f>
            <xm:f>"Value Missing"</xm:f>
            <x14:dxf>
              <font>
                <color rgb="FF0E223A"/>
              </font>
              <fill>
                <patternFill>
                  <bgColor rgb="FFFFBE29"/>
                </patternFill>
              </fill>
            </x14:dxf>
          </x14:cfRule>
          <x14:cfRule type="containsText" priority="860" operator="containsText" id="{E8D1464C-771D-DD49-8D18-5E048C9276C9}">
            <xm:f>NOT(ISERROR(SEARCH("Value Missing",F111)))</xm:f>
            <xm:f>"Value Missing"</xm:f>
            <x14:dxf>
              <font>
                <color rgb="FF9C0006"/>
              </font>
              <fill>
                <patternFill>
                  <bgColor rgb="FFFFC7CE"/>
                </patternFill>
              </fill>
            </x14:dxf>
          </x14:cfRule>
          <x14:cfRule type="containsText" priority="865" operator="containsText" id="{54FE884C-E5A9-794A-81A8-BCB5D53EC01A}">
            <xm:f>NOT(ISERROR(SEARCH("Value Missing",F111)))</xm:f>
            <xm:f>"Value Missing"</xm:f>
            <x14:dxf>
              <font>
                <color rgb="FF9C0006"/>
              </font>
              <fill>
                <patternFill>
                  <bgColor rgb="FFFFC7CE"/>
                </patternFill>
              </fill>
            </x14:dxf>
          </x14:cfRule>
          <x14:cfRule type="notContainsText" priority="861" operator="notContains" id="{B4325B3F-1F20-7549-8A4A-FB519AE4BB8F}">
            <xm:f>ISERROR(SEARCH("Value Missing",F111))</xm:f>
            <xm:f>"Value Missing"</xm:f>
            <x14:dxf>
              <font>
                <color rgb="FF006100"/>
              </font>
              <fill>
                <patternFill>
                  <bgColor rgb="FFC6EFCE"/>
                </patternFill>
              </fill>
            </x14:dxf>
          </x14:cfRule>
          <xm:sqref>F111:F116</xm:sqref>
        </x14:conditionalFormatting>
        <x14:conditionalFormatting xmlns:xm="http://schemas.microsoft.com/office/excel/2006/main">
          <x14:cfRule type="containsText" priority="209" operator="containsText" id="{EBB165B4-A6FB-5747-A631-E54187F7D898}">
            <xm:f>NOT(ISERROR(SEARCH("Value Missing",F120)))</xm:f>
            <xm:f>"Value Missing"</xm:f>
            <x14:dxf>
              <font>
                <color rgb="FF9C0006"/>
              </font>
              <fill>
                <patternFill>
                  <bgColor rgb="FFFFC7CE"/>
                </patternFill>
              </fill>
            </x14:dxf>
          </x14:cfRule>
          <x14:cfRule type="notContainsText" priority="208" operator="notContains" id="{B99C792E-16A1-934D-A338-7FEBDAD12263}">
            <xm:f>ISERROR(SEARCH("Value Missing",F120))</xm:f>
            <xm:f>"Value Missing"</xm:f>
            <x14:dxf>
              <font>
                <color rgb="FF006100"/>
              </font>
              <fill>
                <patternFill>
                  <bgColor rgb="FFC6EFCE"/>
                </patternFill>
              </fill>
            </x14:dxf>
          </x14:cfRule>
          <xm:sqref>F120:F126</xm:sqref>
        </x14:conditionalFormatting>
        <x14:conditionalFormatting xmlns:xm="http://schemas.microsoft.com/office/excel/2006/main">
          <x14:cfRule type="notContainsText" priority="205" operator="notContains" id="{22189B69-1E4E-D640-B7E8-46BD75875693}">
            <xm:f>ISERROR(SEARCH("Value Missing",F122))</xm:f>
            <xm:f>"Value Missing"</xm:f>
            <x14:dxf>
              <font>
                <color rgb="FF006100"/>
              </font>
              <fill>
                <patternFill>
                  <bgColor rgb="FFC6EFCE"/>
                </patternFill>
              </fill>
            </x14:dxf>
          </x14:cfRule>
          <x14:cfRule type="containsText" priority="204" operator="containsText" id="{B82DDD2A-4725-BB45-8AB5-6731986C0A8D}">
            <xm:f>NOT(ISERROR(SEARCH("Value Missing",F122)))</xm:f>
            <xm:f>"Value Missing"</xm:f>
            <x14:dxf>
              <font>
                <color rgb="FF9C0006"/>
              </font>
              <fill>
                <patternFill>
                  <bgColor rgb="FFFFC7CE"/>
                </patternFill>
              </fill>
            </x14:dxf>
          </x14:cfRule>
          <x14:cfRule type="notContainsText" priority="203" operator="notContains" id="{31E8D06A-E916-B84E-9084-78068BEA4092}">
            <xm:f>ISERROR(SEARCH("Value Missing",F122))</xm:f>
            <xm:f>"Value Missing"</xm:f>
            <x14:dxf>
              <font>
                <color rgb="FF006100"/>
              </font>
              <fill>
                <patternFill>
                  <bgColor rgb="FFC6EFCE"/>
                </patternFill>
              </fill>
            </x14:dxf>
          </x14:cfRule>
          <x14:cfRule type="containsText" priority="206" operator="containsText" id="{DE8BD9DD-9B0C-1646-BAA7-4526A23D74EF}">
            <xm:f>NOT(ISERROR(SEARCH("Value Missing",F122)))</xm:f>
            <xm:f>"Value Missing"</xm:f>
            <x14:dxf>
              <font>
                <color rgb="FF9C0006"/>
              </font>
              <fill>
                <patternFill>
                  <bgColor rgb="FFFFC7CE"/>
                </patternFill>
              </fill>
            </x14:dxf>
          </x14:cfRule>
          <xm:sqref>F122:F124</xm:sqref>
        </x14:conditionalFormatting>
        <x14:conditionalFormatting xmlns:xm="http://schemas.microsoft.com/office/excel/2006/main">
          <x14:cfRule type="containsText" priority="199" stopIfTrue="1" operator="containsText" id="{552043C1-5FB6-7E43-96A8-7C25AC814931}">
            <xm:f>NOT(ISERROR(SEARCH("Value Missing",F122)))</xm:f>
            <xm:f>"Value Missing"</xm:f>
            <x14:dxf>
              <font>
                <color rgb="FF0E223A"/>
              </font>
              <fill>
                <patternFill>
                  <bgColor rgb="FFFFBE29"/>
                </patternFill>
              </fill>
            </x14:dxf>
          </x14:cfRule>
          <xm:sqref>F122:F126</xm:sqref>
        </x14:conditionalFormatting>
        <x14:conditionalFormatting xmlns:xm="http://schemas.microsoft.com/office/excel/2006/main">
          <x14:cfRule type="notContainsText" priority="530" operator="notContains" id="{FDEE7712-1B7F-E84D-BFB0-D15565043ABA}">
            <xm:f>ISERROR(SEARCH("Value Missing",F130))</xm:f>
            <xm:f>"Value Missing"</xm:f>
            <x14:dxf>
              <font>
                <color rgb="FF006100"/>
              </font>
              <fill>
                <patternFill>
                  <bgColor rgb="FFC6EFCE"/>
                </patternFill>
              </fill>
            </x14:dxf>
          </x14:cfRule>
          <x14:cfRule type="containsText" priority="531" operator="containsText" id="{C8BE7839-1B90-7842-B71E-1502F9D95B6C}">
            <xm:f>NOT(ISERROR(SEARCH("Value Missing",F130)))</xm:f>
            <xm:f>"Value Missing"</xm:f>
            <x14:dxf>
              <font>
                <color rgb="FF9C0006"/>
              </font>
              <fill>
                <patternFill>
                  <bgColor rgb="FFFFC7CE"/>
                </patternFill>
              </fill>
            </x14:dxf>
          </x14:cfRule>
          <xm:sqref>F130:F135</xm:sqref>
        </x14:conditionalFormatting>
        <x14:conditionalFormatting xmlns:xm="http://schemas.microsoft.com/office/excel/2006/main">
          <x14:cfRule type="containsText" priority="526" operator="containsText" id="{8931243A-09C6-2044-B7C4-A6618315635F}">
            <xm:f>NOT(ISERROR(SEARCH("Value Missing",F132)))</xm:f>
            <xm:f>"Value Missing"</xm:f>
            <x14:dxf>
              <font>
                <color rgb="FF9C0006"/>
              </font>
              <fill>
                <patternFill>
                  <bgColor rgb="FFFFC7CE"/>
                </patternFill>
              </fill>
            </x14:dxf>
          </x14:cfRule>
          <x14:cfRule type="notContainsText" priority="527" operator="notContains" id="{4FE517B1-0047-2245-ACB6-55A2DA6B0BF5}">
            <xm:f>ISERROR(SEARCH("Value Missing",F132))</xm:f>
            <xm:f>"Value Missing"</xm:f>
            <x14:dxf>
              <font>
                <color rgb="FF006100"/>
              </font>
              <fill>
                <patternFill>
                  <bgColor rgb="FFC6EFCE"/>
                </patternFill>
              </fill>
            </x14:dxf>
          </x14:cfRule>
          <x14:cfRule type="containsText" priority="528" operator="containsText" id="{2888012B-9C4E-5346-A49B-A7E828140017}">
            <xm:f>NOT(ISERROR(SEARCH("Value Missing",F132)))</xm:f>
            <xm:f>"Value Missing"</xm:f>
            <x14:dxf>
              <font>
                <color rgb="FF9C0006"/>
              </font>
              <fill>
                <patternFill>
                  <bgColor rgb="FFFFC7CE"/>
                </patternFill>
              </fill>
            </x14:dxf>
          </x14:cfRule>
          <x14:cfRule type="notContainsText" priority="525" operator="notContains" id="{EEC65140-B91D-354F-BA82-9D88A22FD84B}">
            <xm:f>ISERROR(SEARCH("Value Missing",F132))</xm:f>
            <xm:f>"Value Missing"</xm:f>
            <x14:dxf>
              <font>
                <color rgb="FF006100"/>
              </font>
              <fill>
                <patternFill>
                  <bgColor rgb="FFC6EFCE"/>
                </patternFill>
              </fill>
            </x14:dxf>
          </x14:cfRule>
          <xm:sqref>F132:F137</xm:sqref>
        </x14:conditionalFormatting>
        <x14:conditionalFormatting xmlns:xm="http://schemas.microsoft.com/office/excel/2006/main">
          <x14:cfRule type="containsText" priority="179" stopIfTrue="1" operator="containsText" id="{378A49C7-A79F-D445-96C7-4ACB2F1CE767}">
            <xm:f>NOT(ISERROR(SEARCH("Value Missing",C132)))</xm:f>
            <xm:f>"Value Missing"</xm:f>
            <x14:dxf>
              <font>
                <color rgb="FF0E223A"/>
              </font>
              <fill>
                <patternFill>
                  <bgColor rgb="FFFFBE29"/>
                </patternFill>
              </fill>
            </x14:dxf>
          </x14:cfRule>
          <xm:sqref>F132:F140 C232:C242 C244:C251 L254:L262 L330:L365</xm:sqref>
        </x14:conditionalFormatting>
        <x14:conditionalFormatting xmlns:xm="http://schemas.microsoft.com/office/excel/2006/main">
          <x14:cfRule type="containsText" priority="194" operator="containsText" id="{A01C0CFD-6D39-E144-8B18-669CE399AD51}">
            <xm:f>NOT(ISERROR(SEARCH("Value Missing",C136)))</xm:f>
            <xm:f>"Value Missing"</xm:f>
            <x14:dxf>
              <font>
                <color rgb="FF9C0006"/>
              </font>
              <fill>
                <patternFill>
                  <bgColor rgb="FFFFC7CE"/>
                </patternFill>
              </fill>
            </x14:dxf>
          </x14:cfRule>
          <xm:sqref>F136:F137 C213:C218</xm:sqref>
        </x14:conditionalFormatting>
        <x14:conditionalFormatting xmlns:xm="http://schemas.microsoft.com/office/excel/2006/main">
          <x14:cfRule type="notContainsText" priority="849" operator="notContains" id="{5CDC1DE4-3224-C14F-BC98-7CA9086C50F5}">
            <xm:f>ISERROR(SEARCH("Value Missing",F144))</xm:f>
            <xm:f>"Value Missing"</xm:f>
            <x14:dxf>
              <font>
                <color rgb="FF006100"/>
              </font>
              <fill>
                <patternFill>
                  <bgColor rgb="FFC6EFCE"/>
                </patternFill>
              </fill>
            </x14:dxf>
          </x14:cfRule>
          <x14:cfRule type="containsText" priority="853" operator="containsText" id="{D0CCDC81-55F3-A24C-BBC3-82AD64C9691F}">
            <xm:f>NOT(ISERROR(SEARCH("Value Missing",F144)))</xm:f>
            <xm:f>"Value Missing"</xm:f>
            <x14:dxf>
              <font>
                <color rgb="FF9C0006"/>
              </font>
              <fill>
                <patternFill>
                  <bgColor rgb="FFFFC7CE"/>
                </patternFill>
              </fill>
            </x14:dxf>
          </x14:cfRule>
          <x14:cfRule type="notContainsText" priority="852" operator="notContains" id="{EB100480-97AC-4649-AE2D-7AD127E9F904}">
            <xm:f>ISERROR(SEARCH("Value Missing",F144))</xm:f>
            <xm:f>"Value Missing"</xm:f>
            <x14:dxf>
              <font>
                <color rgb="FF006100"/>
              </font>
              <fill>
                <patternFill>
                  <bgColor rgb="FFC6EFCE"/>
                </patternFill>
              </fill>
            </x14:dxf>
          </x14:cfRule>
          <x14:cfRule type="containsText" priority="850" operator="containsText" id="{6F505483-B797-E84A-B1C0-3EA1C7AB5DDA}">
            <xm:f>NOT(ISERROR(SEARCH("Value Missing",F144)))</xm:f>
            <xm:f>"Value Missing"</xm:f>
            <x14:dxf>
              <font>
                <color rgb="FF9C0006"/>
              </font>
              <fill>
                <patternFill>
                  <bgColor rgb="FFFFC7CE"/>
                </patternFill>
              </fill>
            </x14:dxf>
          </x14:cfRule>
          <xm:sqref>F144:F146</xm:sqref>
        </x14:conditionalFormatting>
        <x14:conditionalFormatting xmlns:xm="http://schemas.microsoft.com/office/excel/2006/main">
          <x14:cfRule type="containsText" priority="519" operator="containsText" id="{90B845BC-4A54-B949-A6B8-8602D72496DC}">
            <xm:f>NOT(ISERROR(SEARCH("Value Missing",F144)))</xm:f>
            <xm:f>"Value Missing"</xm:f>
            <x14:dxf>
              <font>
                <color rgb="FF9C0006"/>
              </font>
              <fill>
                <patternFill>
                  <bgColor rgb="FFFFC7CE"/>
                </patternFill>
              </fill>
            </x14:dxf>
          </x14:cfRule>
          <x14:cfRule type="notContainsText" priority="518" operator="notContains" id="{B5D7AAEF-EA09-214C-9209-41E16B51867F}">
            <xm:f>ISERROR(SEARCH("Value Missing",F144))</xm:f>
            <xm:f>"Value Missing"</xm:f>
            <x14:dxf>
              <font>
                <color rgb="FF006100"/>
              </font>
              <fill>
                <patternFill>
                  <bgColor rgb="FFC6EFCE"/>
                </patternFill>
              </fill>
            </x14:dxf>
          </x14:cfRule>
          <xm:sqref>F144:F152</xm:sqref>
        </x14:conditionalFormatting>
        <x14:conditionalFormatting xmlns:xm="http://schemas.microsoft.com/office/excel/2006/main">
          <x14:cfRule type="containsText" priority="509" stopIfTrue="1" operator="containsText" id="{0D168695-3B05-114E-9586-21A13CA44D46}">
            <xm:f>NOT(ISERROR(SEARCH("Value Missing",F144)))</xm:f>
            <xm:f>"Value Missing"</xm:f>
            <x14:dxf>
              <font>
                <color rgb="FF0E223A"/>
              </font>
              <fill>
                <patternFill>
                  <bgColor rgb="FFFFBE29"/>
                </patternFill>
              </fill>
            </x14:dxf>
          </x14:cfRule>
          <xm:sqref>F144:F158</xm:sqref>
        </x14:conditionalFormatting>
        <x14:conditionalFormatting xmlns:xm="http://schemas.microsoft.com/office/excel/2006/main">
          <x14:cfRule type="notContainsText" priority="513" operator="notContains" id="{DFAA3D8A-DA72-AE4D-BDD0-1B4C31D4A7DF}">
            <xm:f>ISERROR(SEARCH("Value Missing",F147))</xm:f>
            <xm:f>"Value Missing"</xm:f>
            <x14:dxf>
              <font>
                <color rgb="FF006100"/>
              </font>
              <fill>
                <patternFill>
                  <bgColor rgb="FFC6EFCE"/>
                </patternFill>
              </fill>
            </x14:dxf>
          </x14:cfRule>
          <x14:cfRule type="containsText" priority="514" operator="containsText" id="{BB475915-5DC0-324C-A93A-88361A5D862E}">
            <xm:f>NOT(ISERROR(SEARCH("Value Missing",F147)))</xm:f>
            <xm:f>"Value Missing"</xm:f>
            <x14:dxf>
              <font>
                <color rgb="FF9C0006"/>
              </font>
              <fill>
                <patternFill>
                  <bgColor rgb="FFFFC7CE"/>
                </patternFill>
              </fill>
            </x14:dxf>
          </x14:cfRule>
          <x14:cfRule type="notContainsText" priority="515" operator="notContains" id="{75ED6FA6-1C27-F145-873D-3D21CFE5EB61}">
            <xm:f>ISERROR(SEARCH("Value Missing",F147))</xm:f>
            <xm:f>"Value Missing"</xm:f>
            <x14:dxf>
              <font>
                <color rgb="FF006100"/>
              </font>
              <fill>
                <patternFill>
                  <bgColor rgb="FFC6EFCE"/>
                </patternFill>
              </fill>
            </x14:dxf>
          </x14:cfRule>
          <x14:cfRule type="containsText" priority="516" operator="containsText" id="{B540085E-D37A-5047-BA45-F8C60776869D}">
            <xm:f>NOT(ISERROR(SEARCH("Value Missing",F147)))</xm:f>
            <xm:f>"Value Missing"</xm:f>
            <x14:dxf>
              <font>
                <color rgb="FF9C0006"/>
              </font>
              <fill>
                <patternFill>
                  <bgColor rgb="FFFFC7CE"/>
                </patternFill>
              </fill>
            </x14:dxf>
          </x14:cfRule>
          <xm:sqref>F147</xm:sqref>
        </x14:conditionalFormatting>
        <x14:conditionalFormatting xmlns:xm="http://schemas.microsoft.com/office/excel/2006/main">
          <x14:cfRule type="containsText" priority="540" operator="containsText" id="{1752516E-E5FD-A942-8B09-F686547CD638}">
            <xm:f>NOT(ISERROR(SEARCH("Value Missing",F148)))</xm:f>
            <xm:f>"Value Missing"</xm:f>
            <x14:dxf>
              <font>
                <color rgb="FF9C0006"/>
              </font>
              <fill>
                <patternFill>
                  <bgColor rgb="FFFFC7CE"/>
                </patternFill>
              </fill>
            </x14:dxf>
          </x14:cfRule>
          <x14:cfRule type="notContainsText" priority="539" operator="notContains" id="{9962C4FE-9FA8-704A-B0C0-23F78B2D2435}">
            <xm:f>ISERROR(SEARCH("Value Missing",F148))</xm:f>
            <xm:f>"Value Missing"</xm:f>
            <x14:dxf>
              <font>
                <color rgb="FF006100"/>
              </font>
              <fill>
                <patternFill>
                  <bgColor rgb="FFC6EFCE"/>
                </patternFill>
              </fill>
            </x14:dxf>
          </x14:cfRule>
          <xm:sqref>F148:F152</xm:sqref>
        </x14:conditionalFormatting>
        <x14:conditionalFormatting xmlns:xm="http://schemas.microsoft.com/office/excel/2006/main">
          <x14:cfRule type="containsText" priority="543" operator="containsText" id="{1DA3D34C-74C7-B549-B9E0-520C2FA14718}">
            <xm:f>NOT(ISERROR(SEARCH("Value Missing",F148)))</xm:f>
            <xm:f>"Value Missing"</xm:f>
            <x14:dxf>
              <font>
                <color rgb="FF9C0006"/>
              </font>
              <fill>
                <patternFill>
                  <bgColor rgb="FFFFC7CE"/>
                </patternFill>
              </fill>
            </x14:dxf>
          </x14:cfRule>
          <x14:cfRule type="notContainsText" priority="542" operator="notContains" id="{95450771-CDCE-704C-8AF4-0F274C35DA18}">
            <xm:f>ISERROR(SEARCH("Value Missing",F148))</xm:f>
            <xm:f>"Value Missing"</xm:f>
            <x14:dxf>
              <font>
                <color rgb="FF006100"/>
              </font>
              <fill>
                <patternFill>
                  <bgColor rgb="FFC6EFCE"/>
                </patternFill>
              </fill>
            </x14:dxf>
          </x14:cfRule>
          <xm:sqref>F148:F158</xm:sqref>
        </x14:conditionalFormatting>
        <x14:conditionalFormatting xmlns:xm="http://schemas.microsoft.com/office/excel/2006/main">
          <x14:cfRule type="containsText" priority="171" stopIfTrue="1" operator="containsText" id="{D2045D45-F790-4F46-90F4-DE7AA45872D7}">
            <xm:f>NOT(ISERROR(SEARCH("Value Missing",C160)))</xm:f>
            <xm:f>"Value Missing"</xm:f>
            <x14:dxf>
              <font>
                <color rgb="FF0E223A"/>
              </font>
              <fill>
                <patternFill>
                  <bgColor rgb="FFFFBE29"/>
                </patternFill>
              </fill>
            </x14:dxf>
          </x14:cfRule>
          <xm:sqref>F160:F192 C253:C260</xm:sqref>
        </x14:conditionalFormatting>
        <x14:conditionalFormatting xmlns:xm="http://schemas.microsoft.com/office/excel/2006/main">
          <x14:cfRule type="containsText" priority="154" operator="containsText" id="{04C79DC9-F5D5-0C48-8171-397832D5F516}">
            <xm:f>NOT(ISERROR(SEARCH("Value Missing",F191)))</xm:f>
            <xm:f>"Value Missing"</xm:f>
            <x14:dxf>
              <font>
                <color rgb="FF9C0006"/>
              </font>
              <fill>
                <patternFill>
                  <bgColor rgb="FFFFC7CE"/>
                </patternFill>
              </fill>
            </x14:dxf>
          </x14:cfRule>
          <x14:cfRule type="notContainsText" priority="153" operator="notContains" id="{112E4F9D-3F37-1946-B8FB-F9C6D10B2DBA}">
            <xm:f>ISERROR(SEARCH("Value Missing",F191))</xm:f>
            <xm:f>"Value Missing"</xm:f>
            <x14:dxf>
              <font>
                <color rgb="FF006100"/>
              </font>
              <fill>
                <patternFill>
                  <bgColor rgb="FFC6EFCE"/>
                </patternFill>
              </fill>
            </x14:dxf>
          </x14:cfRule>
          <x14:cfRule type="containsText" priority="152" operator="containsText" id="{C6324A02-D0EA-6A48-B3D6-9C7CF26279BD}">
            <xm:f>NOT(ISERROR(SEARCH("Value Missing",F191)))</xm:f>
            <xm:f>"Value Missing"</xm:f>
            <x14:dxf>
              <font>
                <color rgb="FF9C0006"/>
              </font>
              <fill>
                <patternFill>
                  <bgColor rgb="FFFFC7CE"/>
                </patternFill>
              </fill>
            </x14:dxf>
          </x14:cfRule>
          <x14:cfRule type="notContainsText" priority="151" operator="notContains" id="{124710C1-A5A7-6D41-BB32-FCC3646701CE}">
            <xm:f>ISERROR(SEARCH("Value Missing",F191))</xm:f>
            <xm:f>"Value Missing"</xm:f>
            <x14:dxf>
              <font>
                <color rgb="FF006100"/>
              </font>
              <fill>
                <patternFill>
                  <bgColor rgb="FFC6EFCE"/>
                </patternFill>
              </fill>
            </x14:dxf>
          </x14:cfRule>
          <x14:cfRule type="containsText" priority="157" operator="containsText" id="{8056AF2E-9C5F-6F47-A4A3-00568163C277}">
            <xm:f>NOT(ISERROR(SEARCH("Value Missing",F191)))</xm:f>
            <xm:f>"Value Missing"</xm:f>
            <x14:dxf>
              <font>
                <color rgb="FF9C0006"/>
              </font>
              <fill>
                <patternFill>
                  <bgColor rgb="FFFFC7CE"/>
                </patternFill>
              </fill>
            </x14:dxf>
          </x14:cfRule>
          <x14:cfRule type="notContainsText" priority="156" operator="notContains" id="{1A134DFF-DA55-274A-9289-0D37AFF5E12E}">
            <xm:f>ISERROR(SEARCH("Value Missing",F191))</xm:f>
            <xm:f>"Value Missing"</xm:f>
            <x14:dxf>
              <font>
                <color rgb="FF006100"/>
              </font>
              <fill>
                <patternFill>
                  <bgColor rgb="FFC6EFCE"/>
                </patternFill>
              </fill>
            </x14:dxf>
          </x14:cfRule>
          <xm:sqref>F191:F192</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C147:C188</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I71:I125 O93:O130 C128:C135 I201:I221 I223:I230 I232:I239 I241:I247 C14:C33 C92:C97 C99:C104 C106:C111 C118:C124 I178:I197 L183:L224 L288:L327</xm:sqref>
        </x14:conditionalFormatting>
        <x14:conditionalFormatting xmlns:xm="http://schemas.microsoft.com/office/excel/2006/main">
          <x14:cfRule type="notContainsText" priority="462" operator="notContains" id="{ED209BA6-CC88-7C4A-8424-B646164BB160}">
            <xm:f>ISERROR(SEARCH("Value Missing",I127))</xm:f>
            <xm:f>"Value Missing"</xm:f>
            <x14:dxf>
              <font>
                <color rgb="FF006100"/>
              </font>
              <fill>
                <patternFill>
                  <bgColor rgb="FFC6EFCE"/>
                </patternFill>
              </fill>
            </x14:dxf>
          </x14:cfRule>
          <x14:cfRule type="notContainsText" priority="466" operator="notContains" id="{22805672-15DA-0647-B566-A8CD618CB73D}">
            <xm:f>ISERROR(SEARCH("Value Missing",I127))</xm:f>
            <xm:f>"Value Missing"</xm:f>
            <x14:dxf>
              <font>
                <color rgb="FF006100"/>
              </font>
              <fill>
                <patternFill>
                  <bgColor rgb="FFC6EFCE"/>
                </patternFill>
              </fill>
            </x14:dxf>
          </x14:cfRule>
          <x14:cfRule type="containsText" priority="458" stopIfTrue="1" operator="containsText" id="{C789315B-3C2F-5646-9AD8-0F27393EC8BD}">
            <xm:f>NOT(ISERROR(SEARCH("Value Missing",I127)))</xm:f>
            <xm:f>"Value Missing"</xm:f>
            <x14:dxf>
              <font>
                <color rgb="FF0E223A"/>
              </font>
              <fill>
                <patternFill>
                  <bgColor rgb="FFFFBE29"/>
                </patternFill>
              </fill>
            </x14:dxf>
          </x14:cfRule>
          <xm:sqref>I127:I130 I132:I135 I137:I140</xm:sqref>
        </x14:conditionalFormatting>
        <x14:conditionalFormatting xmlns:xm="http://schemas.microsoft.com/office/excel/2006/main">
          <x14:cfRule type="notContainsText" priority="456" operator="notContains" id="{64A936E1-A0B4-3344-B823-B0C88A30F083}">
            <xm:f>ISERROR(SEARCH("Value Missing",I142))</xm:f>
            <xm:f>"Value Missing"</xm:f>
            <x14:dxf>
              <font>
                <color rgb="FF006100"/>
              </font>
              <fill>
                <patternFill>
                  <bgColor rgb="FFC6EFCE"/>
                </patternFill>
              </fill>
            </x14:dxf>
          </x14:cfRule>
          <x14:cfRule type="containsText" priority="455" operator="containsText" id="{873E9D5E-8A00-FE41-BCD2-5F5B76C34A7E}">
            <xm:f>NOT(ISERROR(SEARCH("Value Missing",I142)))</xm:f>
            <xm:f>"Value Missing"</xm:f>
            <x14:dxf>
              <font>
                <color rgb="FF9C0006"/>
              </font>
              <fill>
                <patternFill>
                  <bgColor rgb="FFFFC7CE"/>
                </patternFill>
              </fill>
            </x14:dxf>
          </x14:cfRule>
          <x14:cfRule type="notContainsText" priority="454" operator="notContains" id="{24CE4B8E-0F75-DE4E-9244-56D548F9DB62}">
            <xm:f>ISERROR(SEARCH("Value Missing",I142))</xm:f>
            <xm:f>"Value Missing"</xm:f>
            <x14:dxf>
              <font>
                <color rgb="FF006100"/>
              </font>
              <fill>
                <patternFill>
                  <bgColor rgb="FFC6EFCE"/>
                </patternFill>
              </fill>
            </x14:dxf>
          </x14:cfRule>
          <x14:cfRule type="containsText" priority="451" operator="containsText" id="{B84D4832-E658-B34D-AE9C-6A01507CF641}">
            <xm:f>NOT(ISERROR(SEARCH("Value Missing",I142)))</xm:f>
            <xm:f>"Value Missing"</xm:f>
            <x14:dxf>
              <font>
                <color rgb="FF9C0006"/>
              </font>
              <fill>
                <patternFill>
                  <bgColor rgb="FFFFC7CE"/>
                </patternFill>
              </fill>
            </x14:dxf>
          </x14:cfRule>
          <x14:cfRule type="notContainsText" priority="450" operator="notContains" id="{E7FC1F43-E9EB-F74D-855A-7B0AF5E580EE}">
            <xm:f>ISERROR(SEARCH("Value Missing",I142))</xm:f>
            <xm:f>"Value Missing"</xm:f>
            <x14:dxf>
              <font>
                <color rgb="FF006100"/>
              </font>
              <fill>
                <patternFill>
                  <bgColor rgb="FFC6EFCE"/>
                </patternFill>
              </fill>
            </x14:dxf>
          </x14:cfRule>
          <x14:cfRule type="containsText" priority="446" stopIfTrue="1" operator="containsText" id="{E4E21A47-7B7F-CA46-8138-0AA41F01E253}">
            <xm:f>NOT(ISERROR(SEARCH("Value Missing",I142)))</xm:f>
            <xm:f>"Value Missing"</xm:f>
            <x14:dxf>
              <font>
                <color rgb="FF0E223A"/>
              </font>
              <fill>
                <patternFill>
                  <bgColor rgb="FFFFBE29"/>
                </patternFill>
              </fill>
            </x14:dxf>
          </x14:cfRule>
          <xm:sqref>I142:I145 I147:I150</xm:sqref>
        </x14:conditionalFormatting>
        <x14:conditionalFormatting xmlns:xm="http://schemas.microsoft.com/office/excel/2006/main">
          <x14:cfRule type="notContainsText" priority="432" operator="notContains" id="{B92AADED-222D-D74C-AAC7-4EE8D0075BB2}">
            <xm:f>ISERROR(SEARCH("Value Missing",I152))</xm:f>
            <xm:f>"Value Missing"</xm:f>
            <x14:dxf>
              <font>
                <color rgb="FF006100"/>
              </font>
              <fill>
                <patternFill>
                  <bgColor rgb="FFC6EFCE"/>
                </patternFill>
              </fill>
            </x14:dxf>
          </x14:cfRule>
          <x14:cfRule type="notContainsText" priority="426" operator="notContains" id="{E108BEA6-3444-4C41-88F4-78478F0D3CA1}">
            <xm:f>ISERROR(SEARCH("Value Missing",I152))</xm:f>
            <xm:f>"Value Missing"</xm:f>
            <x14:dxf>
              <font>
                <color rgb="FF006100"/>
              </font>
              <fill>
                <patternFill>
                  <bgColor rgb="FFC6EFCE"/>
                </patternFill>
              </fill>
            </x14:dxf>
          </x14:cfRule>
          <x14:cfRule type="containsText" priority="427" operator="containsText" id="{4E6045F5-D4C0-6B4C-AF3F-4505D3DBDE87}">
            <xm:f>NOT(ISERROR(SEARCH("Value Missing",I152)))</xm:f>
            <xm:f>"Value Missing"</xm:f>
            <x14:dxf>
              <font>
                <color rgb="FF9C0006"/>
              </font>
              <fill>
                <patternFill>
                  <bgColor rgb="FFFFC7CE"/>
                </patternFill>
              </fill>
            </x14:dxf>
          </x14:cfRule>
          <x14:cfRule type="notContainsText" priority="430" operator="notContains" id="{413F5A94-9277-FB4A-B341-05746C3BE9C5}">
            <xm:f>ISERROR(SEARCH("Value Missing",I152))</xm:f>
            <xm:f>"Value Missing"</xm:f>
            <x14:dxf>
              <font>
                <color rgb="FF006100"/>
              </font>
              <fill>
                <patternFill>
                  <bgColor rgb="FFC6EFCE"/>
                </patternFill>
              </fill>
            </x14:dxf>
          </x14:cfRule>
          <x14:cfRule type="containsText" priority="431" operator="containsText" id="{2AB77698-F427-3741-8EB2-9695AFFC60A0}">
            <xm:f>NOT(ISERROR(SEARCH("Value Missing",I152)))</xm:f>
            <xm:f>"Value Missing"</xm:f>
            <x14:dxf>
              <font>
                <color rgb="FF9C0006"/>
              </font>
              <fill>
                <patternFill>
                  <bgColor rgb="FFFFC7CE"/>
                </patternFill>
              </fill>
            </x14:dxf>
          </x14:cfRule>
          <x14:cfRule type="containsText" priority="422" stopIfTrue="1" operator="containsText" id="{191BE838-4409-4C46-BAC7-098F77322DA1}">
            <xm:f>NOT(ISERROR(SEARCH("Value Missing",I152)))</xm:f>
            <xm:f>"Value Missing"</xm:f>
            <x14:dxf>
              <font>
                <color rgb="FF0E223A"/>
              </font>
              <fill>
                <patternFill>
                  <bgColor rgb="FFFFBE29"/>
                </patternFill>
              </fill>
            </x14:dxf>
          </x14:cfRule>
          <xm:sqref>I152:I155</xm:sqref>
        </x14:conditionalFormatting>
        <x14:conditionalFormatting xmlns:xm="http://schemas.microsoft.com/office/excel/2006/main">
          <x14:cfRule type="notContainsText" priority="418" operator="notContains" id="{5651096A-8902-254B-9F26-84D63DC63B53}">
            <xm:f>ISERROR(SEARCH("Value Missing",I157))</xm:f>
            <xm:f>"Value Missing"</xm:f>
            <x14:dxf>
              <font>
                <color rgb="FF006100"/>
              </font>
              <fill>
                <patternFill>
                  <bgColor rgb="FFC6EFCE"/>
                </patternFill>
              </fill>
            </x14:dxf>
          </x14:cfRule>
          <x14:cfRule type="containsText" priority="419" operator="containsText" id="{C95A0006-2520-3F4E-8CAC-C2C2B91DA98E}">
            <xm:f>NOT(ISERROR(SEARCH("Value Missing",I157)))</xm:f>
            <xm:f>"Value Missing"</xm:f>
            <x14:dxf>
              <font>
                <color rgb="FF9C0006"/>
              </font>
              <fill>
                <patternFill>
                  <bgColor rgb="FFFFC7CE"/>
                </patternFill>
              </fill>
            </x14:dxf>
          </x14:cfRule>
          <x14:cfRule type="notContainsText" priority="414" operator="notContains" id="{081475AE-57A1-6C41-8EE7-BE81E7FE8043}">
            <xm:f>ISERROR(SEARCH("Value Missing",I157))</xm:f>
            <xm:f>"Value Missing"</xm:f>
            <x14:dxf>
              <font>
                <color rgb="FF006100"/>
              </font>
              <fill>
                <patternFill>
                  <bgColor rgb="FFC6EFCE"/>
                </patternFill>
              </fill>
            </x14:dxf>
          </x14:cfRule>
          <x14:cfRule type="containsText" priority="415" operator="containsText" id="{7FBCC206-B9DE-AC44-8812-6BCEC04A5615}">
            <xm:f>NOT(ISERROR(SEARCH("Value Missing",I157)))</xm:f>
            <xm:f>"Value Missing"</xm:f>
            <x14:dxf>
              <font>
                <color rgb="FF9C0006"/>
              </font>
              <fill>
                <patternFill>
                  <bgColor rgb="FFFFC7CE"/>
                </patternFill>
              </fill>
            </x14:dxf>
          </x14:cfRule>
          <xm:sqref>I157:I160</xm:sqref>
        </x14:conditionalFormatting>
        <x14:conditionalFormatting xmlns:xm="http://schemas.microsoft.com/office/excel/2006/main">
          <x14:cfRule type="notContainsText" priority="420" operator="notContains" id="{12F73065-1FB0-8F43-9664-4FE0D76D9171}">
            <xm:f>ISERROR(SEARCH("Value Missing",I157))</xm:f>
            <xm:f>"Value Missing"</xm:f>
            <x14:dxf>
              <font>
                <color rgb="FF006100"/>
              </font>
              <fill>
                <patternFill>
                  <bgColor rgb="FFC6EFCE"/>
                </patternFill>
              </fill>
            </x14:dxf>
          </x14:cfRule>
          <xm:sqref>I157:I174 L254:L260 L330:L351 L354:L365</xm:sqref>
        </x14:conditionalFormatting>
        <x14:conditionalFormatting xmlns:xm="http://schemas.microsoft.com/office/excel/2006/main">
          <x14:cfRule type="containsText" priority="410" stopIfTrue="1" operator="containsText" id="{F82BCA92-014B-4345-9BE3-0A41EE3E7F4A}">
            <xm:f>NOT(ISERROR(SEARCH("Value Missing",I157)))</xm:f>
            <xm:f>"Value Missing"</xm:f>
            <x14:dxf>
              <font>
                <color rgb="FF0E223A"/>
              </font>
              <fill>
                <patternFill>
                  <bgColor rgb="FFFFBE29"/>
                </patternFill>
              </fill>
            </x14:dxf>
          </x14:cfRule>
          <xm:sqref>I157:I174</xm:sqref>
        </x14:conditionalFormatting>
        <x14:conditionalFormatting xmlns:xm="http://schemas.microsoft.com/office/excel/2006/main">
          <x14:cfRule type="containsText" priority="439" operator="containsText" id="{239CAEC7-D309-6C48-A18D-7B77D75F398F}">
            <xm:f>NOT(ISERROR(SEARCH("Value Missing",I161)))</xm:f>
            <xm:f>"Value Missing"</xm:f>
            <x14:dxf>
              <font>
                <color rgb="FF9C0006"/>
              </font>
              <fill>
                <patternFill>
                  <bgColor rgb="FFFFC7CE"/>
                </patternFill>
              </fill>
            </x14:dxf>
          </x14:cfRule>
          <x14:cfRule type="containsText" priority="443" operator="containsText" id="{6C9C07AE-C97F-FD46-9128-64816771FD8E}">
            <xm:f>NOT(ISERROR(SEARCH("Value Missing",I161)))</xm:f>
            <xm:f>"Value Missing"</xm:f>
            <x14:dxf>
              <font>
                <color rgb="FF9C0006"/>
              </font>
              <fill>
                <patternFill>
                  <bgColor rgb="FFFFC7CE"/>
                </patternFill>
              </fill>
            </x14:dxf>
          </x14:cfRule>
          <x14:cfRule type="notContainsText" priority="442" operator="notContains" id="{A1D2A634-4810-E74B-9D2C-CC179641CF8A}">
            <xm:f>ISERROR(SEARCH("Value Missing",I161))</xm:f>
            <xm:f>"Value Missing"</xm:f>
            <x14:dxf>
              <font>
                <color rgb="FF006100"/>
              </font>
              <fill>
                <patternFill>
                  <bgColor rgb="FFC6EFCE"/>
                </patternFill>
              </fill>
            </x14:dxf>
          </x14:cfRule>
          <x14:cfRule type="notContainsText" priority="444" operator="notContains" id="{AC5ABB67-C7EA-5A4C-8F40-03B08E402E6A}">
            <xm:f>ISERROR(SEARCH("Value Missing",I161))</xm:f>
            <xm:f>"Value Missing"</xm:f>
            <x14:dxf>
              <font>
                <color rgb="FF006100"/>
              </font>
              <fill>
                <patternFill>
                  <bgColor rgb="FFC6EFCE"/>
                </patternFill>
              </fill>
            </x14:dxf>
          </x14:cfRule>
          <xm:sqref>I161:I174</xm:sqref>
        </x14:conditionalFormatting>
        <x14:conditionalFormatting xmlns:xm="http://schemas.microsoft.com/office/excel/2006/main">
          <x14:cfRule type="containsText" priority="21" stopIfTrue="1" operator="containsText" id="{D3968600-DF2E-A64E-9A13-728ED6465ECD}">
            <xm:f>NOT(ISERROR(SEARCH("Value Missing",I249)))</xm:f>
            <xm:f>"Value Missing"</xm:f>
            <x14:dxf>
              <font>
                <color rgb="FF0E223A"/>
              </font>
              <fill>
                <patternFill>
                  <bgColor rgb="FFFFBE29"/>
                </patternFill>
              </fill>
            </x14:dxf>
          </x14:cfRule>
          <xm:sqref>I249:I256</xm:sqref>
        </x14:conditionalFormatting>
        <x14:conditionalFormatting xmlns:xm="http://schemas.microsoft.com/office/excel/2006/main">
          <x14:cfRule type="containsText" priority="25" stopIfTrue="1" operator="containsText" id="{35BDBE70-989F-F64A-BE43-71DD42A8701D}">
            <xm:f>NOT(ISERROR(SEARCH("Value Missing",I249)))</xm:f>
            <xm:f>"Value Missing"</xm:f>
            <x14:dxf>
              <font>
                <color rgb="FF0E223A"/>
              </font>
              <fill>
                <patternFill>
                  <bgColor rgb="FFFFBE29"/>
                </patternFill>
              </fill>
            </x14:dxf>
          </x14:cfRule>
          <xm:sqref>I249:I312</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notContainsText" priority="5349" operator="notContains" id="{EB06B408-D343-1C45-A9DA-11348E40217A}">
            <xm:f>ISERROR(SEARCH("Value Missing",L68))</xm:f>
            <xm:f>"Value Missing"</xm:f>
            <x14:dxf>
              <font>
                <color rgb="FF006100"/>
              </font>
              <fill>
                <patternFill>
                  <bgColor rgb="FFC6EFCE"/>
                </patternFill>
              </fill>
            </x14:dxf>
          </x14:cfRule>
          <x14:cfRule type="containsText" priority="5350"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containsText" priority="2286" operator="containsText" id="{F667AE56-B058-E742-B5A0-59BD3DD17B9D}">
            <xm:f>NOT(ISERROR(SEARCH("Value Missing",L72)))</xm:f>
            <xm:f>"Value Missing"</xm:f>
            <x14:dxf>
              <font>
                <color rgb="FF9C0006"/>
              </font>
              <fill>
                <patternFill>
                  <bgColor rgb="FFFFC7CE"/>
                </patternFill>
              </fill>
            </x14:dxf>
          </x14:cfRule>
          <x14:cfRule type="notContainsText" priority="2285" operator="notContains" id="{A6055999-7341-FD44-A821-28C6EA375C58}">
            <xm:f>ISERROR(SEARCH("Value Missing",L72))</xm:f>
            <xm:f>"Value Missing"</xm:f>
            <x14:dxf>
              <font>
                <color rgb="FF006100"/>
              </font>
              <fill>
                <patternFill>
                  <bgColor rgb="FFC6EFCE"/>
                </patternFill>
              </fill>
            </x14:dxf>
          </x14:cfRule>
          <xm:sqref>L72:L73</xm:sqref>
        </x14:conditionalFormatting>
        <x14:conditionalFormatting xmlns:xm="http://schemas.microsoft.com/office/excel/2006/main">
          <x14:cfRule type="containsText" priority="2284" operator="containsText" id="{A190E3DF-8B8A-AE41-955D-4EEA5D5A7A9E}">
            <xm:f>NOT(ISERROR(SEARCH("Value Missing",L77)))</xm:f>
            <xm:f>"Value Missing"</xm:f>
            <x14:dxf>
              <font>
                <color rgb="FF9C0006"/>
              </font>
              <fill>
                <patternFill>
                  <bgColor rgb="FFFFC7CE"/>
                </patternFill>
              </fill>
            </x14:dxf>
          </x14:cfRule>
          <x14:cfRule type="notContainsText" priority="2283" operator="notContains" id="{CF9A5631-84E5-A242-9D11-EC5251E412F3}">
            <xm:f>ISERROR(SEARCH("Value Missing",L77))</xm:f>
            <xm:f>"Value Missing"</xm:f>
            <x14:dxf>
              <font>
                <color rgb="FF006100"/>
              </font>
              <fill>
                <patternFill>
                  <bgColor rgb="FFC6EFCE"/>
                </patternFill>
              </fill>
            </x14:dxf>
          </x14:cfRule>
          <xm:sqref>L77:L78</xm:sqref>
        </x14:conditionalFormatting>
        <x14:conditionalFormatting xmlns:xm="http://schemas.microsoft.com/office/excel/2006/main">
          <x14:cfRule type="containsText" priority="2282" operator="containsText" id="{D8BA5D82-4AAB-684F-B3E8-B855F9C5CBDF}">
            <xm:f>NOT(ISERROR(SEARCH("Value Missing",L82)))</xm:f>
            <xm:f>"Value Missing"</xm:f>
            <x14:dxf>
              <font>
                <color rgb="FF9C0006"/>
              </font>
              <fill>
                <patternFill>
                  <bgColor rgb="FFFFC7CE"/>
                </patternFill>
              </fill>
            </x14:dxf>
          </x14:cfRule>
          <x14:cfRule type="notContainsText" priority="2281" operator="notContains" id="{4C2CED3A-085D-7C4A-A30D-527DBB1A2B94}">
            <xm:f>ISERROR(SEARCH("Value Missing",L82))</xm:f>
            <xm:f>"Value Missing"</xm:f>
            <x14:dxf>
              <font>
                <color rgb="FF006100"/>
              </font>
              <fill>
                <patternFill>
                  <bgColor rgb="FFC6EFCE"/>
                </patternFill>
              </fill>
            </x14:dxf>
          </x14:cfRule>
          <xm:sqref>L82:L83</xm:sqref>
        </x14:conditionalFormatting>
        <x14:conditionalFormatting xmlns:xm="http://schemas.microsoft.com/office/excel/2006/main">
          <x14:cfRule type="containsText" priority="2280" operator="containsText" id="{1E360F40-5887-A546-85AA-CE1919341AD2}">
            <xm:f>NOT(ISERROR(SEARCH("Value Missing",L87)))</xm:f>
            <xm:f>"Value Missing"</xm:f>
            <x14:dxf>
              <font>
                <color rgb="FF9C0006"/>
              </font>
              <fill>
                <patternFill>
                  <bgColor rgb="FFFFC7CE"/>
                </patternFill>
              </fill>
            </x14:dxf>
          </x14:cfRule>
          <x14:cfRule type="notContainsText" priority="2279" operator="notContains" id="{5162A225-94BA-E648-8021-C9746B852834}">
            <xm:f>ISERROR(SEARCH("Value Missing",L87))</xm:f>
            <xm:f>"Value Missing"</xm:f>
            <x14:dxf>
              <font>
                <color rgb="FF006100"/>
              </font>
              <fill>
                <patternFill>
                  <bgColor rgb="FFC6EFCE"/>
                </patternFill>
              </fill>
            </x14:dxf>
          </x14:cfRule>
          <xm:sqref>L87:L88</xm:sqref>
        </x14:conditionalFormatting>
        <x14:conditionalFormatting xmlns:xm="http://schemas.microsoft.com/office/excel/2006/main">
          <x14:cfRule type="containsText" priority="1854" operator="containsText" id="{B16C308F-57F7-454A-9EAA-C915315EA5EE}">
            <xm:f>NOT(ISERROR(SEARCH("Value Missing",L92)))</xm:f>
            <xm:f>"Value Missing"</xm:f>
            <x14:dxf>
              <font>
                <color rgb="FF9C0006"/>
              </font>
              <fill>
                <patternFill>
                  <bgColor rgb="FFFFC7CE"/>
                </patternFill>
              </fill>
            </x14:dxf>
          </x14:cfRule>
          <x14:cfRule type="notContainsText" priority="1853"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34" operator="containsText" id="{BEF954B9-E159-C54D-B02B-A152B6A1554C}">
            <xm:f>NOT(ISERROR(SEARCH("Value Missing",L97)))</xm:f>
            <xm:f>"Value Missing"</xm:f>
            <x14:dxf>
              <font>
                <color rgb="FF9C0006"/>
              </font>
              <fill>
                <patternFill>
                  <bgColor rgb="FFFFC7CE"/>
                </patternFill>
              </fill>
            </x14:dxf>
          </x14:cfRule>
          <x14:cfRule type="notContainsText" priority="1533" operator="notContains" id="{527EF464-5776-B14A-8F20-4E71DC2B6BE8}">
            <xm:f>ISERROR(SEARCH("Value Missing",L97))</xm:f>
            <xm:f>"Value Missing"</xm:f>
            <x14:dxf>
              <font>
                <color rgb="FF006100"/>
              </font>
              <fill>
                <patternFill>
                  <bgColor rgb="FFC6EFCE"/>
                </patternFill>
              </fill>
            </x14:dxf>
          </x14:cfRule>
          <xm:sqref>L97:L98 L111:L122</xm:sqref>
        </x14:conditionalFormatting>
        <x14:conditionalFormatting xmlns:xm="http://schemas.microsoft.com/office/excel/2006/main">
          <x14:cfRule type="containsText" priority="2024" operator="containsText" id="{EB634813-7434-9946-AC83-1C209EEC6624}">
            <xm:f>NOT(ISERROR(SEARCH("Value Missing",L105)))</xm:f>
            <xm:f>"Value Missing"</xm:f>
            <x14:dxf>
              <font>
                <color rgb="FF9C0006"/>
              </font>
              <fill>
                <patternFill>
                  <bgColor rgb="FFFFC7CE"/>
                </patternFill>
              </fill>
            </x14:dxf>
          </x14:cfRule>
          <x14:cfRule type="notContainsText" priority="2023" operator="notContains" id="{0BC9AB65-82BA-7F40-931A-DB297ED9FE28}">
            <xm:f>ISERROR(SEARCH("Value Missing",L105))</xm:f>
            <xm:f>"Value Missing"</xm:f>
            <x14:dxf>
              <font>
                <color rgb="FF006100"/>
              </font>
              <fill>
                <patternFill>
                  <bgColor rgb="FFC6EFCE"/>
                </patternFill>
              </fill>
            </x14:dxf>
          </x14:cfRule>
          <xm:sqref>L105</xm:sqref>
        </x14:conditionalFormatting>
        <x14:conditionalFormatting xmlns:xm="http://schemas.microsoft.com/office/excel/2006/main">
          <x14:cfRule type="containsText" priority="2032" operator="containsText" id="{9383DBED-1A97-434D-93BA-864E6F154708}">
            <xm:f>NOT(ISERROR(SEARCH("Value Missing",L106)))</xm:f>
            <xm:f>"Value Missing"</xm:f>
            <x14:dxf>
              <font>
                <color rgb="FF9C0006"/>
              </font>
              <fill>
                <patternFill>
                  <bgColor rgb="FFFFC7CE"/>
                </patternFill>
              </fill>
            </x14:dxf>
          </x14:cfRule>
          <x14:cfRule type="notContainsText" priority="2031" operator="notContains" id="{F29D4069-301D-E541-B3E3-18BFB9A7143B}">
            <xm:f>ISERROR(SEARCH("Value Missing",L106))</xm:f>
            <xm:f>"Value Missing"</xm:f>
            <x14:dxf>
              <font>
                <color rgb="FF006100"/>
              </font>
              <fill>
                <patternFill>
                  <bgColor rgb="FFC6EF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notContainsText" priority="2085" operator="notContains" id="{3F8F241C-E223-8A48-8406-E7B18BA564FA}">
            <xm:f>ISERROR(SEARCH("Value Missing",L131))</xm:f>
            <xm:f>"Value Missing"</xm:f>
            <x14:dxf>
              <font>
                <color rgb="FF006100"/>
              </font>
              <fill>
                <patternFill>
                  <bgColor rgb="FFC6EFCE"/>
                </patternFill>
              </fill>
            </x14:dxf>
          </x14:cfRule>
          <x14:cfRule type="containsText" priority="2086" operator="containsText" id="{27C6D238-65C9-3445-A866-E072F0BBF0AF}">
            <xm:f>NOT(ISERROR(SEARCH("Value Missing",L131)))</xm:f>
            <xm:f>"Value Missing"</xm:f>
            <x14:dxf>
              <font>
                <color rgb="FF9C0006"/>
              </font>
              <fill>
                <patternFill>
                  <bgColor rgb="FFFFC7CE"/>
                </patternFill>
              </fill>
            </x14:dxf>
          </x14:cfRule>
          <xm:sqref>L131:L132</xm:sqref>
        </x14:conditionalFormatting>
        <x14:conditionalFormatting xmlns:xm="http://schemas.microsoft.com/office/excel/2006/main">
          <x14:cfRule type="notContainsText" priority="1530" operator="notContains" id="{485F175F-22A5-F241-B988-F11B3EDEBBFC}">
            <xm:f>ISERROR(SEARCH("Value Missing",L164))</xm:f>
            <xm:f>"Value Missing"</xm:f>
            <x14:dxf>
              <font>
                <color rgb="FF006100"/>
              </font>
              <fill>
                <patternFill>
                  <bgColor rgb="FFC6EFCE"/>
                </patternFill>
              </fill>
            </x14:dxf>
          </x14:cfRule>
          <x14:cfRule type="containsText" priority="1531" operator="containsText" id="{ACAD98C9-C2F0-E64E-8332-154EA7A5DF00}">
            <xm:f>NOT(ISERROR(SEARCH("Value Missing",L164)))</xm:f>
            <xm:f>"Value Missing"</xm:f>
            <x14:dxf>
              <font>
                <color rgb="FF9C0006"/>
              </font>
              <fill>
                <patternFill>
                  <bgColor rgb="FFFFC7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containsText" priority="97" stopIfTrue="1" operator="containsText" id="{E22FD3A8-CD2A-8E4A-8E4F-C8233B5E87A5}">
            <xm:f>NOT(ISERROR(SEARCH("Value Missing",L229)))</xm:f>
            <xm:f>"Value Missing"</xm:f>
            <x14:dxf>
              <font>
                <color rgb="FF0E223A"/>
              </font>
              <fill>
                <patternFill>
                  <bgColor rgb="FFFFBE29"/>
                </patternFill>
              </fill>
            </x14:dxf>
          </x14:cfRule>
          <x14:cfRule type="notContainsText" priority="101" operator="notContains" id="{642EEB73-90AA-4840-8D2E-077B98AEE888}">
            <xm:f>ISERROR(SEARCH("Value Missing",L229))</xm:f>
            <xm:f>"Value Missing"</xm:f>
            <x14:dxf>
              <font>
                <color rgb="FF006100"/>
              </font>
              <fill>
                <patternFill>
                  <bgColor rgb="FFC6EFCE"/>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containsText" priority="79" stopIfTrue="1" operator="containsText" id="{E5CEA684-26C7-D448-AC49-AF58FB1D4C89}">
            <xm:f>NOT(ISERROR(SEARCH("Value Missing",L269)))</xm:f>
            <xm:f>"Value Missing"</xm:f>
            <x14:dxf>
              <font>
                <color rgb="FF0E223A"/>
              </font>
              <fill>
                <patternFill>
                  <bgColor rgb="FFFFBE29"/>
                </patternFill>
              </fill>
            </x14:dxf>
          </x14:cfRule>
          <x14:cfRule type="notContainsText" priority="83"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containsText" priority="73" stopIfTrue="1" operator="containsText" id="{4CB8A0CE-A2B2-B446-9E6B-8ECF54515776}">
            <xm:f>NOT(ISERROR(SEARCH("Value Missing",L274)))</xm:f>
            <xm:f>"Value Missing"</xm:f>
            <x14:dxf>
              <font>
                <color rgb="FF0E223A"/>
              </font>
              <fill>
                <patternFill>
                  <bgColor rgb="FFFFBE29"/>
                </patternFill>
              </fill>
            </x14:dxf>
          </x14:cfRule>
          <x14:cfRule type="notContainsText" priority="77" operator="notContains" id="{EA8EE2D5-55D7-8F43-921B-1B83A0E4D1EE}">
            <xm:f>ISERROR(SEARCH("Value Missing",L274))</xm:f>
            <xm:f>"Value Missing"</xm:f>
            <x14:dxf>
              <font>
                <color rgb="FF006100"/>
              </font>
              <fill>
                <patternFill>
                  <bgColor rgb="FFC6EFCE"/>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notContainsText" priority="1022" operator="notContains" id="{9BCF9790-E186-9747-92CF-1BBDFB7A4594}">
            <xm:f>ISERROR(SEARCH("Value Missing",R8))</xm:f>
            <xm:f>"Value Missing"</xm:f>
            <x14:dxf>
              <font>
                <color rgb="FF006100"/>
              </font>
              <fill>
                <patternFill>
                  <bgColor rgb="FFC6EFCE"/>
                </patternFill>
              </fill>
            </x14:dxf>
          </x14:cfRule>
          <x14:cfRule type="notContainsText" priority="1024" operator="notContains" id="{D833FB44-6E5C-004B-9AB4-C0621EC6A7D6}">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m:sqref>R8</xm:sqref>
        </x14:conditionalFormatting>
        <x14:conditionalFormatting xmlns:xm="http://schemas.microsoft.com/office/excel/2006/main">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notContainsText" priority="1003" operator="notContains" id="{77327FD0-8A72-544F-8C5A-9BD189CE4CE0}">
            <xm:f>ISERROR(SEARCH("Value Missing",R12))</xm:f>
            <xm:f>"Value Missing"</xm:f>
            <x14:dxf>
              <font>
                <color rgb="FF006100"/>
              </font>
              <fill>
                <patternFill>
                  <bgColor rgb="FFC6EF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m:sqref>R12</xm:sqref>
        </x14:conditionalFormatting>
        <x14:conditionalFormatting xmlns:xm="http://schemas.microsoft.com/office/excel/2006/main">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m:sqref>R16</xm:sqref>
        </x14:conditionalFormatting>
        <x14:conditionalFormatting xmlns:xm="http://schemas.microsoft.com/office/excel/2006/main">
          <x14:cfRule type="notContainsText" priority="1096" operator="notContains" id="{58795953-E013-904D-9B4F-EDD0EAB8FAA8}">
            <xm:f>ISERROR(SEARCH("Value Missing",R28))</xm:f>
            <xm:f>"Value Missing"</xm:f>
            <x14:dxf>
              <font>
                <color rgb="FF006100"/>
              </font>
              <fill>
                <patternFill>
                  <bgColor rgb="FFC6EFCE"/>
                </patternFill>
              </fill>
            </x14:dxf>
          </x14:cfRule>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m:sqref>R34</xm:sqref>
        </x14:conditionalFormatting>
        <x14:conditionalFormatting xmlns:xm="http://schemas.microsoft.com/office/excel/2006/main">
          <x14:cfRule type="notContainsText" priority="981" operator="notContains" id="{FE6EE06D-EA32-B947-998A-40AFDBE9E1E8}">
            <xm:f>ISERROR(SEARCH("Value Missing",R38))</xm:f>
            <xm:f>"Value Missing"</xm:f>
            <x14:dxf>
              <font>
                <color rgb="FF006100"/>
              </font>
              <fill>
                <patternFill>
                  <bgColor rgb="FFC6EFCE"/>
                </patternFill>
              </fill>
            </x14:dxf>
          </x14:cfRule>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14:cfRule type="containsText" priority="989" operator="containsText" id="{2E49C2E7-4B71-D144-A68D-FB239272EED9}">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m:sqref>R38:R43</xm:sqref>
        </x14:conditionalFormatting>
        <x14:conditionalFormatting xmlns:xm="http://schemas.microsoft.com/office/excel/2006/main">
          <x14:cfRule type="containsText" priority="972" operator="containsText" id="{10C53C1A-5B9B-2044-AEF1-588D5B16A688}">
            <xm:f>NOT(ISERROR(SEARCH("Value Missing",R48)))</xm:f>
            <xm:f>"Value Missing"</xm:f>
            <x14:dxf>
              <font>
                <color rgb="FF9C0006"/>
              </font>
              <fill>
                <patternFill>
                  <bgColor rgb="FFFFC7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containsText" priority="962" stopIfTrue="1" operator="containsText" id="{C747A61D-F79D-9648-B908-E31999C7EBF1}">
            <xm:f>NOT(ISERROR(SEARCH("Value Missing",R48)))</xm:f>
            <xm:f>"Value Missing"</xm:f>
            <x14:dxf>
              <font>
                <color rgb="FF0E223A"/>
              </font>
              <fill>
                <patternFill>
                  <bgColor rgb="FFFFBE29"/>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8" operator="notContains" id="{84DB17FC-53A1-6747-8965-5E11BD0C40DA}">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m:sqref>R48</xm:sqref>
        </x14:conditionalFormatting>
        <x14:conditionalFormatting xmlns:xm="http://schemas.microsoft.com/office/excel/2006/main">
          <x14:cfRule type="containsText" priority="954" operator="containsText" id="{BDE2240E-D23C-424E-9D78-DAD0989FBD63}">
            <xm:f>NOT(ISERROR(SEARCH("Value Missing",R52)))</xm:f>
            <xm:f>"Value Missing"</xm:f>
            <x14:dxf>
              <font>
                <color rgb="FF9C0006"/>
              </font>
              <fill>
                <patternFill>
                  <bgColor rgb="FFFFC7CE"/>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containsText" priority="957" operator="containsText" id="{5903A377-0F9C-5D41-94D3-853E62433B68}">
            <xm:f>NOT(ISERROR(SEARCH("Value Missing",R52)))</xm:f>
            <xm:f>"Value Missing"</xm:f>
            <x14:dxf>
              <font>
                <color rgb="FF9C0006"/>
              </font>
              <fill>
                <patternFill>
                  <bgColor rgb="FFFFC7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47" stopIfTrue="1" operator="containsText" id="{2C2F8B9F-9DB2-3641-80BE-C6405821A35C}">
            <xm:f>NOT(ISERROR(SEARCH("Value Missing",R52)))</xm:f>
            <xm:f>"Value Missing"</xm:f>
            <x14:dxf>
              <font>
                <color rgb="FF0E223A"/>
              </font>
              <fill>
                <patternFill>
                  <bgColor rgb="FFFFBE29"/>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F130:F131</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F106:F107 R114:R115 R119:R120 C192:C193</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F130:F131</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F106:F107 C192:C193</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containsText" priority="1426" operator="containsText" id="{147AD28B-CD9B-8043-BC38-424E2793FCDA}">
            <xm:f>NOT(ISERROR(SEARCH("Value Missing",R101)))</xm:f>
            <xm:f>"Value Missing"</xm:f>
            <x14:dxf>
              <font>
                <color rgb="FF9C0006"/>
              </font>
              <fill>
                <patternFill>
                  <bgColor rgb="FFFFC7CE"/>
                </patternFill>
              </fill>
            </x14:dxf>
          </x14:cfRule>
          <x14:cfRule type="notContainsText" priority="1425" operator="notContains" id="{3334E1B8-527D-164D-A3DA-AE594F1829B5}">
            <xm:f>ISERROR(SEARCH("Value Missing",R101))</xm:f>
            <xm:f>"Value Missing"</xm:f>
            <x14:dxf>
              <font>
                <color rgb="FF006100"/>
              </font>
              <fill>
                <patternFill>
                  <bgColor rgb="FFC6EFCE"/>
                </patternFill>
              </fill>
            </x14:dxf>
          </x14:cfRule>
          <xm:sqref>R101:R104</xm:sqref>
        </x14:conditionalFormatting>
        <x14:conditionalFormatting xmlns:xm="http://schemas.microsoft.com/office/excel/2006/main">
          <x14:cfRule type="containsText" priority="1446" operator="containsText" id="{C96BE528-836B-CC44-ACC9-A66CE6FD51F2}">
            <xm:f>NOT(ISERROR(SEARCH("Value Missing",R108)))</xm:f>
            <xm:f>"Value Missing"</xm:f>
            <x14:dxf>
              <font>
                <color rgb="FF9C0006"/>
              </font>
              <fill>
                <patternFill>
                  <bgColor rgb="FFFFC7CE"/>
                </patternFill>
              </fill>
            </x14:dxf>
          </x14:cfRule>
          <x14:cfRule type="notContainsText" priority="1445" operator="notContains" id="{06F54E94-2D64-4144-88BD-ACC98259AA90}">
            <xm:f>ISERROR(SEARCH("Value Missing",R108))</xm:f>
            <xm:f>"Value Missing"</xm:f>
            <x14:dxf>
              <font>
                <color rgb="FF006100"/>
              </font>
              <fill>
                <patternFill>
                  <bgColor rgb="FFC6EFCE"/>
                </patternFill>
              </fill>
            </x14:dxf>
          </x14:cfRule>
          <xm:sqref>R108:R110</xm:sqref>
        </x14:conditionalFormatting>
        <x14:conditionalFormatting xmlns:xm="http://schemas.microsoft.com/office/excel/2006/main">
          <x14:cfRule type="notContainsText" priority="1439" operator="notContains" id="{269182F5-E88F-9146-8A84-A06F97937521}">
            <xm:f>ISERROR(SEARCH("Value Missing",R114))</xm:f>
            <xm:f>"Value Missing"</xm:f>
            <x14:dxf>
              <font>
                <color rgb="FF006100"/>
              </font>
              <fill>
                <patternFill>
                  <bgColor rgb="FFC6EFCE"/>
                </patternFill>
              </fill>
            </x14:dxf>
          </x14:cfRule>
          <x14:cfRule type="containsText" priority="1440" operator="containsText" id="{C83E172E-5E47-C640-B63C-C6EC07BF94CA}">
            <xm:f>NOT(ISERROR(SEARCH("Value Missing",R114)))</xm:f>
            <xm:f>"Value Missing"</xm:f>
            <x14:dxf>
              <font>
                <color rgb="FF9C0006"/>
              </font>
              <fill>
                <patternFill>
                  <bgColor rgb="FFFFC7CE"/>
                </patternFill>
              </fill>
            </x14:dxf>
          </x14:cfRule>
          <xm:sqref>R114:R115</xm:sqref>
        </x14:conditionalFormatting>
        <x14:conditionalFormatting xmlns:xm="http://schemas.microsoft.com/office/excel/2006/main">
          <x14:cfRule type="containsText" priority="1436" operator="containsText" id="{F6D18970-8014-0E46-A072-D76E96086786}">
            <xm:f>NOT(ISERROR(SEARCH("Value Missing",R119)))</xm:f>
            <xm:f>"Value Missing"</xm:f>
            <x14:dxf>
              <font>
                <color rgb="FF9C0006"/>
              </font>
              <fill>
                <patternFill>
                  <bgColor rgb="FFFFC7CE"/>
                </patternFill>
              </fill>
            </x14:dxf>
          </x14:cfRule>
          <x14:cfRule type="notContainsText" priority="1435" operator="notContains" id="{5BF99BCE-21AE-644B-9DD8-C38F98C0BA40}">
            <xm:f>ISERROR(SEARCH("Value Missing",R119))</xm:f>
            <xm:f>"Value Missing"</xm:f>
            <x14:dxf>
              <font>
                <color rgb="FF006100"/>
              </font>
              <fill>
                <patternFill>
                  <bgColor rgb="FFC6EFCE"/>
                </patternFill>
              </fill>
            </x14:dxf>
          </x14:cfRule>
          <xm:sqref>R119:R120</xm:sqref>
        </x14:conditionalFormatting>
        <x14:conditionalFormatting xmlns:xm="http://schemas.microsoft.com/office/excel/2006/main">
          <x14:cfRule type="notContainsText" priority="1431" operator="notContains" id="{5FAE5C21-9C4E-8849-860E-239D505855CF}">
            <xm:f>ISERROR(SEARCH("Value Missing",R129))</xm:f>
            <xm:f>"Value Missing"</xm:f>
            <x14:dxf>
              <font>
                <color rgb="FF006100"/>
              </font>
              <fill>
                <patternFill>
                  <bgColor rgb="FFC6EFCE"/>
                </patternFill>
              </fill>
            </x14:dxf>
          </x14:cfRule>
          <x14:cfRule type="containsText" priority="1432" operator="containsText" id="{2887FFCC-7AC0-1245-A4BB-A7D33A70D8DE}">
            <xm:f>NOT(ISERROR(SEARCH("Value Missing",R129)))</xm:f>
            <xm:f>"Value Missing"</xm:f>
            <x14:dxf>
              <font>
                <color rgb="FF9C0006"/>
              </font>
              <fill>
                <patternFill>
                  <bgColor rgb="FFFFC7CE"/>
                </patternFill>
              </fill>
            </x14:dxf>
          </x14:cfRule>
          <xm:sqref>R129:R130</xm:sqref>
        </x14:conditionalFormatting>
        <x14:conditionalFormatting xmlns:xm="http://schemas.microsoft.com/office/excel/2006/main">
          <x14:cfRule type="notContainsText" priority="1141" operator="notContains" id="{3193313F-8651-B24D-834D-AC9B4D630FC8}">
            <xm:f>ISERROR(SEARCH("Value Missing",R134))</xm:f>
            <xm:f>"Value Missing"</xm:f>
            <x14:dxf>
              <font>
                <color rgb="FF006100"/>
              </font>
              <fill>
                <patternFill>
                  <bgColor rgb="FFC6EF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m:sqref>R134:R135</xm:sqref>
        </x14:conditionalFormatting>
        <x14:conditionalFormatting xmlns:xm="http://schemas.microsoft.com/office/excel/2006/main">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9" operator="containsText" id="{104118BD-CB82-524E-9638-973BBE17838C}">
            <xm:f>NOT(ISERROR(SEARCH("Value Missing",R139)))</xm:f>
            <xm:f>"Value Missing"</xm:f>
            <x14:dxf>
              <font>
                <color rgb="FF9C0006"/>
              </font>
              <fill>
                <patternFill>
                  <bgColor rgb="FFFFC7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6" operator="notContains" id="{31FF1EC6-C61B-F34D-8AFC-039532B93406}">
            <xm:f>ISERROR(SEARCH("Value Missing",R139))</xm:f>
            <xm:f>"Value Missing"</xm:f>
            <x14:dxf>
              <font>
                <color rgb="FF006100"/>
              </font>
              <fill>
                <patternFill>
                  <bgColor rgb="FFC6EFCE"/>
                </patternFill>
              </fill>
            </x14:dxf>
          </x14:cfRule>
          <xm:sqref>R139:R140</xm:sqref>
        </x14:conditionalFormatting>
        <x14:conditionalFormatting xmlns:xm="http://schemas.microsoft.com/office/excel/2006/main">
          <x14:cfRule type="notContainsText" priority="1952" operator="notContains" id="{C9F8C065-134D-BB41-87E1-6E6F32D43543}">
            <xm:f>ISERROR(SEARCH("Value Missing",L8))</xm:f>
            <xm:f>"Value Missing"</xm:f>
            <x14:dxf>
              <font>
                <color rgb="FF006100"/>
              </font>
              <fill>
                <patternFill>
                  <bgColor rgb="FFC6EFCE"/>
                </patternFill>
              </fill>
            </x14:dxf>
          </x14:cfRule>
          <x14:cfRule type="containsText" priority="1628" operator="containsText" id="{81F8458F-0B16-0440-BFC1-DCE849E3AD30}">
            <xm:f>NOT(ISERROR(SEARCH("Value Missing",L8)))</xm:f>
            <xm:f>"Value Missing"</xm:f>
            <x14:dxf>
              <font>
                <color rgb="FF9C0006"/>
              </font>
              <fill>
                <patternFill>
                  <bgColor rgb="FFFFC7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containsText" priority="1429" operator="containsText" id="{6BD79D30-FD50-3642-88E9-B1B1B76EB5C5}">
            <xm:f>NOT(ISERROR(SEARCH("Value Missing",U52)))</xm:f>
            <xm:f>"Value Missing"</xm:f>
            <x14:dxf>
              <font>
                <color rgb="FF9C0006"/>
              </font>
              <fill>
                <patternFill>
                  <bgColor rgb="FFFFC7CE"/>
                </patternFill>
              </fill>
            </x14:dxf>
          </x14:cfRule>
          <x14:cfRule type="notContainsText" priority="1428" operator="notContains" id="{57C8A54C-69CA-324C-99BE-1DE795AFE07B}">
            <xm:f>ISERROR(SEARCH("Value Missing",U52))</xm:f>
            <xm:f>"Value Missing"</xm:f>
            <x14:dxf>
              <font>
                <color rgb="FF006100"/>
              </font>
              <fill>
                <patternFill>
                  <bgColor rgb="FFC6EFCE"/>
                </patternFill>
              </fill>
            </x14:dxf>
          </x14:cfRule>
          <xm:sqref>U52:U60</xm:sqref>
        </x14:conditionalFormatting>
        <x14:conditionalFormatting xmlns:xm="http://schemas.microsoft.com/office/excel/2006/main">
          <x14:cfRule type="containsText" priority="1329" operator="containsText" id="{981BEB68-FB6E-3646-A16C-1224A3F8253B}">
            <xm:f>NOT(ISERROR(SEARCH("Value Missing",U55)))</xm:f>
            <xm:f>"Value Missing"</xm:f>
            <x14:dxf>
              <font>
                <color rgb="FF9C0006"/>
              </font>
              <fill>
                <patternFill>
                  <bgColor rgb="FFFFC7CE"/>
                </patternFill>
              </fill>
            </x14:dxf>
          </x14:cfRule>
          <x14:cfRule type="notContainsText" priority="1328" operator="notContains" id="{48BF000C-DAA1-9A49-BABE-FB79BA2E9FDA}">
            <xm:f>ISERROR(SEARCH("Value Missing",U55))</xm:f>
            <xm:f>"Value Missing"</xm:f>
            <x14:dxf>
              <font>
                <color rgb="FF006100"/>
              </font>
              <fill>
                <patternFill>
                  <bgColor rgb="FFC6EFCE"/>
                </patternFill>
              </fill>
            </x14:dxf>
          </x14:cfRule>
          <xm:sqref>U55:U60</xm:sqref>
        </x14:conditionalFormatting>
        <x14:conditionalFormatting xmlns:xm="http://schemas.microsoft.com/office/excel/2006/main">
          <x14:cfRule type="notContainsText" priority="1373" operator="notContains" id="{689D6E64-E929-B041-AAA0-CD56000FB8C9}">
            <xm:f>ISERROR(SEARCH("Value Missing",U64))</xm:f>
            <xm:f>"Value Missing"</xm:f>
            <x14:dxf>
              <font>
                <color rgb="FF006100"/>
              </font>
              <fill>
                <patternFill>
                  <bgColor rgb="FFC6EFCE"/>
                </patternFill>
              </fill>
            </x14:dxf>
          </x14:cfRule>
          <x14:cfRule type="containsText" priority="1374" operator="containsText" id="{A328C2EF-F06B-214C-B15D-3A74354AE8D1}">
            <xm:f>NOT(ISERROR(SEARCH("Value Missing",U64)))</xm:f>
            <xm:f>"Value Missing"</xm:f>
            <x14:dxf>
              <font>
                <color rgb="FF9C0006"/>
              </font>
              <fill>
                <patternFill>
                  <bgColor rgb="FFFFC7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notContainsText" priority="1414" operator="notContains" id="{9E68E843-A3A4-7944-93D1-748A9854A463}">
            <xm:f>ISERROR(SEARCH("Value Missing",U79))</xm:f>
            <xm:f>"Value Missing"</xm:f>
            <x14:dxf>
              <font>
                <color rgb="FF006100"/>
              </font>
              <fill>
                <patternFill>
                  <bgColor rgb="FFC6EFCE"/>
                </patternFill>
              </fill>
            </x14:dxf>
          </x14:cfRule>
          <x14:cfRule type="containsText" priority="1415" operator="containsText" id="{EE0C5DB8-7946-5547-9B63-1F5CF03206F0}">
            <xm:f>NOT(ISERROR(SEARCH("Value Missing",U79)))</xm:f>
            <xm:f>"Value Missing"</xm:f>
            <x14:dxf>
              <font>
                <color rgb="FF9C0006"/>
              </font>
              <fill>
                <patternFill>
                  <bgColor rgb="FFFFC7CE"/>
                </patternFill>
              </fill>
            </x14:dxf>
          </x14:cfRule>
          <xm:sqref>U79</xm:sqref>
        </x14:conditionalFormatting>
        <x14:conditionalFormatting xmlns:xm="http://schemas.microsoft.com/office/excel/2006/main">
          <x14:cfRule type="notContainsText" priority="1993" operator="notContains" id="{35C67C57-0F0F-2C49-AFEB-C171FD6A3F5A}">
            <xm:f>ISERROR(SEARCH("Value Missing",L80))</xm:f>
            <xm:f>"Value Missing"</xm:f>
            <x14:dxf>
              <font>
                <color rgb="FF006100"/>
              </font>
              <fill>
                <patternFill>
                  <bgColor rgb="FFC6EFCE"/>
                </patternFill>
              </fill>
            </x14:dxf>
          </x14:cfRule>
          <x14:cfRule type="containsText" priority="1994" operator="containsText" id="{AA601A5E-A136-704B-BA9B-294C341E50BC}">
            <xm:f>NOT(ISERROR(SEARCH("Value Missing",L80)))</xm:f>
            <xm:f>"Value Missing"</xm:f>
            <x14:dxf>
              <font>
                <color rgb="FF9C0006"/>
              </font>
              <fill>
                <patternFill>
                  <bgColor rgb="FFFFC7CE"/>
                </patternFill>
              </fill>
            </x14:dxf>
          </x14:cfRule>
          <xm:sqref>U80 L139:L141</xm:sqref>
        </x14:conditionalFormatting>
        <x14:conditionalFormatting xmlns:xm="http://schemas.microsoft.com/office/excel/2006/main">
          <x14:cfRule type="containsText" priority="1382" operator="containsText" id="{E9C1603B-D4AE-874E-BAE9-48086556B6CE}">
            <xm:f>NOT(ISERROR(SEARCH("Value Missing",U91)))</xm:f>
            <xm:f>"Value Missing"</xm:f>
            <x14:dxf>
              <font>
                <color rgb="FF9C0006"/>
              </font>
              <fill>
                <patternFill>
                  <bgColor rgb="FFFFC7CE"/>
                </patternFill>
              </fill>
            </x14:dxf>
          </x14:cfRule>
          <x14:cfRule type="notContainsText" priority="1381" operator="notContains" id="{4E045DA0-FD53-5E40-BBF0-2CDC4CE9F47E}">
            <xm:f>ISERROR(SEARCH("Value Missing",U91))</xm:f>
            <xm:f>"Value Missing"</xm:f>
            <x14:dxf>
              <font>
                <color rgb="FF006100"/>
              </font>
              <fill>
                <patternFill>
                  <bgColor rgb="FFC6EFCE"/>
                </patternFill>
              </fill>
            </x14:dxf>
          </x14:cfRule>
          <xm:sqref>U91:U99</xm:sqref>
        </x14:conditionalFormatting>
        <x14:conditionalFormatting xmlns:xm="http://schemas.microsoft.com/office/excel/2006/main">
          <x14:cfRule type="containsText" priority="1103" operator="containsText" id="{E22536AA-527A-854B-8152-1A4EDF21B2F5}">
            <xm:f>NOT(ISERROR(SEARCH("Value Missing",L103)))</xm:f>
            <xm:f>"Value Missing"</xm:f>
            <x14:dxf>
              <font>
                <color rgb="FF9C0006"/>
              </font>
              <fill>
                <patternFill>
                  <bgColor rgb="FFFFC7CE"/>
                </patternFill>
              </fill>
            </x14:dxf>
          </x14:cfRule>
          <x14:cfRule type="notContainsText" priority="1102" operator="notContains" id="{37EB2435-523C-504A-BAAB-E62CE9A7DD52}">
            <xm:f>ISERROR(SEARCH("Value Missing",L103))</xm:f>
            <xm:f>"Value Missing"</xm:f>
            <x14:dxf>
              <font>
                <color rgb="FF006100"/>
              </font>
              <fill>
                <patternFill>
                  <bgColor rgb="FFC6EF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containsText" priority="2627" operator="containsText" id="{4DE0EAC0-D6C1-A24D-A0A3-E69D3875A170}">
            <xm:f>NOT(ISERROR(SEARCH("Value Missing",X8)))</xm:f>
            <xm:f>"Value Missing"</xm:f>
            <x14:dxf>
              <font>
                <color rgb="FF9C0006"/>
              </font>
              <fill>
                <patternFill>
                  <bgColor rgb="FFFFC7CE"/>
                </patternFill>
              </fill>
            </x14:dxf>
          </x14:cfRule>
          <x14:cfRule type="notContainsText" priority="2626" operator="notContains" id="{44931D3D-915C-8641-915A-39E8A8EBF7A6}">
            <xm:f>ISERROR(SEARCH("Value Missing",X8))</xm:f>
            <xm:f>"Value Missing"</xm:f>
            <x14:dxf>
              <font>
                <color rgb="FF006100"/>
              </font>
              <fill>
                <patternFill>
                  <bgColor rgb="FFC6EFCE"/>
                </patternFill>
              </fill>
            </x14:dxf>
          </x14:cfRule>
          <xm:sqref>X8:X9</xm:sqref>
        </x14:conditionalFormatting>
        <x14:conditionalFormatting xmlns:xm="http://schemas.microsoft.com/office/excel/2006/main">
          <x14:cfRule type="containsText" priority="2620" operator="containsText" id="{1997DC49-A5D2-B441-B9B0-FF9C99CFD8F7}">
            <xm:f>NOT(ISERROR(SEARCH("Value Missing",X13)))</xm:f>
            <xm:f>"Value Missing"</xm:f>
            <x14:dxf>
              <font>
                <color rgb="FF9C0006"/>
              </font>
              <fill>
                <patternFill>
                  <bgColor rgb="FFFFC7CE"/>
                </patternFill>
              </fill>
            </x14:dxf>
          </x14:cfRule>
          <x14:cfRule type="notContainsText" priority="2619" operator="notContains" id="{44EEBB87-F811-BB4B-BC11-6001152F69BD}">
            <xm:f>ISERROR(SEARCH("Value Missing",X13))</xm:f>
            <xm:f>"Value Missing"</xm:f>
            <x14:dxf>
              <font>
                <color rgb="FF006100"/>
              </font>
              <fill>
                <patternFill>
                  <bgColor rgb="FFC6EFCE"/>
                </patternFill>
              </fill>
            </x14:dxf>
          </x14:cfRule>
          <xm:sqref>X13:X14</xm:sqref>
        </x14:conditionalFormatting>
        <x14:conditionalFormatting xmlns:xm="http://schemas.microsoft.com/office/excel/2006/main">
          <x14:cfRule type="containsText" priority="2615" operator="containsText" id="{CECA1DF2-AE4F-F840-9E9E-93FE60797373}">
            <xm:f>NOT(ISERROR(SEARCH("Value Missing",X18)))</xm:f>
            <xm:f>"Value Missing"</xm:f>
            <x14:dxf>
              <font>
                <color rgb="FF9C0006"/>
              </font>
              <fill>
                <patternFill>
                  <bgColor rgb="FFFFC7CE"/>
                </patternFill>
              </fill>
            </x14:dxf>
          </x14:cfRule>
          <x14:cfRule type="notContainsText" priority="2614" operator="notContains" id="{E9F5C35D-6DF6-A04D-BB7D-C236297DA160}">
            <xm:f>ISERROR(SEARCH("Value Missing",X18))</xm:f>
            <xm:f>"Value Missing"</xm:f>
            <x14:dxf>
              <font>
                <color rgb="FF006100"/>
              </font>
              <fill>
                <patternFill>
                  <bgColor rgb="FFC6EFCE"/>
                </patternFill>
              </fill>
            </x14:dxf>
          </x14:cfRule>
          <xm:sqref>X18:X19</xm:sqref>
        </x14:conditionalFormatting>
        <x14:conditionalFormatting xmlns:xm="http://schemas.microsoft.com/office/excel/2006/main">
          <x14:cfRule type="containsText" priority="2625" operator="containsText" id="{8B7CD512-9743-1441-9F6D-E37ADFBA5B05}">
            <xm:f>NOT(ISERROR(SEARCH("Value Missing",X28)))</xm:f>
            <xm:f>"Value Missing"</xm:f>
            <x14:dxf>
              <font>
                <color rgb="FF9C0006"/>
              </font>
              <fill>
                <patternFill>
                  <bgColor rgb="FFFFC7CE"/>
                </patternFill>
              </fill>
            </x14:dxf>
          </x14:cfRule>
          <x14:cfRule type="notContainsText" priority="2624" operator="notContains" id="{9A37B9CE-9E40-D64A-9357-1CA33AD79BDB}">
            <xm:f>ISERROR(SEARCH("Value Missing",X28))</xm:f>
            <xm:f>"Value Missing"</xm:f>
            <x14:dxf>
              <font>
                <color rgb="FF006100"/>
              </font>
              <fill>
                <patternFill>
                  <bgColor rgb="FFC6EFCE"/>
                </patternFill>
              </fill>
            </x14:dxf>
          </x14:cfRule>
          <xm:sqref>X28</xm:sqref>
        </x14:conditionalFormatting>
        <x14:conditionalFormatting xmlns:xm="http://schemas.microsoft.com/office/excel/2006/main">
          <x14:cfRule type="containsText" priority="2426" operator="containsText" id="{A222DF2A-8F10-D84C-97F7-EA18995B3CB2}">
            <xm:f>NOT(ISERROR(SEARCH("Value Missing",X32)))</xm:f>
            <xm:f>"Value Missing"</xm:f>
            <x14:dxf>
              <font>
                <color rgb="FF9C0006"/>
              </font>
              <fill>
                <patternFill>
                  <bgColor rgb="FFFFC7CE"/>
                </patternFill>
              </fill>
            </x14:dxf>
          </x14:cfRule>
          <x14:cfRule type="notContainsText" priority="2425" operator="notContains" id="{664328CD-3C4C-C34A-8A3F-F609646C6E1B}">
            <xm:f>ISERROR(SEARCH("Value Missing",X32))</xm:f>
            <xm:f>"Value Missing"</xm:f>
            <x14:dxf>
              <font>
                <color rgb="FF006100"/>
              </font>
              <fill>
                <patternFill>
                  <bgColor rgb="FFC6EFCE"/>
                </patternFill>
              </fill>
            </x14:dxf>
          </x14:cfRule>
          <xm:sqref>X32</xm:sqref>
        </x14:conditionalFormatting>
        <x14:conditionalFormatting xmlns:xm="http://schemas.microsoft.com/office/excel/2006/main">
          <x14:cfRule type="containsText" priority="2424" operator="containsText" id="{334DF228-2CB6-FE42-AFB7-9F61BB732FAC}">
            <xm:f>NOT(ISERROR(SEARCH("Value Missing",X36)))</xm:f>
            <xm:f>"Value Missing"</xm:f>
            <x14:dxf>
              <font>
                <color rgb="FF9C0006"/>
              </font>
              <fill>
                <patternFill>
                  <bgColor rgb="FFFFC7CE"/>
                </patternFill>
              </fill>
            </x14:dxf>
          </x14:cfRule>
          <x14:cfRule type="notContainsText" priority="2423" operator="notContains" id="{BBAD9CE7-DF50-0E41-9999-71B5DA30D888}">
            <xm:f>ISERROR(SEARCH("Value Missing",X36))</xm:f>
            <xm:f>"Value Missing"</xm:f>
            <x14:dxf>
              <font>
                <color rgb="FF006100"/>
              </font>
              <fill>
                <patternFill>
                  <bgColor rgb="FFC6EFCE"/>
                </patternFill>
              </fill>
            </x14:dxf>
          </x14:cfRule>
          <xm:sqref>X36</xm:sqref>
        </x14:conditionalFormatting>
        <x14:conditionalFormatting xmlns:xm="http://schemas.microsoft.com/office/excel/2006/main">
          <x14:cfRule type="notContainsText" priority="2421" operator="notContains" id="{3799A907-1A1C-414E-A7DA-DF8415A7E5F9}">
            <xm:f>ISERROR(SEARCH("Value Missing",X40))</xm:f>
            <xm:f>"Value Missing"</xm:f>
            <x14:dxf>
              <font>
                <color rgb="FF006100"/>
              </font>
              <fill>
                <patternFill>
                  <bgColor rgb="FFC6EFCE"/>
                </patternFill>
              </fill>
            </x14:dxf>
          </x14:cfRule>
          <x14:cfRule type="containsText" priority="2422" operator="containsText" id="{6BE37C52-268E-3148-B071-7D0754434044}">
            <xm:f>NOT(ISERROR(SEARCH("Value Missing",X40)))</xm:f>
            <xm:f>"Value Missing"</xm:f>
            <x14:dxf>
              <font>
                <color rgb="FF9C0006"/>
              </font>
              <fill>
                <patternFill>
                  <bgColor rgb="FFFFC7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containsText" priority="2418" operator="containsText" id="{FB431EDF-E94E-034E-9114-1BF618B35CE5}">
            <xm:f>NOT(ISERROR(SEARCH("Value Missing",X48)))</xm:f>
            <xm:f>"Value Missing"</xm:f>
            <x14:dxf>
              <font>
                <color rgb="FF9C0006"/>
              </font>
              <fill>
                <patternFill>
                  <bgColor rgb="FFFFC7CE"/>
                </patternFill>
              </fill>
            </x14:dxf>
          </x14:cfRule>
          <x14:cfRule type="notContainsText" priority="2417" operator="notContains" id="{D92FE75C-5A72-1D44-901E-112F40D295E8}">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notContainsText" priority="2415" operator="notContains" id="{BFC63F22-6362-154A-B0E7-18BAC33E7DE0}">
            <xm:f>ISERROR(SEARCH("Value Missing",X52))</xm:f>
            <xm:f>"Value Missing"</xm:f>
            <x14:dxf>
              <font>
                <color rgb="FF006100"/>
              </font>
              <fill>
                <patternFill>
                  <bgColor rgb="FFC6EFCE"/>
                </patternFill>
              </fill>
            </x14:dxf>
          </x14:cfRule>
          <x14:cfRule type="containsText" priority="2416" operator="containsText" id="{B2B9AD9B-1514-8D45-A723-8F4B7BEAFC9B}">
            <xm:f>NOT(ISERROR(SEARCH("Value Missing",X52)))</xm:f>
            <xm:f>"Value Missing"</xm:f>
            <x14:dxf>
              <font>
                <color rgb="FF9C0006"/>
              </font>
              <fill>
                <patternFill>
                  <bgColor rgb="FFFFC7CE"/>
                </patternFill>
              </fill>
            </x14:dxf>
          </x14:cfRule>
          <xm:sqref>X52</xm:sqref>
        </x14:conditionalFormatting>
        <x14:conditionalFormatting xmlns:xm="http://schemas.microsoft.com/office/excel/2006/main">
          <x14:cfRule type="notContainsText" priority="2413" operator="notContains" id="{D6276D16-CCE7-D346-A67C-9F325C3A0D00}">
            <xm:f>ISERROR(SEARCH("Value Missing",X56))</xm:f>
            <xm:f>"Value Missing"</xm:f>
            <x14:dxf>
              <font>
                <color rgb="FF006100"/>
              </font>
              <fill>
                <patternFill>
                  <bgColor rgb="FFC6EFCE"/>
                </patternFill>
              </fill>
            </x14:dxf>
          </x14:cfRule>
          <x14:cfRule type="containsText" priority="2414" operator="containsText" id="{3DE87D87-B424-734D-9E1A-3FD8A64C60F7}">
            <xm:f>NOT(ISERROR(SEARCH("Value Missing",X56)))</xm:f>
            <xm:f>"Value Missing"</xm:f>
            <x14:dxf>
              <font>
                <color rgb="FF9C0006"/>
              </font>
              <fill>
                <patternFill>
                  <bgColor rgb="FFFFC7CE"/>
                </patternFill>
              </fill>
            </x14:dxf>
          </x14:cfRule>
          <xm:sqref>X56</xm:sqref>
        </x14:conditionalFormatting>
        <x14:conditionalFormatting xmlns:xm="http://schemas.microsoft.com/office/excel/2006/main">
          <x14:cfRule type="notContainsText" priority="2411" operator="notContains" id="{E8E52FD7-DFD5-454C-BD56-561E415F20FF}">
            <xm:f>ISERROR(SEARCH("Value Missing",X60))</xm:f>
            <xm:f>"Value Missing"</xm:f>
            <x14:dxf>
              <font>
                <color rgb="FF006100"/>
              </font>
              <fill>
                <patternFill>
                  <bgColor rgb="FFC6EFCE"/>
                </patternFill>
              </fill>
            </x14:dxf>
          </x14:cfRule>
          <x14:cfRule type="containsText" priority="2412" operator="containsText" id="{F66C3292-F1DC-B94A-A53B-D1B4592CDD9F}">
            <xm:f>NOT(ISERROR(SEARCH("Value Missing",X60)))</xm:f>
            <xm:f>"Value Missing"</xm:f>
            <x14:dxf>
              <font>
                <color rgb="FF9C0006"/>
              </font>
              <fill>
                <patternFill>
                  <bgColor rgb="FFFFC7CE"/>
                </patternFill>
              </fill>
            </x14:dxf>
          </x14:cfRule>
          <xm:sqref>X60</xm:sqref>
        </x14:conditionalFormatting>
        <x14:conditionalFormatting xmlns:xm="http://schemas.microsoft.com/office/excel/2006/main">
          <x14:cfRule type="notContainsText" priority="2409" operator="notContains" id="{6E00A636-58DA-874E-9F4D-2A18FDF33177}">
            <xm:f>ISERROR(SEARCH("Value Missing",X64))</xm:f>
            <xm:f>"Value Missing"</xm:f>
            <x14:dxf>
              <font>
                <color rgb="FF006100"/>
              </font>
              <fill>
                <patternFill>
                  <bgColor rgb="FFC6EFCE"/>
                </patternFill>
              </fill>
            </x14:dxf>
          </x14:cfRule>
          <x14:cfRule type="containsText" priority="2410" operator="containsText" id="{9A4CE4C9-7EEF-F247-843A-D8F447B441FC}">
            <xm:f>NOT(ISERROR(SEARCH("Value Missing",X64)))</xm:f>
            <xm:f>"Value Missing"</xm:f>
            <x14:dxf>
              <font>
                <color rgb="FF9C0006"/>
              </font>
              <fill>
                <patternFill>
                  <bgColor rgb="FFFFC7CE"/>
                </patternFill>
              </fill>
            </x14:dxf>
          </x14:cfRule>
          <xm:sqref>X64</xm:sqref>
        </x14:conditionalFormatting>
        <x14:conditionalFormatting xmlns:xm="http://schemas.microsoft.com/office/excel/2006/main">
          <x14:cfRule type="notContainsText" priority="2407" operator="notContains" id="{9AF8A23A-5F46-5C41-AB50-41F56FF84FB2}">
            <xm:f>ISERROR(SEARCH("Value Missing",X68))</xm:f>
            <xm:f>"Value Missing"</xm:f>
            <x14:dxf>
              <font>
                <color rgb="FF006100"/>
              </font>
              <fill>
                <patternFill>
                  <bgColor rgb="FFC6EFCE"/>
                </patternFill>
              </fill>
            </x14:dxf>
          </x14:cfRule>
          <x14:cfRule type="containsText" priority="2408" operator="containsText" id="{8C22B40F-307A-014E-81A5-8C924E8B8637}">
            <xm:f>NOT(ISERROR(SEARCH("Value Missing",X68)))</xm:f>
            <xm:f>"Value Missing"</xm:f>
            <x14:dxf>
              <font>
                <color rgb="FF9C0006"/>
              </font>
              <fill>
                <patternFill>
                  <bgColor rgb="FFFFC7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C206:C209</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notContainsText" priority="1467" operator="notContains" id="{F0B59E40-E6DB-D94E-ACC1-C5F51B42942B}">
            <xm:f>ISERROR(SEARCH("Value Missing",AA86))</xm:f>
            <xm:f>"Value Missing"</xm:f>
            <x14:dxf>
              <font>
                <color rgb="FF006100"/>
              </font>
              <fill>
                <patternFill>
                  <bgColor rgb="FFC6EFCE"/>
                </patternFill>
              </fill>
            </x14:dxf>
          </x14:cfRule>
          <x14:cfRule type="containsText" priority="1468" operator="containsText" id="{222C26CC-4905-4D4B-9E56-04B6432864D5}">
            <xm:f>NOT(ISERROR(SEARCH("Value Missing",AA86)))</xm:f>
            <xm:f>"Value Missing"</xm:f>
            <x14:dxf>
              <font>
                <color rgb="FF9C0006"/>
              </font>
              <fill>
                <patternFill>
                  <bgColor rgb="FFFFC7CE"/>
                </patternFill>
              </fill>
            </x14:dxf>
          </x14:cfRule>
          <xm:sqref>AA86:AA87</xm:sqref>
        </x14:conditionalFormatting>
        <x14:conditionalFormatting xmlns:xm="http://schemas.microsoft.com/office/excel/2006/main">
          <x14:cfRule type="containsText" priority="2000" operator="containsText" id="{3310644F-19CB-2540-9167-ADA445DA9855}">
            <xm:f>NOT(ISERROR(SEARCH("Value Missing",L94)))</xm:f>
            <xm:f>"Value Missing"</xm:f>
            <x14:dxf>
              <font>
                <color rgb="FF9C0006"/>
              </font>
              <fill>
                <patternFill>
                  <bgColor rgb="FFFFC7CE"/>
                </patternFill>
              </fill>
            </x14:dxf>
          </x14:cfRule>
          <x14:cfRule type="notContainsText" priority="1999" operator="notContains" id="{5D77C4D5-3A10-0141-87E6-EC09827A7370}">
            <xm:f>ISERROR(SEARCH("Value Missing",L94))</xm:f>
            <xm:f>"Value Missing"</xm:f>
            <x14:dxf>
              <font>
                <color rgb="FF006100"/>
              </font>
              <fill>
                <patternFill>
                  <bgColor rgb="FFC6EFCE"/>
                </patternFill>
              </fill>
            </x14:dxf>
          </x14:cfRule>
          <xm:sqref>AA94:AA106 L133:L138</xm:sqref>
        </x14:conditionalFormatting>
        <x14:conditionalFormatting xmlns:xm="http://schemas.microsoft.com/office/excel/2006/main">
          <x14:cfRule type="notContainsText" priority="1133" operator="notContains" id="{462F0E7A-F056-DD45-8FA9-CB8CB9D73537}">
            <xm:f>ISERROR(SEARCH("Value Missing",AD8))</xm:f>
            <xm:f>"Value Missing"</xm:f>
            <x14:dxf>
              <font>
                <color rgb="FF006100"/>
              </font>
              <fill>
                <patternFill>
                  <bgColor rgb="FFC6EFCE"/>
                </patternFill>
              </fill>
            </x14:dxf>
          </x14:cfRule>
          <x14:cfRule type="notContainsText" priority="1131" operator="notContains" id="{D136C9DA-39AF-684F-B931-090F0DE80EB8}">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containsText" priority="1183" operator="containsText" id="{99F086BA-0E53-6745-892D-C8931839D241}">
            <xm:f>NOT(ISERROR(SEARCH("Value Missing",AD29)))</xm:f>
            <xm:f>"Value Missing"</xm:f>
            <x14:dxf>
              <font>
                <color rgb="FF9C0006"/>
              </font>
              <fill>
                <patternFill>
                  <bgColor rgb="FFFFC7CE"/>
                </patternFill>
              </fill>
            </x14:dxf>
          </x14:cfRule>
          <x14:cfRule type="notContainsText" priority="1182" operator="notContains" id="{C5AE94E0-85E8-0247-A25F-2C67E6BD3A89}">
            <xm:f>ISERROR(SEARCH("Value Missing",AD29))</xm:f>
            <xm:f>"Value Missing"</xm:f>
            <x14:dxf>
              <font>
                <color rgb="FF006100"/>
              </font>
              <fill>
                <patternFill>
                  <bgColor rgb="FFC6EF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containsText" priority="1207" operator="containsText" id="{3F5ED746-A181-BF43-AAB8-44543530893E}">
            <xm:f>NOT(ISERROR(SEARCH("Value Missing",AD37)))</xm:f>
            <xm:f>"Value Missing"</xm:f>
            <x14:dxf>
              <font>
                <color rgb="FF9C0006"/>
              </font>
              <fill>
                <patternFill>
                  <bgColor rgb="FFFFC7CE"/>
                </patternFill>
              </fill>
            </x14:dxf>
          </x14:cfRule>
          <x14:cfRule type="notContainsText" priority="1206" operator="notContains" id="{7E609425-F091-0240-A677-9FA723C11EAF}">
            <xm:f>ISERROR(SEARCH("Value Missing",AD37))</xm:f>
            <xm:f>"Value Missing"</xm:f>
            <x14:dxf>
              <font>
                <color rgb="FF006100"/>
              </font>
              <fill>
                <patternFill>
                  <bgColor rgb="FFC6EFCE"/>
                </patternFill>
              </fill>
            </x14:dxf>
          </x14:cfRule>
          <xm:sqref>AD37:AE37</xm:sqref>
        </x14:conditionalFormatting>
        <x14:conditionalFormatting xmlns:xm="http://schemas.microsoft.com/office/excel/2006/main">
          <x14:cfRule type="notContainsText" priority="1190" operator="notContains" id="{9A1D59FB-DFAA-1043-8046-D0E7880C86DB}">
            <xm:f>ISERROR(SEARCH("Value Missing",AD42))</xm:f>
            <xm:f>"Value Missing"</xm:f>
            <x14:dxf>
              <font>
                <color rgb="FF006100"/>
              </font>
              <fill>
                <patternFill>
                  <bgColor rgb="FFC6EFCE"/>
                </patternFill>
              </fill>
            </x14:dxf>
          </x14:cfRule>
          <x14:cfRule type="containsText" priority="1191" operator="containsText" id="{70F6B6DD-FA0C-C549-8CC7-063876CCA5EC}">
            <xm:f>NOT(ISERROR(SEARCH("Value Missing",AD42)))</xm:f>
            <xm:f>"Value Missing"</xm:f>
            <x14:dxf>
              <font>
                <color rgb="FF9C0006"/>
              </font>
              <fill>
                <patternFill>
                  <bgColor rgb="FFFFC7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5" activePane="bottomLeft" state="frozen"/>
      <selection pane="bottomLeft" activeCell="E34" sqref="E34:G37"/>
    </sheetView>
  </sheetViews>
  <sheetFormatPr defaultColWidth="10.875" defaultRowHeight="15" x14ac:dyDescent="0.25"/>
  <cols>
    <col min="1" max="1" width="2.875" style="2" customWidth="1"/>
    <col min="2" max="2" width="51" style="2" customWidth="1"/>
    <col min="3" max="3" width="34.375" style="2" bestFit="1" customWidth="1"/>
    <col min="4" max="4" width="24.125" style="10" bestFit="1" customWidth="1"/>
    <col min="5" max="5" width="28.875" style="3" customWidth="1"/>
    <col min="6" max="6" width="23.5" style="2" bestFit="1" customWidth="1"/>
    <col min="7" max="7" width="29.5" style="2" bestFit="1" customWidth="1"/>
    <col min="8" max="8" width="44.375" style="2" bestFit="1" customWidth="1"/>
    <col min="9" max="9" width="22.625" style="2" customWidth="1"/>
    <col min="10" max="10" width="23" style="2" bestFit="1" customWidth="1"/>
    <col min="11" max="11" width="26.125" style="2" bestFit="1" customWidth="1"/>
    <col min="12" max="21" width="22.875" style="2" customWidth="1"/>
    <col min="22" max="26" width="10.875" style="2" customWidth="1"/>
    <col min="27" max="16384" width="10.875" style="2"/>
  </cols>
  <sheetData>
    <row r="1" spans="1:21" ht="15.95" customHeight="1" x14ac:dyDescent="0.25">
      <c r="A1" s="2" t="s">
        <v>1413</v>
      </c>
      <c r="D1" s="2"/>
      <c r="E1" s="2"/>
    </row>
    <row r="2" spans="1:21" ht="54" customHeight="1" x14ac:dyDescent="0.25">
      <c r="B2" s="593" t="s">
        <v>2825</v>
      </c>
      <c r="C2" s="593"/>
      <c r="D2" s="593"/>
      <c r="E2" s="593"/>
      <c r="F2" s="593"/>
      <c r="G2" s="593"/>
      <c r="H2" s="593"/>
      <c r="I2" s="593"/>
      <c r="J2" s="593"/>
      <c r="K2" s="593"/>
      <c r="L2" s="593"/>
      <c r="M2" s="593"/>
      <c r="N2" s="593"/>
      <c r="O2" s="593"/>
      <c r="P2" s="593"/>
      <c r="Q2" s="593"/>
      <c r="R2" s="593"/>
      <c r="S2" s="593"/>
      <c r="T2" s="593"/>
      <c r="U2" s="593"/>
    </row>
    <row r="3" spans="1:21" ht="20.100000000000001" customHeight="1" x14ac:dyDescent="0.25">
      <c r="B3" s="421" t="s">
        <v>2826</v>
      </c>
      <c r="C3" s="421"/>
      <c r="D3" s="421"/>
      <c r="E3" s="421"/>
      <c r="F3" s="421"/>
      <c r="G3" s="421"/>
      <c r="H3" s="421"/>
      <c r="I3" s="421"/>
      <c r="J3" s="421"/>
      <c r="K3" s="421"/>
      <c r="L3" s="421"/>
      <c r="M3" s="421"/>
      <c r="N3" s="421"/>
      <c r="O3" s="421"/>
      <c r="P3" s="421"/>
      <c r="Q3" s="421"/>
      <c r="R3" s="421"/>
      <c r="S3" s="421"/>
      <c r="T3" s="421"/>
      <c r="U3" s="421"/>
    </row>
    <row r="6" spans="1:21" s="104" customFormat="1" ht="33.950000000000003" customHeight="1" x14ac:dyDescent="0.25">
      <c r="B6" s="590" t="s">
        <v>2827</v>
      </c>
      <c r="C6" s="590"/>
      <c r="D6" s="10"/>
      <c r="E6" s="395" t="s">
        <v>2828</v>
      </c>
      <c r="F6" s="2"/>
      <c r="L6" s="594" t="s">
        <v>2829</v>
      </c>
      <c r="M6" s="595"/>
      <c r="N6" s="595"/>
      <c r="O6" s="595"/>
      <c r="P6" s="596"/>
    </row>
    <row r="7" spans="1:21" ht="20.100000000000001" customHeight="1" x14ac:dyDescent="0.25">
      <c r="B7" s="166" t="s">
        <v>2830</v>
      </c>
      <c r="C7" s="166" t="s">
        <v>138</v>
      </c>
      <c r="E7" s="337" t="s">
        <v>663</v>
      </c>
      <c r="L7" s="597" t="s">
        <v>2831</v>
      </c>
      <c r="M7" s="600" t="s">
        <v>2832</v>
      </c>
      <c r="N7" s="601"/>
      <c r="O7" s="601"/>
      <c r="P7" s="602"/>
    </row>
    <row r="8" spans="1:21" ht="20.100000000000001" customHeight="1" x14ac:dyDescent="0.25">
      <c r="B8" s="190" t="s">
        <v>2833</v>
      </c>
      <c r="C8" s="190" t="s">
        <v>2834</v>
      </c>
      <c r="E8" s="337" t="s">
        <v>228</v>
      </c>
      <c r="F8" s="2" t="s">
        <v>216</v>
      </c>
      <c r="L8" s="598"/>
      <c r="M8" s="603"/>
      <c r="N8" s="604"/>
      <c r="O8" s="604"/>
      <c r="P8" s="605"/>
    </row>
    <row r="9" spans="1:21" x14ac:dyDescent="0.25">
      <c r="B9" s="190" t="s">
        <v>2833</v>
      </c>
      <c r="C9" s="190" t="s">
        <v>189</v>
      </c>
      <c r="L9" s="598"/>
      <c r="M9" s="603"/>
      <c r="N9" s="604"/>
      <c r="O9" s="604"/>
      <c r="P9" s="605"/>
    </row>
    <row r="10" spans="1:21" ht="15.75" x14ac:dyDescent="0.25">
      <c r="B10" s="190" t="s">
        <v>2833</v>
      </c>
      <c r="C10" s="190" t="s">
        <v>214</v>
      </c>
      <c r="E10" s="395" t="s">
        <v>2835</v>
      </c>
      <c r="F10" s="395" t="s">
        <v>2836</v>
      </c>
      <c r="G10" s="395" t="s">
        <v>129</v>
      </c>
      <c r="H10" s="395" t="s">
        <v>2837</v>
      </c>
      <c r="L10" s="598"/>
      <c r="M10" s="603"/>
      <c r="N10" s="604"/>
      <c r="O10" s="604"/>
      <c r="P10" s="605"/>
    </row>
    <row r="11" spans="1:21" x14ac:dyDescent="0.2">
      <c r="B11" s="190" t="s">
        <v>2833</v>
      </c>
      <c r="C11" s="190" t="s">
        <v>227</v>
      </c>
      <c r="E11" s="331" t="s">
        <v>2838</v>
      </c>
      <c r="F11" s="331" t="s">
        <v>129</v>
      </c>
      <c r="G11" s="331" t="s">
        <v>131</v>
      </c>
      <c r="H11" s="32" t="s">
        <v>2839</v>
      </c>
      <c r="I11" s="2" t="s">
        <v>2840</v>
      </c>
      <c r="L11" s="598"/>
      <c r="M11" s="603"/>
      <c r="N11" s="604"/>
      <c r="O11" s="604"/>
      <c r="P11" s="605"/>
    </row>
    <row r="12" spans="1:21" x14ac:dyDescent="0.2">
      <c r="B12" s="190" t="s">
        <v>2833</v>
      </c>
      <c r="C12" s="190" t="s">
        <v>2841</v>
      </c>
      <c r="E12" s="331" t="s">
        <v>585</v>
      </c>
      <c r="F12" s="331" t="s">
        <v>2837</v>
      </c>
      <c r="G12" s="331" t="s">
        <v>2842</v>
      </c>
      <c r="H12" s="32" t="s">
        <v>2842</v>
      </c>
      <c r="L12" s="598"/>
      <c r="M12" s="603"/>
      <c r="N12" s="604"/>
      <c r="O12" s="604"/>
      <c r="P12" s="605"/>
    </row>
    <row r="13" spans="1:21" x14ac:dyDescent="0.2">
      <c r="B13" s="190" t="s">
        <v>2843</v>
      </c>
      <c r="C13" s="190" t="s">
        <v>215</v>
      </c>
      <c r="G13" s="331" t="s">
        <v>2844</v>
      </c>
      <c r="H13" s="32" t="s">
        <v>2844</v>
      </c>
      <c r="L13" s="598"/>
      <c r="M13" s="603"/>
      <c r="N13" s="604"/>
      <c r="O13" s="604"/>
      <c r="P13" s="605"/>
    </row>
    <row r="14" spans="1:21" ht="15.75" x14ac:dyDescent="0.2">
      <c r="B14" s="190" t="s">
        <v>2843</v>
      </c>
      <c r="C14" s="190" t="s">
        <v>227</v>
      </c>
      <c r="E14" s="192" t="s">
        <v>123</v>
      </c>
      <c r="G14" s="331" t="s">
        <v>11</v>
      </c>
      <c r="H14" s="32" t="s">
        <v>11</v>
      </c>
      <c r="L14" s="598"/>
      <c r="M14" s="603"/>
      <c r="N14" s="604"/>
      <c r="O14" s="604"/>
      <c r="P14" s="605"/>
    </row>
    <row r="15" spans="1:21" x14ac:dyDescent="0.2">
      <c r="B15" s="190" t="s">
        <v>2843</v>
      </c>
      <c r="C15" s="190" t="s">
        <v>2841</v>
      </c>
      <c r="E15" s="331" t="s">
        <v>2845</v>
      </c>
      <c r="G15" s="331" t="s">
        <v>2846</v>
      </c>
      <c r="H15" s="32" t="s">
        <v>2846</v>
      </c>
      <c r="L15" s="598"/>
      <c r="M15" s="603"/>
      <c r="N15" s="604"/>
      <c r="O15" s="604"/>
      <c r="P15" s="605"/>
    </row>
    <row r="16" spans="1:21" x14ac:dyDescent="0.25">
      <c r="B16" s="190" t="s">
        <v>2847</v>
      </c>
      <c r="C16" s="190" t="s">
        <v>2848</v>
      </c>
      <c r="E16" s="331" t="s">
        <v>2849</v>
      </c>
      <c r="L16" s="598"/>
      <c r="M16" s="603"/>
      <c r="N16" s="604"/>
      <c r="O16" s="604"/>
      <c r="P16" s="605"/>
    </row>
    <row r="17" spans="2:16" x14ac:dyDescent="0.25">
      <c r="B17" s="190" t="s">
        <v>2847</v>
      </c>
      <c r="C17" s="190" t="s">
        <v>189</v>
      </c>
      <c r="E17" s="331" t="s">
        <v>2850</v>
      </c>
      <c r="L17" s="598"/>
      <c r="M17" s="603"/>
      <c r="N17" s="604"/>
      <c r="O17" s="604"/>
      <c r="P17" s="605"/>
    </row>
    <row r="18" spans="2:16" x14ac:dyDescent="0.25">
      <c r="B18" s="190" t="s">
        <v>2847</v>
      </c>
      <c r="C18" s="190" t="s">
        <v>214</v>
      </c>
      <c r="E18" s="331" t="s">
        <v>1165</v>
      </c>
      <c r="L18" s="598"/>
      <c r="M18" s="603"/>
      <c r="N18" s="604"/>
      <c r="O18" s="604"/>
      <c r="P18" s="605"/>
    </row>
    <row r="19" spans="2:16" x14ac:dyDescent="0.25">
      <c r="B19" s="190" t="s">
        <v>2847</v>
      </c>
      <c r="C19" s="190" t="s">
        <v>227</v>
      </c>
      <c r="E19" s="331" t="s">
        <v>2846</v>
      </c>
      <c r="L19" s="598"/>
      <c r="M19" s="603"/>
      <c r="N19" s="604"/>
      <c r="O19" s="604"/>
      <c r="P19" s="605"/>
    </row>
    <row r="20" spans="2:16" x14ac:dyDescent="0.25">
      <c r="B20" s="190" t="s">
        <v>2847</v>
      </c>
      <c r="C20" s="190" t="s">
        <v>2841</v>
      </c>
      <c r="L20" s="598"/>
      <c r="M20" s="603"/>
      <c r="N20" s="604"/>
      <c r="O20" s="604"/>
      <c r="P20" s="605"/>
    </row>
    <row r="21" spans="2:16" ht="15.75" x14ac:dyDescent="0.25">
      <c r="B21" s="190" t="s">
        <v>2851</v>
      </c>
      <c r="C21" s="190" t="s">
        <v>216</v>
      </c>
      <c r="E21" s="395" t="s">
        <v>123</v>
      </c>
      <c r="L21" s="598"/>
      <c r="M21" s="603"/>
      <c r="N21" s="604"/>
      <c r="O21" s="604"/>
      <c r="P21" s="605"/>
    </row>
    <row r="22" spans="2:16" x14ac:dyDescent="0.25">
      <c r="B22" s="190" t="s">
        <v>2851</v>
      </c>
      <c r="C22" s="190" t="s">
        <v>189</v>
      </c>
      <c r="E22" s="331" t="s">
        <v>2849</v>
      </c>
      <c r="L22" s="598"/>
      <c r="M22" s="603"/>
      <c r="N22" s="604"/>
      <c r="O22" s="604"/>
      <c r="P22" s="605"/>
    </row>
    <row r="23" spans="2:16" x14ac:dyDescent="0.25">
      <c r="B23" s="190" t="s">
        <v>2851</v>
      </c>
      <c r="C23" s="190" t="s">
        <v>214</v>
      </c>
      <c r="E23" s="331" t="s">
        <v>2845</v>
      </c>
      <c r="L23" s="598"/>
      <c r="M23" s="603"/>
      <c r="N23" s="604"/>
      <c r="O23" s="604"/>
      <c r="P23" s="605"/>
    </row>
    <row r="24" spans="2:16" x14ac:dyDescent="0.25">
      <c r="B24" s="190" t="s">
        <v>2851</v>
      </c>
      <c r="C24" s="190" t="s">
        <v>227</v>
      </c>
      <c r="E24" s="331" t="s">
        <v>1165</v>
      </c>
      <c r="L24" s="598"/>
      <c r="M24" s="603"/>
      <c r="N24" s="604"/>
      <c r="O24" s="604"/>
      <c r="P24" s="605"/>
    </row>
    <row r="25" spans="2:16" ht="20.100000000000001" customHeight="1" x14ac:dyDescent="0.25">
      <c r="B25" s="190" t="s">
        <v>2851</v>
      </c>
      <c r="C25" s="190" t="s">
        <v>2841</v>
      </c>
      <c r="F25" s="612"/>
      <c r="G25" s="612"/>
      <c r="L25" s="598"/>
      <c r="M25" s="603"/>
      <c r="N25" s="604"/>
      <c r="O25" s="604"/>
      <c r="P25" s="605"/>
    </row>
    <row r="26" spans="2:16" ht="15.75" x14ac:dyDescent="0.25">
      <c r="B26" s="190" t="s">
        <v>2851</v>
      </c>
      <c r="C26" s="190" t="s">
        <v>2852</v>
      </c>
      <c r="D26" s="3"/>
      <c r="E26" s="395" t="s">
        <v>2853</v>
      </c>
      <c r="F26" s="609" t="s">
        <v>2854</v>
      </c>
      <c r="G26" s="609"/>
      <c r="L26" s="598"/>
      <c r="M26" s="603"/>
      <c r="N26" s="604"/>
      <c r="O26" s="604"/>
      <c r="P26" s="605"/>
    </row>
    <row r="27" spans="2:16" x14ac:dyDescent="0.25">
      <c r="B27" s="191"/>
      <c r="C27" s="191"/>
      <c r="D27" s="3"/>
      <c r="E27" s="337" t="s">
        <v>2834</v>
      </c>
      <c r="F27" s="610" t="s">
        <v>2855</v>
      </c>
      <c r="G27" s="611"/>
      <c r="L27" s="598"/>
      <c r="M27" s="603"/>
      <c r="N27" s="604"/>
      <c r="O27" s="604"/>
      <c r="P27" s="605"/>
    </row>
    <row r="28" spans="2:16" ht="18" x14ac:dyDescent="0.25">
      <c r="B28" s="575" t="s">
        <v>2856</v>
      </c>
      <c r="C28" s="577"/>
      <c r="D28" s="3"/>
      <c r="E28" s="337" t="s">
        <v>189</v>
      </c>
      <c r="F28" s="610" t="s">
        <v>2857</v>
      </c>
      <c r="G28" s="611"/>
      <c r="L28" s="598"/>
      <c r="M28" s="603"/>
      <c r="N28" s="604"/>
      <c r="O28" s="604"/>
      <c r="P28" s="605"/>
    </row>
    <row r="29" spans="2:16" ht="15.75" x14ac:dyDescent="0.25">
      <c r="B29" s="395" t="s">
        <v>147</v>
      </c>
      <c r="C29" s="166" t="s">
        <v>138</v>
      </c>
      <c r="D29" s="3"/>
      <c r="E29" s="337" t="s">
        <v>214</v>
      </c>
      <c r="F29" s="610" t="s">
        <v>2858</v>
      </c>
      <c r="G29" s="611"/>
      <c r="L29" s="598"/>
      <c r="M29" s="603"/>
      <c r="N29" s="604"/>
      <c r="O29" s="604"/>
      <c r="P29" s="605"/>
    </row>
    <row r="30" spans="2:16" x14ac:dyDescent="0.25">
      <c r="B30" s="331" t="s">
        <v>9</v>
      </c>
      <c r="C30" s="337">
        <v>4</v>
      </c>
      <c r="D30" s="3"/>
      <c r="E30" s="337" t="s">
        <v>227</v>
      </c>
      <c r="F30" s="610" t="s">
        <v>2859</v>
      </c>
      <c r="G30" s="611"/>
      <c r="L30" s="598"/>
      <c r="M30" s="603"/>
      <c r="N30" s="604"/>
      <c r="O30" s="604"/>
      <c r="P30" s="605"/>
    </row>
    <row r="31" spans="2:16" x14ac:dyDescent="0.25">
      <c r="B31" s="331" t="s">
        <v>2860</v>
      </c>
      <c r="C31" s="337">
        <v>16</v>
      </c>
      <c r="D31" s="3"/>
      <c r="E31" s="337" t="s">
        <v>2841</v>
      </c>
      <c r="F31" s="610" t="s">
        <v>2861</v>
      </c>
      <c r="G31" s="611"/>
      <c r="L31" s="598"/>
      <c r="M31" s="603"/>
      <c r="N31" s="604"/>
      <c r="O31" s="604"/>
      <c r="P31" s="605"/>
    </row>
    <row r="32" spans="2:16" x14ac:dyDescent="0.25">
      <c r="B32" s="331" t="s">
        <v>2862</v>
      </c>
      <c r="C32" s="337">
        <v>914</v>
      </c>
      <c r="D32" s="3"/>
      <c r="E32" s="2"/>
      <c r="L32" s="598"/>
      <c r="M32" s="603"/>
      <c r="N32" s="604"/>
      <c r="O32" s="604"/>
      <c r="P32" s="605"/>
    </row>
    <row r="33" spans="2:16" ht="15.75" x14ac:dyDescent="0.25">
      <c r="B33" s="166" t="s">
        <v>2863</v>
      </c>
      <c r="C33" s="166" t="s">
        <v>138</v>
      </c>
      <c r="D33" s="3"/>
      <c r="E33" s="395" t="s">
        <v>2864</v>
      </c>
      <c r="F33" s="613" t="s">
        <v>2854</v>
      </c>
      <c r="G33" s="613"/>
      <c r="L33" s="598"/>
      <c r="M33" s="603"/>
      <c r="N33" s="604"/>
      <c r="O33" s="604"/>
      <c r="P33" s="605"/>
    </row>
    <row r="34" spans="2:16" x14ac:dyDescent="0.25">
      <c r="B34" s="331" t="s">
        <v>2834</v>
      </c>
      <c r="C34" s="331">
        <v>2</v>
      </c>
      <c r="D34" s="3"/>
      <c r="E34" s="337" t="s">
        <v>2848</v>
      </c>
      <c r="F34" s="337" t="s">
        <v>2865</v>
      </c>
      <c r="G34" s="337"/>
      <c r="L34" s="598"/>
      <c r="M34" s="603"/>
      <c r="N34" s="604"/>
      <c r="O34" s="604"/>
      <c r="P34" s="605"/>
    </row>
    <row r="35" spans="2:16" x14ac:dyDescent="0.25">
      <c r="B35" s="331" t="s">
        <v>189</v>
      </c>
      <c r="C35" s="331">
        <v>4</v>
      </c>
      <c r="D35" s="3"/>
      <c r="E35" s="337" t="s">
        <v>189</v>
      </c>
      <c r="F35" s="441" t="s">
        <v>2866</v>
      </c>
      <c r="G35" s="443"/>
      <c r="L35" s="598"/>
      <c r="M35" s="603"/>
      <c r="N35" s="604"/>
      <c r="O35" s="604"/>
      <c r="P35" s="605"/>
    </row>
    <row r="36" spans="2:16" x14ac:dyDescent="0.25">
      <c r="B36" s="331" t="s">
        <v>214</v>
      </c>
      <c r="C36" s="331">
        <v>8</v>
      </c>
      <c r="D36" s="3"/>
      <c r="E36" s="337" t="s">
        <v>214</v>
      </c>
      <c r="F36" s="337" t="s">
        <v>2867</v>
      </c>
      <c r="G36" s="337"/>
      <c r="L36" s="598"/>
      <c r="M36" s="603"/>
      <c r="N36" s="604"/>
      <c r="O36" s="604"/>
      <c r="P36" s="605"/>
    </row>
    <row r="37" spans="2:16" x14ac:dyDescent="0.25">
      <c r="B37" s="331" t="s">
        <v>227</v>
      </c>
      <c r="C37" s="331">
        <v>16</v>
      </c>
      <c r="D37" s="3"/>
      <c r="E37" s="337" t="s">
        <v>227</v>
      </c>
      <c r="F37" s="337" t="s">
        <v>2868</v>
      </c>
      <c r="G37" s="337"/>
      <c r="L37" s="598"/>
      <c r="M37" s="603"/>
      <c r="N37" s="604"/>
      <c r="O37" s="604"/>
      <c r="P37" s="605"/>
    </row>
    <row r="38" spans="2:16" x14ac:dyDescent="0.25">
      <c r="B38" s="331" t="s">
        <v>2841</v>
      </c>
      <c r="C38" s="331">
        <v>24</v>
      </c>
      <c r="D38" s="3"/>
      <c r="E38" s="337" t="s">
        <v>2841</v>
      </c>
      <c r="F38" s="337" t="s">
        <v>2869</v>
      </c>
      <c r="G38" s="337"/>
      <c r="L38" s="598"/>
      <c r="M38" s="603"/>
      <c r="N38" s="604"/>
      <c r="O38" s="604"/>
      <c r="P38" s="605"/>
    </row>
    <row r="39" spans="2:16" ht="15.75" x14ac:dyDescent="0.25">
      <c r="B39" s="166" t="s">
        <v>2870</v>
      </c>
      <c r="C39" s="166" t="s">
        <v>138</v>
      </c>
      <c r="L39" s="598"/>
      <c r="M39" s="603"/>
      <c r="N39" s="604"/>
      <c r="O39" s="604"/>
      <c r="P39" s="605"/>
    </row>
    <row r="40" spans="2:16" x14ac:dyDescent="0.25">
      <c r="B40" s="331" t="s">
        <v>2834</v>
      </c>
      <c r="C40" s="331">
        <v>14</v>
      </c>
      <c r="L40" s="598"/>
      <c r="M40" s="603"/>
      <c r="N40" s="604"/>
      <c r="O40" s="604"/>
      <c r="P40" s="605"/>
    </row>
    <row r="41" spans="2:16" x14ac:dyDescent="0.25">
      <c r="B41" s="331" t="s">
        <v>189</v>
      </c>
      <c r="C41" s="331">
        <v>21</v>
      </c>
      <c r="L41" s="598"/>
      <c r="M41" s="603"/>
      <c r="N41" s="604"/>
      <c r="O41" s="604"/>
      <c r="P41" s="605"/>
    </row>
    <row r="42" spans="2:16" x14ac:dyDescent="0.25">
      <c r="B42" s="331" t="s">
        <v>214</v>
      </c>
      <c r="C42" s="331">
        <v>30</v>
      </c>
      <c r="L42" s="598"/>
      <c r="M42" s="603"/>
      <c r="N42" s="604"/>
      <c r="O42" s="604"/>
      <c r="P42" s="605"/>
    </row>
    <row r="43" spans="2:16" ht="15.75" x14ac:dyDescent="0.25">
      <c r="B43" s="331" t="s">
        <v>227</v>
      </c>
      <c r="C43" s="331">
        <v>39</v>
      </c>
      <c r="E43" s="395" t="s">
        <v>2871</v>
      </c>
      <c r="F43" s="395" t="s">
        <v>2872</v>
      </c>
      <c r="G43" s="395" t="s">
        <v>2873</v>
      </c>
      <c r="L43" s="598"/>
      <c r="M43" s="603"/>
      <c r="N43" s="604"/>
      <c r="O43" s="604"/>
      <c r="P43" s="605"/>
    </row>
    <row r="44" spans="2:16" x14ac:dyDescent="0.25">
      <c r="B44" s="331" t="s">
        <v>2841</v>
      </c>
      <c r="C44" s="331">
        <v>58</v>
      </c>
      <c r="E44" s="337" t="s">
        <v>2874</v>
      </c>
      <c r="F44" s="337" t="s">
        <v>215</v>
      </c>
      <c r="G44" s="337" t="s">
        <v>215</v>
      </c>
      <c r="L44" s="598"/>
      <c r="M44" s="603"/>
      <c r="N44" s="604"/>
      <c r="O44" s="604"/>
      <c r="P44" s="605"/>
    </row>
    <row r="45" spans="2:16" ht="15.75" x14ac:dyDescent="0.25">
      <c r="B45" s="166" t="s">
        <v>2875</v>
      </c>
      <c r="C45" s="166" t="s">
        <v>138</v>
      </c>
      <c r="E45" s="337" t="s">
        <v>2876</v>
      </c>
      <c r="F45" s="337" t="s">
        <v>2877</v>
      </c>
      <c r="G45" s="337" t="s">
        <v>2877</v>
      </c>
      <c r="L45" s="598"/>
      <c r="M45" s="603"/>
      <c r="N45" s="604"/>
      <c r="O45" s="604"/>
      <c r="P45" s="605"/>
    </row>
    <row r="46" spans="2:16" x14ac:dyDescent="0.25">
      <c r="B46" s="331" t="s">
        <v>2878</v>
      </c>
      <c r="C46" s="331">
        <v>579</v>
      </c>
      <c r="E46" s="337"/>
      <c r="F46" s="337" t="s">
        <v>2879</v>
      </c>
      <c r="G46" s="337" t="s">
        <v>2880</v>
      </c>
      <c r="L46" s="598"/>
      <c r="M46" s="603"/>
      <c r="N46" s="604"/>
      <c r="O46" s="604"/>
      <c r="P46" s="605"/>
    </row>
    <row r="47" spans="2:16" x14ac:dyDescent="0.25">
      <c r="B47" s="331" t="s">
        <v>2881</v>
      </c>
      <c r="C47" s="331">
        <v>2019</v>
      </c>
      <c r="E47" s="337"/>
      <c r="F47" s="337" t="s">
        <v>2882</v>
      </c>
      <c r="G47" s="337"/>
      <c r="L47" s="598"/>
      <c r="M47" s="603"/>
      <c r="N47" s="604"/>
      <c r="O47" s="604"/>
      <c r="P47" s="605"/>
    </row>
    <row r="48" spans="2:16" x14ac:dyDescent="0.25">
      <c r="B48" s="331" t="s">
        <v>2883</v>
      </c>
      <c r="C48" s="331">
        <v>4279</v>
      </c>
      <c r="E48" s="337"/>
      <c r="F48" s="337" t="s">
        <v>2880</v>
      </c>
      <c r="G48" s="337"/>
      <c r="L48" s="598"/>
      <c r="M48" s="603"/>
      <c r="N48" s="604"/>
      <c r="O48" s="604"/>
      <c r="P48" s="605"/>
    </row>
    <row r="49" spans="2:16" x14ac:dyDescent="0.25">
      <c r="B49" s="331" t="s">
        <v>2884</v>
      </c>
      <c r="C49" s="331">
        <v>694</v>
      </c>
      <c r="L49" s="598"/>
      <c r="M49" s="603"/>
      <c r="N49" s="604"/>
      <c r="O49" s="604"/>
      <c r="P49" s="605"/>
    </row>
    <row r="50" spans="2:16" x14ac:dyDescent="0.25">
      <c r="B50" s="331" t="s">
        <v>2885</v>
      </c>
      <c r="C50" s="331">
        <v>2044</v>
      </c>
      <c r="L50" s="598"/>
      <c r="M50" s="603"/>
      <c r="N50" s="604"/>
      <c r="O50" s="604"/>
      <c r="P50" s="605"/>
    </row>
    <row r="51" spans="2:16" x14ac:dyDescent="0.25">
      <c r="B51" s="331" t="s">
        <v>2886</v>
      </c>
      <c r="C51" s="331">
        <v>4304</v>
      </c>
      <c r="L51" s="598"/>
      <c r="M51" s="603"/>
      <c r="N51" s="604"/>
      <c r="O51" s="604"/>
      <c r="P51" s="605"/>
    </row>
    <row r="52" spans="2:16" x14ac:dyDescent="0.25">
      <c r="B52" s="331" t="s">
        <v>2887</v>
      </c>
      <c r="C52" s="331">
        <v>908</v>
      </c>
      <c r="E52" s="331"/>
      <c r="F52" s="331"/>
      <c r="L52" s="598"/>
      <c r="M52" s="603"/>
      <c r="N52" s="604"/>
      <c r="O52" s="604"/>
      <c r="P52" s="605"/>
    </row>
    <row r="53" spans="2:16" x14ac:dyDescent="0.25">
      <c r="B53" s="331" t="s">
        <v>2888</v>
      </c>
      <c r="C53" s="331">
        <v>2208</v>
      </c>
      <c r="E53" s="331"/>
      <c r="F53" s="331"/>
      <c r="G53" s="2" t="s">
        <v>2889</v>
      </c>
      <c r="L53" s="598"/>
      <c r="M53" s="603"/>
      <c r="N53" s="604"/>
      <c r="O53" s="604"/>
      <c r="P53" s="605"/>
    </row>
    <row r="54" spans="2:16" x14ac:dyDescent="0.25">
      <c r="B54" s="331" t="s">
        <v>2890</v>
      </c>
      <c r="C54" s="331">
        <v>4468</v>
      </c>
      <c r="E54" s="331" t="s">
        <v>2889</v>
      </c>
      <c r="L54" s="598"/>
      <c r="M54" s="603"/>
      <c r="N54" s="604"/>
      <c r="O54" s="604"/>
      <c r="P54" s="605"/>
    </row>
    <row r="55" spans="2:16" x14ac:dyDescent="0.25">
      <c r="B55" s="331" t="s">
        <v>2891</v>
      </c>
      <c r="C55" s="331">
        <v>1358</v>
      </c>
      <c r="L55" s="598"/>
      <c r="M55" s="603"/>
      <c r="N55" s="604"/>
      <c r="O55" s="604"/>
      <c r="P55" s="605"/>
    </row>
    <row r="56" spans="2:16" x14ac:dyDescent="0.25">
      <c r="B56" s="331" t="s">
        <v>2892</v>
      </c>
      <c r="C56" s="331">
        <v>2258</v>
      </c>
      <c r="L56" s="598"/>
      <c r="M56" s="603"/>
      <c r="N56" s="604"/>
      <c r="O56" s="604"/>
      <c r="P56" s="605"/>
    </row>
    <row r="57" spans="2:16" x14ac:dyDescent="0.25">
      <c r="B57" s="331" t="s">
        <v>2893</v>
      </c>
      <c r="C57" s="331">
        <v>4518</v>
      </c>
      <c r="L57" s="598"/>
      <c r="M57" s="603"/>
      <c r="N57" s="604"/>
      <c r="O57" s="604"/>
      <c r="P57" s="605"/>
    </row>
    <row r="58" spans="2:16" x14ac:dyDescent="0.25">
      <c r="B58" s="331" t="s">
        <v>2894</v>
      </c>
      <c r="C58" s="331">
        <v>2283</v>
      </c>
      <c r="L58" s="598"/>
      <c r="M58" s="603"/>
      <c r="N58" s="604"/>
      <c r="O58" s="604"/>
      <c r="P58" s="605"/>
    </row>
    <row r="59" spans="2:16" x14ac:dyDescent="0.25">
      <c r="B59" s="331" t="s">
        <v>2895</v>
      </c>
      <c r="C59" s="331">
        <v>2383</v>
      </c>
      <c r="L59" s="598"/>
      <c r="M59" s="603"/>
      <c r="N59" s="604"/>
      <c r="O59" s="604"/>
      <c r="P59" s="605"/>
    </row>
    <row r="60" spans="2:16" x14ac:dyDescent="0.25">
      <c r="B60" s="331" t="s">
        <v>2896</v>
      </c>
      <c r="C60" s="331">
        <v>4643</v>
      </c>
      <c r="L60" s="598"/>
      <c r="M60" s="603"/>
      <c r="N60" s="604"/>
      <c r="O60" s="604"/>
      <c r="P60" s="605"/>
    </row>
    <row r="61" spans="2:16" ht="15.75" x14ac:dyDescent="0.25">
      <c r="B61" s="166" t="s">
        <v>2897</v>
      </c>
      <c r="C61" s="166" t="s">
        <v>138</v>
      </c>
      <c r="L61" s="598"/>
      <c r="M61" s="603"/>
      <c r="N61" s="604"/>
      <c r="O61" s="604"/>
      <c r="P61" s="605"/>
    </row>
    <row r="62" spans="2:16" x14ac:dyDescent="0.25">
      <c r="B62" s="331" t="s">
        <v>2848</v>
      </c>
      <c r="C62" s="331">
        <v>2</v>
      </c>
      <c r="L62" s="598"/>
      <c r="M62" s="603"/>
      <c r="N62" s="604"/>
      <c r="O62" s="604"/>
      <c r="P62" s="605"/>
    </row>
    <row r="63" spans="2:16" x14ac:dyDescent="0.25">
      <c r="B63" s="331" t="s">
        <v>189</v>
      </c>
      <c r="C63" s="331">
        <v>4</v>
      </c>
      <c r="L63" s="598"/>
      <c r="M63" s="603"/>
      <c r="N63" s="604"/>
      <c r="O63" s="604"/>
      <c r="P63" s="605"/>
    </row>
    <row r="64" spans="2:16" x14ac:dyDescent="0.25">
      <c r="B64" s="331" t="s">
        <v>214</v>
      </c>
      <c r="C64" s="331">
        <v>6</v>
      </c>
      <c r="L64" s="598"/>
      <c r="M64" s="603"/>
      <c r="N64" s="604"/>
      <c r="O64" s="604"/>
      <c r="P64" s="605"/>
    </row>
    <row r="65" spans="2:16" x14ac:dyDescent="0.25">
      <c r="B65" s="331" t="s">
        <v>227</v>
      </c>
      <c r="C65" s="331">
        <v>12</v>
      </c>
      <c r="L65" s="598"/>
      <c r="M65" s="603"/>
      <c r="N65" s="604"/>
      <c r="O65" s="604"/>
      <c r="P65" s="605"/>
    </row>
    <row r="66" spans="2:16" x14ac:dyDescent="0.25">
      <c r="B66" s="331" t="s">
        <v>2841</v>
      </c>
      <c r="C66" s="331">
        <v>24</v>
      </c>
      <c r="L66" s="598"/>
      <c r="M66" s="603"/>
      <c r="N66" s="604"/>
      <c r="O66" s="604"/>
      <c r="P66" s="605"/>
    </row>
    <row r="67" spans="2:16" ht="15.75" x14ac:dyDescent="0.25">
      <c r="B67" s="166" t="s">
        <v>2898</v>
      </c>
      <c r="C67" s="166" t="s">
        <v>138</v>
      </c>
      <c r="L67" s="598"/>
      <c r="M67" s="603"/>
      <c r="N67" s="604"/>
      <c r="O67" s="604"/>
      <c r="P67" s="605"/>
    </row>
    <row r="68" spans="2:16" x14ac:dyDescent="0.25">
      <c r="B68" s="331" t="s">
        <v>2848</v>
      </c>
      <c r="C68" s="331">
        <v>8</v>
      </c>
      <c r="L68" s="599"/>
      <c r="M68" s="606"/>
      <c r="N68" s="607"/>
      <c r="O68" s="607"/>
      <c r="P68" s="608"/>
    </row>
    <row r="69" spans="2:16" x14ac:dyDescent="0.25">
      <c r="B69" s="331" t="s">
        <v>189</v>
      </c>
      <c r="C69" s="331">
        <v>16</v>
      </c>
    </row>
    <row r="70" spans="2:16" x14ac:dyDescent="0.25">
      <c r="B70" s="331" t="s">
        <v>214</v>
      </c>
      <c r="C70" s="331">
        <v>24</v>
      </c>
    </row>
    <row r="71" spans="2:16" x14ac:dyDescent="0.25">
      <c r="B71" s="331" t="s">
        <v>227</v>
      </c>
      <c r="C71" s="331">
        <v>48</v>
      </c>
      <c r="D71" s="3"/>
    </row>
    <row r="72" spans="2:16" x14ac:dyDescent="0.25">
      <c r="B72" s="331" t="s">
        <v>2841</v>
      </c>
      <c r="C72" s="331">
        <v>96</v>
      </c>
      <c r="D72" s="2"/>
    </row>
    <row r="73" spans="2:16" ht="15.75" x14ac:dyDescent="0.25">
      <c r="B73" s="166" t="s">
        <v>2899</v>
      </c>
      <c r="C73" s="166" t="s">
        <v>138</v>
      </c>
      <c r="D73" s="2"/>
    </row>
    <row r="74" spans="2:16" x14ac:dyDescent="0.25">
      <c r="B74" s="331" t="s">
        <v>2848</v>
      </c>
      <c r="C74" s="331">
        <v>300</v>
      </c>
    </row>
    <row r="75" spans="2:16" x14ac:dyDescent="0.25">
      <c r="B75" s="331" t="s">
        <v>189</v>
      </c>
      <c r="C75" s="331">
        <v>300</v>
      </c>
    </row>
    <row r="76" spans="2:16" x14ac:dyDescent="0.25">
      <c r="B76" s="331" t="s">
        <v>214</v>
      </c>
      <c r="C76" s="331">
        <v>300</v>
      </c>
    </row>
    <row r="77" spans="2:16" x14ac:dyDescent="0.25">
      <c r="B77" s="331" t="s">
        <v>227</v>
      </c>
      <c r="C77" s="331">
        <v>300</v>
      </c>
    </row>
    <row r="78" spans="2:16" x14ac:dyDescent="0.25">
      <c r="B78" s="331" t="s">
        <v>2841</v>
      </c>
      <c r="C78" s="331">
        <v>400</v>
      </c>
    </row>
    <row r="79" spans="2:16" ht="15.75" x14ac:dyDescent="0.25">
      <c r="B79" s="166" t="s">
        <v>2900</v>
      </c>
      <c r="C79" s="166" t="s">
        <v>138</v>
      </c>
    </row>
    <row r="80" spans="2:16" x14ac:dyDescent="0.25">
      <c r="B80" s="331" t="s">
        <v>189</v>
      </c>
      <c r="C80" s="331">
        <v>2</v>
      </c>
    </row>
    <row r="81" spans="2:3" x14ac:dyDescent="0.25">
      <c r="B81" s="331" t="s">
        <v>214</v>
      </c>
      <c r="C81" s="331">
        <v>4</v>
      </c>
    </row>
    <row r="82" spans="2:3" x14ac:dyDescent="0.25">
      <c r="B82" s="331" t="s">
        <v>227</v>
      </c>
      <c r="C82" s="331">
        <v>8</v>
      </c>
    </row>
    <row r="83" spans="2:3" x14ac:dyDescent="0.25">
      <c r="B83" s="331" t="s">
        <v>2841</v>
      </c>
      <c r="C83" s="331">
        <v>16</v>
      </c>
    </row>
    <row r="84" spans="2:3" x14ac:dyDescent="0.25">
      <c r="B84" s="331" t="s">
        <v>2852</v>
      </c>
      <c r="C84" s="331"/>
    </row>
    <row r="85" spans="2:3" ht="15.75" x14ac:dyDescent="0.25">
      <c r="B85" s="166" t="s">
        <v>2901</v>
      </c>
      <c r="C85" s="166" t="s">
        <v>138</v>
      </c>
    </row>
    <row r="86" spans="2:3" x14ac:dyDescent="0.25">
      <c r="B86" s="331" t="s">
        <v>189</v>
      </c>
      <c r="C86" s="331">
        <v>4</v>
      </c>
    </row>
    <row r="87" spans="2:3" x14ac:dyDescent="0.25">
      <c r="B87" s="331" t="s">
        <v>214</v>
      </c>
      <c r="C87" s="331">
        <v>8</v>
      </c>
    </row>
    <row r="88" spans="2:3" x14ac:dyDescent="0.25">
      <c r="B88" s="331" t="s">
        <v>227</v>
      </c>
      <c r="C88" s="331">
        <v>32</v>
      </c>
    </row>
    <row r="89" spans="2:3" x14ac:dyDescent="0.25">
      <c r="B89" s="331" t="s">
        <v>2841</v>
      </c>
      <c r="C89" s="331">
        <v>64</v>
      </c>
    </row>
    <row r="90" spans="2:3" x14ac:dyDescent="0.25">
      <c r="B90" s="331" t="s">
        <v>2852</v>
      </c>
      <c r="C90" s="331"/>
    </row>
    <row r="91" spans="2:3" ht="15.75" x14ac:dyDescent="0.25">
      <c r="B91" s="166" t="s">
        <v>2902</v>
      </c>
      <c r="C91" s="166" t="s">
        <v>138</v>
      </c>
    </row>
    <row r="92" spans="2:3" x14ac:dyDescent="0.25">
      <c r="B92" s="331" t="s">
        <v>189</v>
      </c>
      <c r="C92" s="331">
        <v>200</v>
      </c>
    </row>
    <row r="93" spans="2:3" x14ac:dyDescent="0.25">
      <c r="B93" s="331" t="s">
        <v>214</v>
      </c>
      <c r="C93" s="331">
        <v>200</v>
      </c>
    </row>
    <row r="94" spans="2:3" x14ac:dyDescent="0.25">
      <c r="B94" s="331" t="s">
        <v>227</v>
      </c>
      <c r="C94" s="331">
        <v>200</v>
      </c>
    </row>
    <row r="95" spans="2:3" x14ac:dyDescent="0.25">
      <c r="B95" s="331" t="s">
        <v>2841</v>
      </c>
      <c r="C95" s="331">
        <v>200</v>
      </c>
    </row>
    <row r="96" spans="2:3" x14ac:dyDescent="0.25">
      <c r="B96" s="331" t="s">
        <v>2852</v>
      </c>
      <c r="C96" s="331"/>
    </row>
    <row r="97" spans="2:3" ht="15.75" x14ac:dyDescent="0.25">
      <c r="B97" s="166" t="s">
        <v>2903</v>
      </c>
      <c r="C97" s="166" t="s">
        <v>138</v>
      </c>
    </row>
    <row r="98" spans="2:3" x14ac:dyDescent="0.25">
      <c r="B98" s="331" t="s">
        <v>9</v>
      </c>
      <c r="C98" s="337">
        <v>4</v>
      </c>
    </row>
    <row r="99" spans="2:3" x14ac:dyDescent="0.25">
      <c r="B99" s="331" t="s">
        <v>2860</v>
      </c>
      <c r="C99" s="337">
        <v>12</v>
      </c>
    </row>
    <row r="100" spans="2:3" x14ac:dyDescent="0.25">
      <c r="B100" s="331" t="s">
        <v>2862</v>
      </c>
      <c r="C100" s="337">
        <v>194</v>
      </c>
    </row>
    <row r="101" spans="2:3" ht="15.75" x14ac:dyDescent="0.25">
      <c r="B101" s="395" t="s">
        <v>2904</v>
      </c>
      <c r="C101" s="166" t="s">
        <v>138</v>
      </c>
    </row>
    <row r="102" spans="2:3" x14ac:dyDescent="0.25">
      <c r="B102" s="331" t="s">
        <v>9</v>
      </c>
      <c r="C102" s="337">
        <v>1</v>
      </c>
    </row>
    <row r="103" spans="2:3" x14ac:dyDescent="0.25">
      <c r="B103" s="331" t="s">
        <v>2860</v>
      </c>
      <c r="C103" s="337">
        <v>0.125</v>
      </c>
    </row>
    <row r="104" spans="2:3" x14ac:dyDescent="0.25">
      <c r="B104" s="331" t="s">
        <v>2862</v>
      </c>
      <c r="C104" s="337">
        <v>2</v>
      </c>
    </row>
    <row r="105" spans="2:3" ht="15.75" x14ac:dyDescent="0.25">
      <c r="B105" s="395" t="s">
        <v>2905</v>
      </c>
      <c r="C105" s="166" t="s">
        <v>138</v>
      </c>
    </row>
    <row r="106" spans="2:3" x14ac:dyDescent="0.25">
      <c r="B106" s="337" t="s">
        <v>185</v>
      </c>
      <c r="C106" s="337">
        <v>4</v>
      </c>
    </row>
    <row r="107" spans="2:3" x14ac:dyDescent="0.25">
      <c r="B107" s="337" t="s">
        <v>189</v>
      </c>
      <c r="C107" s="337">
        <v>8</v>
      </c>
    </row>
    <row r="108" spans="2:3" x14ac:dyDescent="0.25">
      <c r="B108" s="337" t="s">
        <v>214</v>
      </c>
      <c r="C108" s="337">
        <v>8</v>
      </c>
    </row>
    <row r="109" spans="2:3" x14ac:dyDescent="0.25">
      <c r="B109" s="337" t="s">
        <v>227</v>
      </c>
      <c r="C109" s="337">
        <v>10</v>
      </c>
    </row>
    <row r="110" spans="2:3" x14ac:dyDescent="0.25">
      <c r="B110" s="337" t="s">
        <v>2906</v>
      </c>
      <c r="C110" s="337">
        <v>12</v>
      </c>
    </row>
    <row r="111" spans="2:3" x14ac:dyDescent="0.25">
      <c r="B111" s="337" t="s">
        <v>2907</v>
      </c>
      <c r="C111" s="337">
        <v>14</v>
      </c>
    </row>
    <row r="112" spans="2:3" ht="15.75" x14ac:dyDescent="0.25">
      <c r="B112" s="395" t="s">
        <v>2908</v>
      </c>
      <c r="C112" s="166" t="s">
        <v>138</v>
      </c>
    </row>
    <row r="113" spans="2:3" x14ac:dyDescent="0.25">
      <c r="B113" s="337" t="s">
        <v>185</v>
      </c>
      <c r="C113" s="337">
        <v>8</v>
      </c>
    </row>
    <row r="114" spans="2:3" x14ac:dyDescent="0.25">
      <c r="B114" s="337" t="s">
        <v>189</v>
      </c>
      <c r="C114" s="337">
        <v>16</v>
      </c>
    </row>
    <row r="115" spans="2:3" x14ac:dyDescent="0.25">
      <c r="B115" s="337" t="s">
        <v>214</v>
      </c>
      <c r="C115" s="337">
        <v>16</v>
      </c>
    </row>
    <row r="116" spans="2:3" x14ac:dyDescent="0.25">
      <c r="B116" s="337" t="s">
        <v>227</v>
      </c>
      <c r="C116" s="337">
        <v>16</v>
      </c>
    </row>
    <row r="117" spans="2:3" x14ac:dyDescent="0.25">
      <c r="B117" s="337" t="s">
        <v>2906</v>
      </c>
      <c r="C117" s="337">
        <v>32</v>
      </c>
    </row>
    <row r="118" spans="2:3" x14ac:dyDescent="0.25">
      <c r="B118" s="337" t="s">
        <v>2907</v>
      </c>
      <c r="C118" s="337">
        <v>48</v>
      </c>
    </row>
    <row r="119" spans="2:3" ht="15.75" x14ac:dyDescent="0.25">
      <c r="B119" s="395" t="s">
        <v>2909</v>
      </c>
      <c r="C119" s="166" t="s">
        <v>138</v>
      </c>
    </row>
    <row r="120" spans="2:3" x14ac:dyDescent="0.25">
      <c r="B120" s="337" t="s">
        <v>185</v>
      </c>
      <c r="C120" s="337">
        <v>100</v>
      </c>
    </row>
    <row r="121" spans="2:3" x14ac:dyDescent="0.25">
      <c r="B121" s="337" t="s">
        <v>189</v>
      </c>
      <c r="C121" s="337">
        <v>290</v>
      </c>
    </row>
    <row r="122" spans="2:3" x14ac:dyDescent="0.25">
      <c r="B122" s="337" t="s">
        <v>214</v>
      </c>
      <c r="C122" s="337">
        <v>220</v>
      </c>
    </row>
    <row r="123" spans="2:3" x14ac:dyDescent="0.25">
      <c r="B123" s="337" t="s">
        <v>227</v>
      </c>
      <c r="C123" s="337">
        <v>100</v>
      </c>
    </row>
    <row r="124" spans="2:3" x14ac:dyDescent="0.25">
      <c r="B124" s="337" t="s">
        <v>2906</v>
      </c>
      <c r="C124" s="337">
        <v>100</v>
      </c>
    </row>
    <row r="125" spans="2:3" x14ac:dyDescent="0.25">
      <c r="B125" s="337" t="s">
        <v>2907</v>
      </c>
      <c r="C125" s="337">
        <v>100</v>
      </c>
    </row>
    <row r="126" spans="2:3" ht="15.75" x14ac:dyDescent="0.25">
      <c r="B126" s="395" t="s">
        <v>2910</v>
      </c>
      <c r="C126" s="166" t="s">
        <v>138</v>
      </c>
    </row>
    <row r="127" spans="2:3" x14ac:dyDescent="0.25">
      <c r="B127" s="337" t="s">
        <v>189</v>
      </c>
      <c r="C127" s="337">
        <v>24</v>
      </c>
    </row>
    <row r="128" spans="2:3" ht="17.100000000000001" customHeight="1" x14ac:dyDescent="0.25">
      <c r="B128" s="337" t="s">
        <v>214</v>
      </c>
      <c r="C128" s="337">
        <v>24</v>
      </c>
    </row>
    <row r="129" spans="2:3" ht="17.100000000000001" customHeight="1" x14ac:dyDescent="0.25">
      <c r="B129" s="337" t="s">
        <v>227</v>
      </c>
      <c r="C129" s="337">
        <v>32</v>
      </c>
    </row>
    <row r="130" spans="2:3" ht="15.75" x14ac:dyDescent="0.25">
      <c r="B130" s="395" t="s">
        <v>2911</v>
      </c>
      <c r="C130" s="166" t="s">
        <v>138</v>
      </c>
    </row>
    <row r="131" spans="2:3" x14ac:dyDescent="0.25">
      <c r="B131" s="337" t="s">
        <v>189</v>
      </c>
      <c r="C131" s="337">
        <v>96</v>
      </c>
    </row>
    <row r="132" spans="2:3" x14ac:dyDescent="0.25">
      <c r="B132" s="337" t="s">
        <v>214</v>
      </c>
      <c r="C132" s="337">
        <v>96</v>
      </c>
    </row>
    <row r="133" spans="2:3" x14ac:dyDescent="0.25">
      <c r="B133" s="337" t="s">
        <v>227</v>
      </c>
      <c r="C133" s="337">
        <v>128</v>
      </c>
    </row>
    <row r="134" spans="2:3" ht="15.75" x14ac:dyDescent="0.25">
      <c r="B134" s="395" t="s">
        <v>2912</v>
      </c>
      <c r="C134" s="166" t="s">
        <v>138</v>
      </c>
    </row>
    <row r="135" spans="2:3" x14ac:dyDescent="0.25">
      <c r="B135" s="337" t="s">
        <v>189</v>
      </c>
      <c r="C135" s="337">
        <v>455</v>
      </c>
    </row>
    <row r="136" spans="2:3" x14ac:dyDescent="0.25">
      <c r="B136" s="337" t="s">
        <v>214</v>
      </c>
      <c r="C136" s="337">
        <v>334</v>
      </c>
    </row>
    <row r="137" spans="2:3" x14ac:dyDescent="0.25">
      <c r="B137" s="337" t="s">
        <v>227</v>
      </c>
      <c r="C137" s="337">
        <v>430</v>
      </c>
    </row>
    <row r="138" spans="2:3" ht="15.75" x14ac:dyDescent="0.25">
      <c r="B138" s="395" t="s">
        <v>2913</v>
      </c>
      <c r="C138" s="166" t="s">
        <v>138</v>
      </c>
    </row>
    <row r="139" spans="2:3" x14ac:dyDescent="0.25">
      <c r="B139" s="337" t="s">
        <v>189</v>
      </c>
      <c r="C139" s="337">
        <v>4</v>
      </c>
    </row>
    <row r="140" spans="2:3" x14ac:dyDescent="0.25">
      <c r="B140" s="337" t="s">
        <v>214</v>
      </c>
      <c r="C140" s="337">
        <v>8</v>
      </c>
    </row>
    <row r="141" spans="2:3" x14ac:dyDescent="0.25">
      <c r="B141" s="337" t="s">
        <v>227</v>
      </c>
      <c r="C141" s="337">
        <v>16</v>
      </c>
    </row>
    <row r="142" spans="2:3" ht="15.75" x14ac:dyDescent="0.25">
      <c r="B142" s="395" t="s">
        <v>2914</v>
      </c>
      <c r="C142" s="166" t="s">
        <v>138</v>
      </c>
    </row>
    <row r="143" spans="2:3" x14ac:dyDescent="0.25">
      <c r="B143" s="337" t="s">
        <v>189</v>
      </c>
      <c r="C143" s="337">
        <v>8</v>
      </c>
    </row>
    <row r="144" spans="2:3" x14ac:dyDescent="0.25">
      <c r="B144" s="337" t="s">
        <v>214</v>
      </c>
      <c r="C144" s="337">
        <v>16</v>
      </c>
    </row>
    <row r="145" spans="2:3" x14ac:dyDescent="0.25">
      <c r="B145" s="337" t="s">
        <v>227</v>
      </c>
      <c r="C145" s="337">
        <v>32</v>
      </c>
    </row>
    <row r="146" spans="2:3" ht="15.75" x14ac:dyDescent="0.25">
      <c r="B146" s="395" t="s">
        <v>2915</v>
      </c>
      <c r="C146" s="166" t="s">
        <v>138</v>
      </c>
    </row>
    <row r="147" spans="2:3" x14ac:dyDescent="0.25">
      <c r="B147" s="337" t="s">
        <v>189</v>
      </c>
      <c r="C147" s="337">
        <v>530</v>
      </c>
    </row>
    <row r="148" spans="2:3" x14ac:dyDescent="0.25">
      <c r="B148" s="337" t="s">
        <v>214</v>
      </c>
      <c r="C148" s="337">
        <v>530</v>
      </c>
    </row>
    <row r="149" spans="2:3" x14ac:dyDescent="0.25">
      <c r="B149" s="337" t="s">
        <v>227</v>
      </c>
      <c r="C149" s="337">
        <v>530</v>
      </c>
    </row>
    <row r="150" spans="2:3" ht="15.75" x14ac:dyDescent="0.25">
      <c r="B150" s="395" t="s">
        <v>2916</v>
      </c>
      <c r="C150" s="166" t="s">
        <v>138</v>
      </c>
    </row>
    <row r="151" spans="2:3" x14ac:dyDescent="0.25">
      <c r="B151" s="337" t="s">
        <v>185</v>
      </c>
      <c r="C151" s="337">
        <v>2</v>
      </c>
    </row>
    <row r="152" spans="2:3" x14ac:dyDescent="0.25">
      <c r="B152" s="337" t="s">
        <v>189</v>
      </c>
      <c r="C152" s="337">
        <v>4</v>
      </c>
    </row>
    <row r="153" spans="2:3" x14ac:dyDescent="0.25">
      <c r="B153" s="337" t="s">
        <v>214</v>
      </c>
      <c r="C153" s="337">
        <v>8</v>
      </c>
    </row>
    <row r="154" spans="2:3" x14ac:dyDescent="0.25">
      <c r="B154" s="337" t="s">
        <v>227</v>
      </c>
      <c r="C154" s="337">
        <v>16</v>
      </c>
    </row>
    <row r="155" spans="2:3" x14ac:dyDescent="0.25">
      <c r="B155" s="337" t="s">
        <v>2906</v>
      </c>
      <c r="C155" s="337">
        <v>24</v>
      </c>
    </row>
    <row r="156" spans="2:3" ht="15.75" x14ac:dyDescent="0.25">
      <c r="B156" s="395" t="s">
        <v>2917</v>
      </c>
      <c r="C156" s="166" t="s">
        <v>138</v>
      </c>
    </row>
    <row r="157" spans="2:3" x14ac:dyDescent="0.25">
      <c r="B157" s="337" t="s">
        <v>185</v>
      </c>
      <c r="C157" s="337">
        <v>8</v>
      </c>
    </row>
    <row r="158" spans="2:3" x14ac:dyDescent="0.25">
      <c r="B158" s="337" t="s">
        <v>189</v>
      </c>
      <c r="C158" s="337">
        <v>16</v>
      </c>
    </row>
    <row r="159" spans="2:3" x14ac:dyDescent="0.25">
      <c r="B159" s="337" t="s">
        <v>214</v>
      </c>
      <c r="C159" s="337">
        <v>32</v>
      </c>
    </row>
    <row r="160" spans="2:3" x14ac:dyDescent="0.25">
      <c r="B160" s="337" t="s">
        <v>227</v>
      </c>
      <c r="C160" s="337">
        <v>48</v>
      </c>
    </row>
    <row r="161" spans="2:3" x14ac:dyDescent="0.25">
      <c r="B161" s="337" t="s">
        <v>2906</v>
      </c>
      <c r="C161" s="337">
        <v>128</v>
      </c>
    </row>
    <row r="162" spans="2:3" ht="15.75" x14ac:dyDescent="0.25">
      <c r="B162" s="395" t="s">
        <v>2918</v>
      </c>
      <c r="C162" s="166" t="s">
        <v>138</v>
      </c>
    </row>
    <row r="163" spans="2:3" x14ac:dyDescent="0.25">
      <c r="B163" s="337" t="s">
        <v>185</v>
      </c>
      <c r="C163" s="337">
        <v>274</v>
      </c>
    </row>
    <row r="164" spans="2:3" x14ac:dyDescent="0.25">
      <c r="B164" s="337" t="s">
        <v>189</v>
      </c>
      <c r="C164" s="337">
        <v>274</v>
      </c>
    </row>
    <row r="165" spans="2:3" x14ac:dyDescent="0.25">
      <c r="B165" s="337" t="s">
        <v>214</v>
      </c>
      <c r="C165" s="337">
        <v>274</v>
      </c>
    </row>
    <row r="166" spans="2:3" x14ac:dyDescent="0.25">
      <c r="B166" s="337" t="s">
        <v>227</v>
      </c>
      <c r="C166" s="337">
        <v>274</v>
      </c>
    </row>
    <row r="167" spans="2:3" x14ac:dyDescent="0.25">
      <c r="B167" s="337" t="s">
        <v>2906</v>
      </c>
      <c r="C167" s="337">
        <v>274</v>
      </c>
    </row>
    <row r="168" spans="2:3" ht="15.75" x14ac:dyDescent="0.25">
      <c r="B168" s="395" t="s">
        <v>2919</v>
      </c>
      <c r="C168" s="166" t="s">
        <v>138</v>
      </c>
    </row>
    <row r="169" spans="2:3" x14ac:dyDescent="0.25">
      <c r="B169" s="337" t="s">
        <v>189</v>
      </c>
      <c r="C169" s="337">
        <v>4</v>
      </c>
    </row>
    <row r="170" spans="2:3" x14ac:dyDescent="0.25">
      <c r="B170" s="337" t="s">
        <v>267</v>
      </c>
      <c r="C170" s="337">
        <v>8</v>
      </c>
    </row>
    <row r="171" spans="2:3" ht="15.75" x14ac:dyDescent="0.25">
      <c r="B171" s="395" t="s">
        <v>2920</v>
      </c>
      <c r="C171" s="166" t="s">
        <v>138</v>
      </c>
    </row>
    <row r="172" spans="2:3" x14ac:dyDescent="0.25">
      <c r="B172" s="337" t="s">
        <v>189</v>
      </c>
      <c r="C172" s="337">
        <v>16</v>
      </c>
    </row>
    <row r="173" spans="2:3" x14ac:dyDescent="0.25">
      <c r="B173" s="337" t="s">
        <v>267</v>
      </c>
      <c r="C173" s="337">
        <v>48</v>
      </c>
    </row>
    <row r="174" spans="2:3" ht="15.75" x14ac:dyDescent="0.25">
      <c r="B174" s="395" t="s">
        <v>2921</v>
      </c>
      <c r="C174" s="166" t="s">
        <v>138</v>
      </c>
    </row>
    <row r="175" spans="2:3" x14ac:dyDescent="0.25">
      <c r="B175" s="337" t="s">
        <v>189</v>
      </c>
      <c r="C175" s="337">
        <v>264</v>
      </c>
    </row>
    <row r="176" spans="2:3" x14ac:dyDescent="0.25">
      <c r="B176" s="337" t="s">
        <v>267</v>
      </c>
      <c r="C176" s="337">
        <v>264</v>
      </c>
    </row>
    <row r="177" spans="2:3" ht="15.75" x14ac:dyDescent="0.25">
      <c r="B177" s="395" t="s">
        <v>2922</v>
      </c>
      <c r="C177" s="166" t="s">
        <v>138</v>
      </c>
    </row>
    <row r="178" spans="2:3" x14ac:dyDescent="0.25">
      <c r="B178" s="337" t="s">
        <v>2923</v>
      </c>
      <c r="C178" s="337">
        <v>2</v>
      </c>
    </row>
    <row r="179" spans="2:3" x14ac:dyDescent="0.25">
      <c r="B179" s="337" t="s">
        <v>267</v>
      </c>
      <c r="C179" s="337">
        <v>4</v>
      </c>
    </row>
    <row r="180" spans="2:3" ht="15.75" x14ac:dyDescent="0.25">
      <c r="B180" s="395" t="s">
        <v>2924</v>
      </c>
      <c r="C180" s="166" t="s">
        <v>138</v>
      </c>
    </row>
    <row r="181" spans="2:3" x14ac:dyDescent="0.25">
      <c r="B181" s="337" t="s">
        <v>2923</v>
      </c>
      <c r="C181" s="337">
        <v>8</v>
      </c>
    </row>
    <row r="182" spans="2:3" x14ac:dyDescent="0.25">
      <c r="B182" s="337" t="s">
        <v>267</v>
      </c>
      <c r="C182" s="337">
        <v>8</v>
      </c>
    </row>
    <row r="183" spans="2:3" ht="15.75" x14ac:dyDescent="0.25">
      <c r="B183" s="395" t="s">
        <v>2925</v>
      </c>
      <c r="C183" s="166" t="s">
        <v>138</v>
      </c>
    </row>
    <row r="184" spans="2:3" x14ac:dyDescent="0.25">
      <c r="B184" s="337" t="s">
        <v>2923</v>
      </c>
      <c r="C184" s="337">
        <v>33</v>
      </c>
    </row>
    <row r="185" spans="2:3" x14ac:dyDescent="0.25">
      <c r="B185" s="337" t="s">
        <v>267</v>
      </c>
      <c r="C185" s="337">
        <v>33</v>
      </c>
    </row>
    <row r="186" spans="2:3" ht="15.75" x14ac:dyDescent="0.25">
      <c r="B186" s="395" t="s">
        <v>2926</v>
      </c>
      <c r="C186" s="166" t="s">
        <v>138</v>
      </c>
    </row>
    <row r="187" spans="2:3" x14ac:dyDescent="0.25">
      <c r="B187" s="337" t="s">
        <v>2923</v>
      </c>
      <c r="C187" s="337">
        <v>2</v>
      </c>
    </row>
    <row r="188" spans="2:3" x14ac:dyDescent="0.25">
      <c r="B188" s="337" t="s">
        <v>267</v>
      </c>
      <c r="C188" s="337">
        <v>8</v>
      </c>
    </row>
    <row r="189" spans="2:3" ht="15.75" x14ac:dyDescent="0.25">
      <c r="B189" s="395" t="s">
        <v>2927</v>
      </c>
      <c r="C189" s="166" t="s">
        <v>138</v>
      </c>
    </row>
    <row r="190" spans="2:3" x14ac:dyDescent="0.25">
      <c r="B190" s="337" t="s">
        <v>2923</v>
      </c>
      <c r="C190" s="337">
        <v>8</v>
      </c>
    </row>
    <row r="191" spans="2:3" x14ac:dyDescent="0.25">
      <c r="B191" s="337" t="s">
        <v>267</v>
      </c>
      <c r="C191" s="337">
        <v>24</v>
      </c>
    </row>
    <row r="192" spans="2:3" ht="15.75" x14ac:dyDescent="0.25">
      <c r="B192" s="395" t="s">
        <v>2928</v>
      </c>
      <c r="C192" s="166" t="s">
        <v>138</v>
      </c>
    </row>
    <row r="193" spans="2:3" x14ac:dyDescent="0.25">
      <c r="B193" s="337" t="s">
        <v>2923</v>
      </c>
      <c r="C193" s="337">
        <v>20</v>
      </c>
    </row>
    <row r="194" spans="2:3" x14ac:dyDescent="0.25">
      <c r="B194" s="337" t="s">
        <v>267</v>
      </c>
      <c r="C194" s="337">
        <v>800</v>
      </c>
    </row>
    <row r="195" spans="2:3" ht="15.75" x14ac:dyDescent="0.25">
      <c r="B195" s="395" t="s">
        <v>2929</v>
      </c>
      <c r="C195" s="166" t="s">
        <v>138</v>
      </c>
    </row>
    <row r="196" spans="2:3" x14ac:dyDescent="0.25">
      <c r="B196" s="331" t="s">
        <v>9</v>
      </c>
      <c r="C196" s="337">
        <v>2</v>
      </c>
    </row>
    <row r="197" spans="2:3" x14ac:dyDescent="0.25">
      <c r="B197" s="331" t="s">
        <v>2860</v>
      </c>
      <c r="C197" s="337">
        <v>8</v>
      </c>
    </row>
    <row r="198" spans="2:3" x14ac:dyDescent="0.25">
      <c r="B198" s="331" t="s">
        <v>2862</v>
      </c>
      <c r="C198" s="337">
        <v>20</v>
      </c>
    </row>
    <row r="199" spans="2:3" ht="15.75" x14ac:dyDescent="0.25">
      <c r="B199" s="395" t="s">
        <v>2930</v>
      </c>
      <c r="C199" s="166" t="s">
        <v>138</v>
      </c>
    </row>
    <row r="200" spans="2:3" x14ac:dyDescent="0.25">
      <c r="B200" s="331" t="s">
        <v>189</v>
      </c>
      <c r="C200" s="337">
        <v>4</v>
      </c>
    </row>
    <row r="201" spans="2:3" x14ac:dyDescent="0.25">
      <c r="B201" s="331" t="s">
        <v>214</v>
      </c>
      <c r="C201" s="337">
        <v>8</v>
      </c>
    </row>
    <row r="202" spans="2:3" x14ac:dyDescent="0.25">
      <c r="B202" s="331" t="s">
        <v>227</v>
      </c>
      <c r="C202" s="337">
        <v>12</v>
      </c>
    </row>
    <row r="203" spans="2:3" x14ac:dyDescent="0.25">
      <c r="B203" s="331" t="s">
        <v>2906</v>
      </c>
      <c r="C203" s="337">
        <v>16</v>
      </c>
    </row>
    <row r="204" spans="2:3" x14ac:dyDescent="0.25">
      <c r="B204" s="331" t="s">
        <v>2907</v>
      </c>
      <c r="C204" s="337">
        <v>24</v>
      </c>
    </row>
    <row r="205" spans="2:3" ht="15.75" x14ac:dyDescent="0.25">
      <c r="B205" s="395" t="s">
        <v>2931</v>
      </c>
      <c r="C205" s="166" t="s">
        <v>138</v>
      </c>
    </row>
    <row r="206" spans="2:3" x14ac:dyDescent="0.25">
      <c r="B206" s="331" t="s">
        <v>189</v>
      </c>
      <c r="C206" s="337">
        <v>16</v>
      </c>
    </row>
    <row r="207" spans="2:3" x14ac:dyDescent="0.25">
      <c r="B207" s="331" t="s">
        <v>214</v>
      </c>
      <c r="C207" s="337">
        <v>32</v>
      </c>
    </row>
    <row r="208" spans="2:3" x14ac:dyDescent="0.25">
      <c r="B208" s="331" t="s">
        <v>227</v>
      </c>
      <c r="C208" s="337">
        <v>48</v>
      </c>
    </row>
    <row r="209" spans="2:3" x14ac:dyDescent="0.25">
      <c r="B209" s="331" t="s">
        <v>2906</v>
      </c>
      <c r="C209" s="337">
        <v>64</v>
      </c>
    </row>
    <row r="210" spans="2:3" x14ac:dyDescent="0.25">
      <c r="B210" s="331" t="s">
        <v>2907</v>
      </c>
      <c r="C210" s="337">
        <v>128</v>
      </c>
    </row>
    <row r="211" spans="2:3" ht="15.75" x14ac:dyDescent="0.25">
      <c r="B211" s="395" t="s">
        <v>2932</v>
      </c>
      <c r="C211" s="166" t="s">
        <v>138</v>
      </c>
    </row>
    <row r="212" spans="2:3" x14ac:dyDescent="0.25">
      <c r="B212" s="331" t="s">
        <v>189</v>
      </c>
      <c r="C212" s="337">
        <v>1024</v>
      </c>
    </row>
    <row r="213" spans="2:3" x14ac:dyDescent="0.25">
      <c r="B213" s="331" t="s">
        <v>214</v>
      </c>
      <c r="C213" s="337">
        <v>1024</v>
      </c>
    </row>
    <row r="214" spans="2:3" x14ac:dyDescent="0.25">
      <c r="B214" s="331" t="s">
        <v>227</v>
      </c>
      <c r="C214" s="337">
        <v>1024</v>
      </c>
    </row>
    <row r="215" spans="2:3" x14ac:dyDescent="0.25">
      <c r="B215" s="331" t="s">
        <v>2906</v>
      </c>
      <c r="C215" s="337">
        <v>1024</v>
      </c>
    </row>
    <row r="216" spans="2:3" x14ac:dyDescent="0.25">
      <c r="B216" s="331" t="s">
        <v>2907</v>
      </c>
      <c r="C216" s="337">
        <v>1024</v>
      </c>
    </row>
    <row r="217" spans="2:3" ht="15.75" x14ac:dyDescent="0.25">
      <c r="B217" s="395" t="s">
        <v>2933</v>
      </c>
      <c r="C217" s="166" t="s">
        <v>138</v>
      </c>
    </row>
    <row r="218" spans="2:3" x14ac:dyDescent="0.25">
      <c r="B218" s="331" t="s">
        <v>189</v>
      </c>
      <c r="C218" s="331">
        <v>2</v>
      </c>
    </row>
    <row r="219" spans="2:3" x14ac:dyDescent="0.25">
      <c r="B219" s="331" t="s">
        <v>214</v>
      </c>
      <c r="C219" s="337">
        <v>4</v>
      </c>
    </row>
    <row r="220" spans="2:3" x14ac:dyDescent="0.25">
      <c r="B220" s="331" t="s">
        <v>227</v>
      </c>
      <c r="C220" s="337">
        <v>8</v>
      </c>
    </row>
    <row r="221" spans="2:3" x14ac:dyDescent="0.25">
      <c r="B221" s="331" t="s">
        <v>2906</v>
      </c>
      <c r="C221" s="337">
        <v>8</v>
      </c>
    </row>
    <row r="222" spans="2:3" x14ac:dyDescent="0.25">
      <c r="B222" s="331" t="s">
        <v>2907</v>
      </c>
      <c r="C222" s="337">
        <v>16</v>
      </c>
    </row>
    <row r="223" spans="2:3" ht="15.75" x14ac:dyDescent="0.25">
      <c r="B223" s="395" t="s">
        <v>2934</v>
      </c>
      <c r="C223" s="166" t="s">
        <v>138</v>
      </c>
    </row>
    <row r="224" spans="2:3" x14ac:dyDescent="0.25">
      <c r="B224" s="331" t="s">
        <v>189</v>
      </c>
      <c r="C224" s="331">
        <v>4</v>
      </c>
    </row>
    <row r="225" spans="2:3" x14ac:dyDescent="0.25">
      <c r="B225" s="331" t="s">
        <v>214</v>
      </c>
      <c r="C225" s="337">
        <v>12</v>
      </c>
    </row>
    <row r="226" spans="2:3" x14ac:dyDescent="0.25">
      <c r="B226" s="331" t="s">
        <v>227</v>
      </c>
      <c r="C226" s="337">
        <v>16</v>
      </c>
    </row>
    <row r="227" spans="2:3" x14ac:dyDescent="0.25">
      <c r="B227" s="331" t="s">
        <v>2906</v>
      </c>
      <c r="C227" s="337">
        <v>24</v>
      </c>
    </row>
    <row r="228" spans="2:3" x14ac:dyDescent="0.25">
      <c r="B228" s="331" t="s">
        <v>2907</v>
      </c>
      <c r="C228" s="337">
        <v>48</v>
      </c>
    </row>
    <row r="229" spans="2:3" ht="15.75" x14ac:dyDescent="0.25">
      <c r="B229" s="395" t="s">
        <v>2935</v>
      </c>
      <c r="C229" s="166" t="s">
        <v>138</v>
      </c>
    </row>
    <row r="230" spans="2:3" x14ac:dyDescent="0.25">
      <c r="B230" s="331" t="s">
        <v>189</v>
      </c>
      <c r="C230" s="337">
        <v>250</v>
      </c>
    </row>
    <row r="231" spans="2:3" x14ac:dyDescent="0.25">
      <c r="B231" s="331" t="s">
        <v>214</v>
      </c>
      <c r="C231" s="337">
        <v>250</v>
      </c>
    </row>
    <row r="232" spans="2:3" x14ac:dyDescent="0.25">
      <c r="B232" s="331" t="s">
        <v>227</v>
      </c>
      <c r="C232" s="337">
        <v>250</v>
      </c>
    </row>
    <row r="233" spans="2:3" x14ac:dyDescent="0.25">
      <c r="B233" s="331" t="s">
        <v>2906</v>
      </c>
      <c r="C233" s="337">
        <v>250</v>
      </c>
    </row>
    <row r="234" spans="2:3" x14ac:dyDescent="0.25">
      <c r="B234" s="331" t="s">
        <v>2907</v>
      </c>
      <c r="C234" s="337">
        <v>250</v>
      </c>
    </row>
    <row r="235" spans="2:3" ht="15.75" x14ac:dyDescent="0.25">
      <c r="B235" s="395" t="s">
        <v>2936</v>
      </c>
      <c r="C235" s="166" t="s">
        <v>138</v>
      </c>
    </row>
    <row r="236" spans="2:3" x14ac:dyDescent="0.25">
      <c r="B236" s="331" t="s">
        <v>9</v>
      </c>
      <c r="C236" s="153">
        <v>8</v>
      </c>
    </row>
    <row r="237" spans="2:3" x14ac:dyDescent="0.25">
      <c r="B237" s="331" t="s">
        <v>2860</v>
      </c>
      <c r="C237" s="193">
        <v>12</v>
      </c>
    </row>
    <row r="238" spans="2:3" x14ac:dyDescent="0.25">
      <c r="B238" s="331" t="s">
        <v>2862</v>
      </c>
      <c r="C238" s="193">
        <v>100</v>
      </c>
    </row>
    <row r="239" spans="2:3" ht="15.75" x14ac:dyDescent="0.25">
      <c r="B239" s="395" t="s">
        <v>2937</v>
      </c>
      <c r="C239" s="166" t="s">
        <v>138</v>
      </c>
    </row>
    <row r="240" spans="2:3" x14ac:dyDescent="0.25">
      <c r="B240" s="194" t="s">
        <v>9</v>
      </c>
      <c r="C240" s="337">
        <v>4</v>
      </c>
    </row>
    <row r="241" spans="2:3" x14ac:dyDescent="0.25">
      <c r="B241" s="195" t="s">
        <v>2860</v>
      </c>
      <c r="C241" s="337">
        <v>12</v>
      </c>
    </row>
    <row r="242" spans="2:3" x14ac:dyDescent="0.25">
      <c r="B242" s="195" t="s">
        <v>2862</v>
      </c>
      <c r="C242" s="337">
        <v>65</v>
      </c>
    </row>
    <row r="243" spans="2:3" ht="15.75" x14ac:dyDescent="0.25">
      <c r="B243" s="395" t="s">
        <v>2938</v>
      </c>
      <c r="C243" s="166" t="s">
        <v>138</v>
      </c>
    </row>
    <row r="244" spans="2:3" x14ac:dyDescent="0.25">
      <c r="B244" s="195" t="s">
        <v>189</v>
      </c>
      <c r="C244" s="337">
        <v>6</v>
      </c>
    </row>
    <row r="245" spans="2:3" x14ac:dyDescent="0.25">
      <c r="B245" s="195" t="s">
        <v>227</v>
      </c>
      <c r="C245" s="337">
        <v>16</v>
      </c>
    </row>
    <row r="246" spans="2:3" x14ac:dyDescent="0.25">
      <c r="B246" s="195" t="s">
        <v>2939</v>
      </c>
      <c r="C246" s="337">
        <v>16</v>
      </c>
    </row>
    <row r="247" spans="2:3" ht="15.75" x14ac:dyDescent="0.25">
      <c r="B247" s="395" t="s">
        <v>2940</v>
      </c>
      <c r="C247" s="166" t="s">
        <v>138</v>
      </c>
    </row>
    <row r="248" spans="2:3" x14ac:dyDescent="0.25">
      <c r="B248" s="195" t="s">
        <v>189</v>
      </c>
      <c r="C248" s="337">
        <v>32</v>
      </c>
    </row>
    <row r="249" spans="2:3" x14ac:dyDescent="0.25">
      <c r="B249" s="195" t="s">
        <v>227</v>
      </c>
      <c r="C249" s="337">
        <v>48</v>
      </c>
    </row>
    <row r="250" spans="2:3" x14ac:dyDescent="0.25">
      <c r="B250" s="195" t="s">
        <v>2939</v>
      </c>
      <c r="C250" s="337">
        <v>64</v>
      </c>
    </row>
    <row r="251" spans="2:3" ht="15.75" x14ac:dyDescent="0.25">
      <c r="B251" s="395" t="s">
        <v>2941</v>
      </c>
      <c r="C251" s="166" t="s">
        <v>138</v>
      </c>
    </row>
    <row r="252" spans="2:3" x14ac:dyDescent="0.25">
      <c r="B252" s="195" t="s">
        <v>189</v>
      </c>
      <c r="C252" s="337">
        <v>512</v>
      </c>
    </row>
    <row r="253" spans="2:3" x14ac:dyDescent="0.25">
      <c r="B253" s="195" t="s">
        <v>227</v>
      </c>
      <c r="C253" s="337">
        <v>1400</v>
      </c>
    </row>
    <row r="254" spans="2:3" x14ac:dyDescent="0.25">
      <c r="B254" s="195" t="s">
        <v>2939</v>
      </c>
      <c r="C254" s="337">
        <v>1750</v>
      </c>
    </row>
    <row r="255" spans="2:3" ht="15.75" x14ac:dyDescent="0.25">
      <c r="B255" s="395" t="s">
        <v>2942</v>
      </c>
      <c r="C255" s="166" t="s">
        <v>138</v>
      </c>
    </row>
    <row r="256" spans="2:3" ht="15.75" x14ac:dyDescent="0.25">
      <c r="B256" s="318" t="s">
        <v>216</v>
      </c>
      <c r="C256" s="166"/>
    </row>
    <row r="257" spans="2:4" x14ac:dyDescent="0.25">
      <c r="B257" s="195" t="s">
        <v>214</v>
      </c>
      <c r="C257" s="337">
        <v>112</v>
      </c>
    </row>
    <row r="258" spans="2:4" x14ac:dyDescent="0.25">
      <c r="B258" s="195" t="s">
        <v>227</v>
      </c>
      <c r="C258" s="337">
        <v>160</v>
      </c>
    </row>
    <row r="259" spans="2:4" x14ac:dyDescent="0.25">
      <c r="B259" s="195" t="s">
        <v>2939</v>
      </c>
      <c r="C259" s="337">
        <v>192</v>
      </c>
    </row>
    <row r="260" spans="2:4" ht="15.75" x14ac:dyDescent="0.25">
      <c r="B260" s="395" t="s">
        <v>2943</v>
      </c>
      <c r="C260" s="166" t="s">
        <v>138</v>
      </c>
    </row>
    <row r="261" spans="2:4" x14ac:dyDescent="0.25">
      <c r="B261" s="195" t="s">
        <v>214</v>
      </c>
      <c r="C261" s="337">
        <v>414</v>
      </c>
    </row>
    <row r="262" spans="2:4" x14ac:dyDescent="0.25">
      <c r="B262" s="195" t="s">
        <v>227</v>
      </c>
      <c r="C262" s="337">
        <v>606</v>
      </c>
    </row>
    <row r="263" spans="2:4" x14ac:dyDescent="0.25">
      <c r="B263" s="195" t="s">
        <v>2939</v>
      </c>
      <c r="C263" s="337">
        <v>734</v>
      </c>
    </row>
    <row r="264" spans="2:4" ht="15.75" x14ac:dyDescent="0.25">
      <c r="B264" s="395" t="s">
        <v>2944</v>
      </c>
      <c r="C264" s="166" t="s">
        <v>138</v>
      </c>
    </row>
    <row r="265" spans="2:4" x14ac:dyDescent="0.25">
      <c r="B265" s="195" t="s">
        <v>214</v>
      </c>
      <c r="C265" s="337">
        <v>4096</v>
      </c>
    </row>
    <row r="266" spans="2:4" x14ac:dyDescent="0.25">
      <c r="B266" s="195" t="s">
        <v>227</v>
      </c>
      <c r="C266" s="337">
        <v>5120</v>
      </c>
    </row>
    <row r="267" spans="2:4" x14ac:dyDescent="0.25">
      <c r="B267" s="195" t="s">
        <v>2939</v>
      </c>
      <c r="C267" s="337">
        <v>6656</v>
      </c>
    </row>
    <row r="268" spans="2:4" ht="15.75" x14ac:dyDescent="0.25">
      <c r="B268" s="395" t="s">
        <v>459</v>
      </c>
      <c r="C268" s="395" t="s">
        <v>2945</v>
      </c>
      <c r="D268" s="395" t="s">
        <v>459</v>
      </c>
    </row>
    <row r="269" spans="2:4" x14ac:dyDescent="0.25">
      <c r="B269" s="196">
        <v>32</v>
      </c>
      <c r="C269" s="196" t="s">
        <v>2946</v>
      </c>
      <c r="D269" s="196">
        <v>32</v>
      </c>
    </row>
    <row r="270" spans="2:4" x14ac:dyDescent="0.25">
      <c r="B270" s="196">
        <v>31</v>
      </c>
      <c r="C270" s="196" t="s">
        <v>2947</v>
      </c>
      <c r="D270" s="196">
        <v>31</v>
      </c>
    </row>
    <row r="271" spans="2:4" x14ac:dyDescent="0.25">
      <c r="B271" s="196">
        <v>30</v>
      </c>
      <c r="C271" s="196" t="s">
        <v>2948</v>
      </c>
      <c r="D271" s="196">
        <v>30</v>
      </c>
    </row>
    <row r="272" spans="2:4" x14ac:dyDescent="0.25">
      <c r="B272" s="196">
        <v>29</v>
      </c>
      <c r="C272" s="196" t="s">
        <v>2949</v>
      </c>
      <c r="D272" s="196">
        <v>29</v>
      </c>
    </row>
    <row r="273" spans="2:4" x14ac:dyDescent="0.25">
      <c r="B273" s="196">
        <v>28</v>
      </c>
      <c r="C273" s="196" t="s">
        <v>2950</v>
      </c>
      <c r="D273" s="196">
        <v>28</v>
      </c>
    </row>
    <row r="274" spans="2:4" x14ac:dyDescent="0.25">
      <c r="B274" s="196">
        <v>27</v>
      </c>
      <c r="C274" s="196" t="s">
        <v>2951</v>
      </c>
      <c r="D274" s="196">
        <v>27</v>
      </c>
    </row>
    <row r="275" spans="2:4" x14ac:dyDescent="0.25">
      <c r="B275" s="196">
        <v>26</v>
      </c>
      <c r="C275" s="196" t="s">
        <v>2952</v>
      </c>
      <c r="D275" s="196">
        <v>26</v>
      </c>
    </row>
    <row r="276" spans="2:4" x14ac:dyDescent="0.25">
      <c r="B276" s="196">
        <v>25</v>
      </c>
      <c r="C276" s="196" t="s">
        <v>2953</v>
      </c>
      <c r="D276" s="196">
        <v>25</v>
      </c>
    </row>
    <row r="277" spans="2:4" x14ac:dyDescent="0.25">
      <c r="B277" s="196">
        <v>24</v>
      </c>
      <c r="C277" s="196" t="s">
        <v>612</v>
      </c>
      <c r="D277" s="196">
        <v>24</v>
      </c>
    </row>
    <row r="278" spans="2:4" x14ac:dyDescent="0.25">
      <c r="B278" s="196">
        <v>23</v>
      </c>
      <c r="C278" s="196" t="s">
        <v>2954</v>
      </c>
      <c r="D278" s="196">
        <v>23</v>
      </c>
    </row>
    <row r="279" spans="2:4" x14ac:dyDescent="0.25">
      <c r="B279" s="196">
        <v>22</v>
      </c>
      <c r="C279" s="196" t="s">
        <v>2955</v>
      </c>
      <c r="D279" s="196">
        <v>22</v>
      </c>
    </row>
    <row r="280" spans="2:4" x14ac:dyDescent="0.25">
      <c r="B280" s="196">
        <v>21</v>
      </c>
      <c r="C280" s="196" t="s">
        <v>2956</v>
      </c>
      <c r="D280" s="196">
        <v>21</v>
      </c>
    </row>
    <row r="281" spans="2:4" x14ac:dyDescent="0.25">
      <c r="B281" s="196">
        <v>20</v>
      </c>
      <c r="C281" s="196" t="s">
        <v>2957</v>
      </c>
      <c r="D281" s="196">
        <v>20</v>
      </c>
    </row>
    <row r="282" spans="2:4" x14ac:dyDescent="0.25">
      <c r="B282" s="196">
        <v>19</v>
      </c>
      <c r="C282" s="196" t="s">
        <v>2958</v>
      </c>
      <c r="D282" s="196">
        <v>19</v>
      </c>
    </row>
    <row r="283" spans="2:4" x14ac:dyDescent="0.25">
      <c r="B283" s="196">
        <v>18</v>
      </c>
      <c r="C283" s="196" t="s">
        <v>2959</v>
      </c>
      <c r="D283" s="196">
        <v>18</v>
      </c>
    </row>
    <row r="284" spans="2:4" x14ac:dyDescent="0.25">
      <c r="B284" s="196">
        <v>17</v>
      </c>
      <c r="C284" s="196" t="s">
        <v>2960</v>
      </c>
      <c r="D284" s="196">
        <v>17</v>
      </c>
    </row>
    <row r="285" spans="2:4" x14ac:dyDescent="0.25">
      <c r="B285" s="196">
        <v>16</v>
      </c>
      <c r="C285" s="196" t="s">
        <v>2961</v>
      </c>
      <c r="D285" s="196">
        <v>16</v>
      </c>
    </row>
    <row r="286" spans="2:4" x14ac:dyDescent="0.25">
      <c r="B286" s="196">
        <v>15</v>
      </c>
      <c r="C286" s="196" t="s">
        <v>2962</v>
      </c>
      <c r="D286" s="196">
        <v>15</v>
      </c>
    </row>
    <row r="287" spans="2:4" x14ac:dyDescent="0.25">
      <c r="B287" s="196">
        <v>14</v>
      </c>
      <c r="C287" s="196" t="s">
        <v>2963</v>
      </c>
      <c r="D287" s="196">
        <v>14</v>
      </c>
    </row>
    <row r="288" spans="2:4" x14ac:dyDescent="0.25">
      <c r="B288" s="196">
        <v>13</v>
      </c>
      <c r="C288" s="196" t="s">
        <v>2964</v>
      </c>
      <c r="D288" s="196">
        <v>13</v>
      </c>
    </row>
    <row r="289" spans="2:4" x14ac:dyDescent="0.25">
      <c r="B289" s="196">
        <v>12</v>
      </c>
      <c r="C289" s="196" t="s">
        <v>2965</v>
      </c>
      <c r="D289" s="196">
        <v>12</v>
      </c>
    </row>
    <row r="290" spans="2:4" x14ac:dyDescent="0.25">
      <c r="B290" s="196">
        <v>11</v>
      </c>
      <c r="C290" s="196" t="s">
        <v>2966</v>
      </c>
      <c r="D290" s="196">
        <v>11</v>
      </c>
    </row>
    <row r="291" spans="2:4" x14ac:dyDescent="0.25">
      <c r="B291" s="196">
        <v>10</v>
      </c>
      <c r="C291" s="196" t="s">
        <v>2967</v>
      </c>
      <c r="D291" s="196">
        <v>10</v>
      </c>
    </row>
    <row r="292" spans="2:4" x14ac:dyDescent="0.25">
      <c r="B292" s="196">
        <v>9</v>
      </c>
      <c r="C292" s="196" t="s">
        <v>2968</v>
      </c>
      <c r="D292" s="196">
        <v>9</v>
      </c>
    </row>
    <row r="293" spans="2:4" x14ac:dyDescent="0.25">
      <c r="B293" s="196">
        <v>8</v>
      </c>
      <c r="C293" s="196" t="s">
        <v>2969</v>
      </c>
      <c r="D293" s="196">
        <v>8</v>
      </c>
    </row>
    <row r="294" spans="2:4" x14ac:dyDescent="0.25">
      <c r="B294" s="196">
        <v>7</v>
      </c>
      <c r="C294" s="196" t="s">
        <v>2970</v>
      </c>
      <c r="D294" s="196">
        <v>7</v>
      </c>
    </row>
    <row r="295" spans="2:4" x14ac:dyDescent="0.25">
      <c r="B295" s="196">
        <v>6</v>
      </c>
      <c r="C295" s="196" t="s">
        <v>2971</v>
      </c>
      <c r="D295" s="196">
        <v>6</v>
      </c>
    </row>
    <row r="296" spans="2:4" x14ac:dyDescent="0.25">
      <c r="B296" s="196">
        <v>5</v>
      </c>
      <c r="C296" s="196" t="s">
        <v>2972</v>
      </c>
      <c r="D296" s="196">
        <v>5</v>
      </c>
    </row>
    <row r="297" spans="2:4" x14ac:dyDescent="0.25">
      <c r="B297" s="196">
        <v>4</v>
      </c>
      <c r="C297" s="196" t="s">
        <v>2973</v>
      </c>
      <c r="D297" s="196">
        <v>4</v>
      </c>
    </row>
    <row r="298" spans="2:4" x14ac:dyDescent="0.25">
      <c r="B298" s="196">
        <v>3</v>
      </c>
      <c r="C298" s="196" t="s">
        <v>2974</v>
      </c>
      <c r="D298" s="196">
        <v>3</v>
      </c>
    </row>
    <row r="299" spans="2:4" x14ac:dyDescent="0.25">
      <c r="B299" s="196">
        <v>2</v>
      </c>
      <c r="C299" s="196" t="s">
        <v>2975</v>
      </c>
      <c r="D299" s="196">
        <v>2</v>
      </c>
    </row>
    <row r="300" spans="2:4" x14ac:dyDescent="0.25">
      <c r="B300" s="196">
        <v>1</v>
      </c>
      <c r="C300" s="196" t="s">
        <v>2976</v>
      </c>
      <c r="D300" s="196">
        <v>1</v>
      </c>
    </row>
    <row r="301" spans="2:4" x14ac:dyDescent="0.25">
      <c r="B301" s="196">
        <v>0</v>
      </c>
      <c r="C301" s="196" t="s">
        <v>2977</v>
      </c>
      <c r="D301" s="196">
        <v>0</v>
      </c>
    </row>
    <row r="302" spans="2:4" ht="15.75" x14ac:dyDescent="0.25">
      <c r="B302" s="395" t="s">
        <v>2978</v>
      </c>
      <c r="C302" s="395" t="s">
        <v>2978</v>
      </c>
    </row>
    <row r="303" spans="2:4" x14ac:dyDescent="0.25">
      <c r="B303" s="337"/>
      <c r="C303" s="337" t="s">
        <v>2979</v>
      </c>
    </row>
    <row r="304" spans="2:4" x14ac:dyDescent="0.25">
      <c r="B304" s="337"/>
      <c r="C304" s="337" t="s">
        <v>2980</v>
      </c>
    </row>
    <row r="305" spans="2:3" x14ac:dyDescent="0.25">
      <c r="B305" s="337"/>
      <c r="C305" s="337" t="s">
        <v>230</v>
      </c>
    </row>
    <row r="306" spans="2:3" ht="15.75" x14ac:dyDescent="0.25">
      <c r="B306" s="395"/>
      <c r="C306" s="395" t="s">
        <v>2981</v>
      </c>
    </row>
    <row r="307" spans="2:3" x14ac:dyDescent="0.25">
      <c r="B307" s="337" t="s">
        <v>496</v>
      </c>
    </row>
    <row r="308" spans="2:3" x14ac:dyDescent="0.25">
      <c r="B308" s="337" t="s">
        <v>2982</v>
      </c>
    </row>
    <row r="309" spans="2:3" x14ac:dyDescent="0.25">
      <c r="B309" s="337" t="s">
        <v>2983</v>
      </c>
    </row>
    <row r="310" spans="2:3" x14ac:dyDescent="0.25">
      <c r="B310" s="337" t="s">
        <v>2984</v>
      </c>
    </row>
    <row r="311" spans="2:3" x14ac:dyDescent="0.25">
      <c r="B311" s="337" t="s">
        <v>2985</v>
      </c>
    </row>
    <row r="312" spans="2:3" x14ac:dyDescent="0.25">
      <c r="B312" s="337" t="s">
        <v>2986</v>
      </c>
    </row>
    <row r="313" spans="2:3" x14ac:dyDescent="0.25">
      <c r="B313" s="337" t="s">
        <v>2987</v>
      </c>
    </row>
    <row r="314" spans="2:3" x14ac:dyDescent="0.25">
      <c r="B314" s="337" t="s">
        <v>2988</v>
      </c>
    </row>
    <row r="315" spans="2:3" x14ac:dyDescent="0.25">
      <c r="B315" s="337" t="s">
        <v>2989</v>
      </c>
    </row>
    <row r="316" spans="2:3" x14ac:dyDescent="0.25">
      <c r="B316" s="337" t="s">
        <v>2990</v>
      </c>
    </row>
    <row r="317" spans="2:3" x14ac:dyDescent="0.25">
      <c r="B317" s="337" t="s">
        <v>2991</v>
      </c>
    </row>
    <row r="318" spans="2:3" x14ac:dyDescent="0.25">
      <c r="B318" s="337" t="s">
        <v>2992</v>
      </c>
    </row>
    <row r="319" spans="2:3" x14ac:dyDescent="0.25">
      <c r="B319" s="337" t="s">
        <v>2993</v>
      </c>
    </row>
    <row r="320" spans="2:3" x14ac:dyDescent="0.25">
      <c r="B320" s="337" t="s">
        <v>2994</v>
      </c>
    </row>
    <row r="321" spans="2:3" x14ac:dyDescent="0.25">
      <c r="B321" s="337" t="s">
        <v>2995</v>
      </c>
    </row>
    <row r="322" spans="2:3" x14ac:dyDescent="0.25">
      <c r="B322" s="337" t="s">
        <v>2996</v>
      </c>
    </row>
    <row r="323" spans="2:3" x14ac:dyDescent="0.25">
      <c r="B323" s="337" t="s">
        <v>2997</v>
      </c>
    </row>
    <row r="324" spans="2:3" x14ac:dyDescent="0.25">
      <c r="B324" s="337" t="s">
        <v>2998</v>
      </c>
    </row>
    <row r="325" spans="2:3" x14ac:dyDescent="0.25">
      <c r="B325" s="337" t="s">
        <v>2999</v>
      </c>
    </row>
    <row r="326" spans="2:3" x14ac:dyDescent="0.25">
      <c r="B326" s="337" t="s">
        <v>3000</v>
      </c>
    </row>
    <row r="327" spans="2:3" x14ac:dyDescent="0.25">
      <c r="B327" s="337" t="s">
        <v>3001</v>
      </c>
    </row>
    <row r="328" spans="2:3" x14ac:dyDescent="0.25">
      <c r="B328" s="337" t="s">
        <v>3002</v>
      </c>
    </row>
    <row r="329" spans="2:3" x14ac:dyDescent="0.25">
      <c r="B329" s="337" t="s">
        <v>3003</v>
      </c>
    </row>
    <row r="330" spans="2:3" x14ac:dyDescent="0.25">
      <c r="B330" s="337" t="s">
        <v>3004</v>
      </c>
    </row>
    <row r="331" spans="2:3" ht="15.75" x14ac:dyDescent="0.25">
      <c r="B331" s="395" t="s">
        <v>3005</v>
      </c>
    </row>
    <row r="332" spans="2:3" x14ac:dyDescent="0.25">
      <c r="B332" s="337" t="s">
        <v>368</v>
      </c>
    </row>
    <row r="333" spans="2:3" x14ac:dyDescent="0.25">
      <c r="B333" s="337" t="s">
        <v>3006</v>
      </c>
    </row>
    <row r="334" spans="2:3" ht="15.75" x14ac:dyDescent="0.25">
      <c r="B334" s="395" t="s">
        <v>3007</v>
      </c>
    </row>
    <row r="335" spans="2:3" x14ac:dyDescent="0.25">
      <c r="B335" s="337" t="s">
        <v>368</v>
      </c>
      <c r="C335" s="337" t="s">
        <v>368</v>
      </c>
    </row>
    <row r="336" spans="2:3" x14ac:dyDescent="0.25">
      <c r="B336" s="337" t="s">
        <v>3006</v>
      </c>
      <c r="C336" s="337" t="s">
        <v>3006</v>
      </c>
    </row>
    <row r="337" spans="2:5" x14ac:dyDescent="0.25">
      <c r="B337" s="337" t="s">
        <v>3008</v>
      </c>
      <c r="C337" s="337" t="s">
        <v>3009</v>
      </c>
    </row>
    <row r="338" spans="2:5" x14ac:dyDescent="0.25">
      <c r="B338" s="337" t="s">
        <v>3010</v>
      </c>
      <c r="C338" s="337" t="s">
        <v>3008</v>
      </c>
    </row>
    <row r="339" spans="2:5" x14ac:dyDescent="0.25">
      <c r="B339" s="337" t="s">
        <v>3011</v>
      </c>
      <c r="C339" s="337" t="s">
        <v>3010</v>
      </c>
    </row>
    <row r="340" spans="2:5" x14ac:dyDescent="0.25">
      <c r="B340" s="337"/>
      <c r="C340" s="337" t="s">
        <v>3011</v>
      </c>
    </row>
    <row r="341" spans="2:5" ht="15.75" x14ac:dyDescent="0.25">
      <c r="B341" s="395" t="s">
        <v>3012</v>
      </c>
    </row>
    <row r="342" spans="2:5" x14ac:dyDescent="0.25">
      <c r="B342" s="337" t="s">
        <v>3013</v>
      </c>
    </row>
    <row r="343" spans="2:5" x14ac:dyDescent="0.25">
      <c r="B343" s="337" t="s">
        <v>3014</v>
      </c>
    </row>
    <row r="344" spans="2:5" ht="15.75" x14ac:dyDescent="0.25">
      <c r="B344" s="395" t="s">
        <v>3015</v>
      </c>
    </row>
    <row r="345" spans="2:5" x14ac:dyDescent="0.25">
      <c r="B345" s="337" t="s">
        <v>3013</v>
      </c>
    </row>
    <row r="346" spans="2:5" ht="15.75" x14ac:dyDescent="0.25">
      <c r="B346" s="395" t="s">
        <v>3016</v>
      </c>
    </row>
    <row r="347" spans="2:5" x14ac:dyDescent="0.25">
      <c r="B347" s="337" t="s">
        <v>3017</v>
      </c>
    </row>
    <row r="348" spans="2:5" x14ac:dyDescent="0.25">
      <c r="B348" s="337" t="s">
        <v>3018</v>
      </c>
    </row>
    <row r="349" spans="2:5" x14ac:dyDescent="0.25">
      <c r="B349" s="337" t="s">
        <v>3019</v>
      </c>
    </row>
    <row r="350" spans="2:5" x14ac:dyDescent="0.25">
      <c r="B350" s="337" t="s">
        <v>3020</v>
      </c>
    </row>
    <row r="351" spans="2:5" x14ac:dyDescent="0.25">
      <c r="B351" s="337" t="s">
        <v>3021</v>
      </c>
      <c r="E351" s="2"/>
    </row>
    <row r="352" spans="2:5" x14ac:dyDescent="0.25">
      <c r="B352" s="337" t="s">
        <v>3022</v>
      </c>
      <c r="E352" s="2"/>
    </row>
    <row r="353" spans="2:5" x14ac:dyDescent="0.25">
      <c r="B353" s="337" t="s">
        <v>3023</v>
      </c>
      <c r="D353" s="3"/>
      <c r="E353" s="2"/>
    </row>
    <row r="354" spans="2:5" x14ac:dyDescent="0.25">
      <c r="B354" s="337" t="s">
        <v>3024</v>
      </c>
      <c r="D354" s="3"/>
      <c r="E354" s="2"/>
    </row>
    <row r="355" spans="2:5" x14ac:dyDescent="0.25">
      <c r="B355" s="337" t="s">
        <v>3025</v>
      </c>
      <c r="D355" s="3"/>
      <c r="E355" s="2"/>
    </row>
    <row r="356" spans="2:5" x14ac:dyDescent="0.25">
      <c r="B356" s="337" t="s">
        <v>3026</v>
      </c>
      <c r="D356" s="3"/>
      <c r="E356" s="2"/>
    </row>
    <row r="357" spans="2:5" x14ac:dyDescent="0.25">
      <c r="B357" s="337" t="s">
        <v>3027</v>
      </c>
      <c r="D357" s="3"/>
      <c r="E357" s="2"/>
    </row>
    <row r="358" spans="2:5" x14ac:dyDescent="0.25">
      <c r="B358" s="337" t="s">
        <v>3028</v>
      </c>
      <c r="D358" s="3"/>
      <c r="E358" s="2"/>
    </row>
    <row r="359" spans="2:5" x14ac:dyDescent="0.25">
      <c r="B359" s="337" t="s">
        <v>3029</v>
      </c>
      <c r="D359" s="3"/>
      <c r="E359" s="2"/>
    </row>
    <row r="360" spans="2:5" x14ac:dyDescent="0.25">
      <c r="B360" s="337" t="s">
        <v>3030</v>
      </c>
      <c r="D360" s="3"/>
      <c r="E360" s="2"/>
    </row>
    <row r="361" spans="2:5" x14ac:dyDescent="0.25">
      <c r="B361" s="337" t="s">
        <v>3031</v>
      </c>
      <c r="D361" s="3"/>
      <c r="E361" s="2"/>
    </row>
    <row r="362" spans="2:5" x14ac:dyDescent="0.25">
      <c r="B362" s="337" t="s">
        <v>3032</v>
      </c>
      <c r="D362" s="3"/>
      <c r="E362" s="2"/>
    </row>
    <row r="363" spans="2:5" x14ac:dyDescent="0.25">
      <c r="B363" s="337" t="s">
        <v>3033</v>
      </c>
      <c r="D363" s="3"/>
      <c r="E363" s="2"/>
    </row>
    <row r="364" spans="2:5" x14ac:dyDescent="0.25">
      <c r="B364" s="337" t="s">
        <v>3034</v>
      </c>
      <c r="D364" s="3"/>
      <c r="E364" s="2"/>
    </row>
    <row r="365" spans="2:5" x14ac:dyDescent="0.25">
      <c r="B365" s="337" t="s">
        <v>3035</v>
      </c>
      <c r="D365" s="3"/>
      <c r="E365" s="2"/>
    </row>
    <row r="366" spans="2:5" x14ac:dyDescent="0.25">
      <c r="B366" s="337" t="s">
        <v>3036</v>
      </c>
      <c r="D366" s="3"/>
      <c r="E366" s="2"/>
    </row>
    <row r="367" spans="2:5" x14ac:dyDescent="0.25">
      <c r="B367" s="337" t="s">
        <v>3037</v>
      </c>
      <c r="D367" s="3"/>
      <c r="E367" s="2"/>
    </row>
    <row r="368" spans="2:5" x14ac:dyDescent="0.25">
      <c r="B368" s="337" t="s">
        <v>3038</v>
      </c>
      <c r="D368" s="3"/>
      <c r="E368" s="2"/>
    </row>
    <row r="369" spans="2:5" x14ac:dyDescent="0.25">
      <c r="B369" s="337" t="s">
        <v>3039</v>
      </c>
      <c r="D369" s="3"/>
      <c r="E369" s="2"/>
    </row>
    <row r="370" spans="2:5" x14ac:dyDescent="0.25">
      <c r="B370" s="337" t="s">
        <v>3040</v>
      </c>
      <c r="D370" s="3"/>
      <c r="E370" s="2"/>
    </row>
    <row r="371" spans="2:5" x14ac:dyDescent="0.25">
      <c r="B371" s="337" t="s">
        <v>3041</v>
      </c>
      <c r="D371" s="3"/>
      <c r="E371" s="2"/>
    </row>
    <row r="372" spans="2:5" x14ac:dyDescent="0.25">
      <c r="B372" s="337" t="s">
        <v>3042</v>
      </c>
      <c r="D372" s="3"/>
      <c r="E372" s="2"/>
    </row>
    <row r="373" spans="2:5" x14ac:dyDescent="0.25">
      <c r="B373" s="337" t="s">
        <v>3043</v>
      </c>
      <c r="D373" s="3"/>
      <c r="E373" s="2"/>
    </row>
    <row r="374" spans="2:5" x14ac:dyDescent="0.25">
      <c r="B374" s="337" t="s">
        <v>3044</v>
      </c>
      <c r="D374" s="3"/>
      <c r="E374" s="2"/>
    </row>
    <row r="375" spans="2:5" ht="15.75" x14ac:dyDescent="0.25">
      <c r="B375" s="395" t="s">
        <v>3045</v>
      </c>
      <c r="C375" s="3"/>
      <c r="D375" s="3"/>
      <c r="E375" s="2"/>
    </row>
    <row r="376" spans="2:5" x14ac:dyDescent="0.25">
      <c r="B376" s="337">
        <v>1</v>
      </c>
      <c r="C376" s="3"/>
      <c r="D376" s="3"/>
      <c r="E376" s="2"/>
    </row>
    <row r="377" spans="2:5" x14ac:dyDescent="0.25">
      <c r="B377" s="337">
        <v>2</v>
      </c>
      <c r="C377" s="3"/>
      <c r="D377" s="3"/>
      <c r="E377" s="2"/>
    </row>
    <row r="378" spans="2:5" x14ac:dyDescent="0.25">
      <c r="B378" s="337">
        <v>3</v>
      </c>
      <c r="C378" s="3"/>
      <c r="D378" s="3"/>
      <c r="E378" s="2"/>
    </row>
    <row r="379" spans="2:5" x14ac:dyDescent="0.25">
      <c r="B379" s="197" t="s">
        <v>3046</v>
      </c>
      <c r="C379" s="3"/>
      <c r="D379" s="3"/>
      <c r="E379" s="2"/>
    </row>
    <row r="380" spans="2:5" ht="15.75" x14ac:dyDescent="0.25">
      <c r="B380" s="198" t="s">
        <v>3047</v>
      </c>
      <c r="C380" s="3"/>
      <c r="D380" s="3"/>
      <c r="E380" s="2"/>
    </row>
    <row r="381" spans="2:5" x14ac:dyDescent="0.25">
      <c r="B381" s="197" t="s">
        <v>3048</v>
      </c>
      <c r="C381" s="3"/>
      <c r="D381" s="3"/>
      <c r="E381" s="2"/>
    </row>
    <row r="382" spans="2:5" x14ac:dyDescent="0.25">
      <c r="B382" s="197" t="s">
        <v>3049</v>
      </c>
      <c r="D382" s="3"/>
      <c r="E382" s="2"/>
    </row>
    <row r="383" spans="2:5" x14ac:dyDescent="0.25">
      <c r="B383" s="197" t="s">
        <v>3050</v>
      </c>
      <c r="D383" s="3"/>
      <c r="E383" s="2"/>
    </row>
    <row r="384" spans="2:5" ht="15.75" x14ac:dyDescent="0.25">
      <c r="B384" s="395" t="s">
        <v>3051</v>
      </c>
      <c r="E384" s="2"/>
    </row>
    <row r="385" spans="2:5" x14ac:dyDescent="0.25">
      <c r="B385" s="337" t="s">
        <v>663</v>
      </c>
      <c r="E385" s="2"/>
    </row>
    <row r="386" spans="2:5" x14ac:dyDescent="0.25">
      <c r="B386" s="337" t="s">
        <v>228</v>
      </c>
      <c r="E386" s="2"/>
    </row>
    <row r="387" spans="2:5" ht="15.75" x14ac:dyDescent="0.25">
      <c r="B387" s="395" t="s">
        <v>423</v>
      </c>
      <c r="E387" s="2"/>
    </row>
    <row r="388" spans="2:5" x14ac:dyDescent="0.25">
      <c r="B388" s="337" t="s">
        <v>3052</v>
      </c>
      <c r="E388" s="2"/>
    </row>
    <row r="389" spans="2:5" x14ac:dyDescent="0.25">
      <c r="B389" s="337" t="s">
        <v>3053</v>
      </c>
      <c r="E389" s="2"/>
    </row>
    <row r="390" spans="2:5" x14ac:dyDescent="0.25">
      <c r="B390" s="337" t="s">
        <v>3054</v>
      </c>
      <c r="E390" s="2"/>
    </row>
    <row r="391" spans="2:5" x14ac:dyDescent="0.25">
      <c r="B391" s="337" t="s">
        <v>3055</v>
      </c>
      <c r="E391" s="2"/>
    </row>
    <row r="392" spans="2:5" x14ac:dyDescent="0.25">
      <c r="B392" s="337" t="s">
        <v>3056</v>
      </c>
      <c r="E392" s="2"/>
    </row>
    <row r="393" spans="2:5" x14ac:dyDescent="0.25">
      <c r="B393" s="337" t="s">
        <v>3057</v>
      </c>
    </row>
    <row r="394" spans="2:5" x14ac:dyDescent="0.25">
      <c r="B394" s="337" t="s">
        <v>3058</v>
      </c>
    </row>
    <row r="395" spans="2:5" x14ac:dyDescent="0.25">
      <c r="B395" s="337" t="s">
        <v>3059</v>
      </c>
    </row>
    <row r="396" spans="2:5" x14ac:dyDescent="0.25">
      <c r="B396" s="337" t="s">
        <v>3060</v>
      </c>
    </row>
    <row r="397" spans="2:5" x14ac:dyDescent="0.25">
      <c r="B397" s="337" t="s">
        <v>3061</v>
      </c>
    </row>
    <row r="398" spans="2:5" x14ac:dyDescent="0.25">
      <c r="B398" s="337" t="s">
        <v>3062</v>
      </c>
    </row>
    <row r="399" spans="2:5" x14ac:dyDescent="0.25">
      <c r="B399" s="337" t="s">
        <v>3063</v>
      </c>
    </row>
    <row r="400" spans="2:5" x14ac:dyDescent="0.25">
      <c r="B400" s="337" t="s">
        <v>3064</v>
      </c>
    </row>
    <row r="401" spans="2:2" x14ac:dyDescent="0.25">
      <c r="B401" s="337" t="s">
        <v>3065</v>
      </c>
    </row>
    <row r="402" spans="2:2" x14ac:dyDescent="0.25">
      <c r="B402" s="337" t="s">
        <v>424</v>
      </c>
    </row>
    <row r="403" spans="2:2" x14ac:dyDescent="0.25">
      <c r="B403" s="337" t="s">
        <v>3066</v>
      </c>
    </row>
    <row r="404" spans="2:2" x14ac:dyDescent="0.25">
      <c r="B404" s="337" t="s">
        <v>3067</v>
      </c>
    </row>
    <row r="405" spans="2:2" x14ac:dyDescent="0.25">
      <c r="B405" s="337" t="s">
        <v>3068</v>
      </c>
    </row>
    <row r="406" spans="2:2" x14ac:dyDescent="0.25">
      <c r="B406" s="337" t="s">
        <v>3069</v>
      </c>
    </row>
    <row r="407" spans="2:2" x14ac:dyDescent="0.25">
      <c r="B407" s="337" t="s">
        <v>3070</v>
      </c>
    </row>
    <row r="455" ht="20.100000000000001" customHeight="1" x14ac:dyDescent="0.25"/>
    <row r="456" ht="20.100000000000001" customHeight="1" x14ac:dyDescent="0.25"/>
    <row r="457" ht="20.100000000000001" customHeight="1" x14ac:dyDescent="0.25"/>
    <row r="458" ht="20.100000000000001" customHeight="1" x14ac:dyDescent="0.25"/>
    <row r="459" ht="20.100000000000001" customHeight="1" x14ac:dyDescent="0.25"/>
    <row r="460" ht="20.100000000000001" customHeight="1" x14ac:dyDescent="0.25"/>
    <row r="461" ht="20.100000000000001" customHeight="1" x14ac:dyDescent="0.25"/>
    <row r="462" ht="20.100000000000001" customHeight="1" x14ac:dyDescent="0.25"/>
    <row r="463" ht="20.100000000000001" customHeight="1" x14ac:dyDescent="0.25"/>
    <row r="464" ht="20.100000000000001" customHeight="1" x14ac:dyDescent="0.25"/>
    <row r="465" ht="20.100000000000001" customHeight="1" x14ac:dyDescent="0.25"/>
    <row r="466" ht="20.100000000000001" customHeight="1" x14ac:dyDescent="0.25"/>
    <row r="467" ht="20.100000000000001" customHeight="1" x14ac:dyDescent="0.25"/>
  </sheetData>
  <sheetProtection algorithmName="SHA-512" hashValue="0FpMQA9+yznMAD510L+lumyXLr61jtNmhfSkFaewFliEMgEWJGrumhe0QMQpTkUAwJVZ3FqdSaHSJdZYS2KIcw==" saltValue="Wt9KXh4jYoSX6bWXplnq9w==" spinCount="100000" sheet="1"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79" workbookViewId="0">
      <selection activeCell="C116" sqref="C116"/>
    </sheetView>
  </sheetViews>
  <sheetFormatPr defaultColWidth="11" defaultRowHeight="15.75" x14ac:dyDescent="0.25"/>
  <cols>
    <col min="2" max="2" width="71.375" bestFit="1" customWidth="1"/>
    <col min="3" max="3" width="38.125" customWidth="1"/>
    <col min="4" max="4" width="24.125" customWidth="1"/>
    <col min="5" max="5" width="73.125" bestFit="1" customWidth="1"/>
    <col min="6" max="6" width="24" bestFit="1" customWidth="1"/>
    <col min="7" max="7" width="18.375" bestFit="1" customWidth="1"/>
    <col min="8" max="8" width="11" customWidth="1"/>
  </cols>
  <sheetData>
    <row r="1" spans="1:20" s="2" customFormat="1" ht="30" customHeight="1" x14ac:dyDescent="0.25">
      <c r="B1" s="408" t="s">
        <v>3071</v>
      </c>
      <c r="C1" s="409"/>
      <c r="D1" s="409"/>
      <c r="E1" s="409"/>
      <c r="F1" s="409"/>
      <c r="G1" s="409"/>
      <c r="H1" s="409"/>
      <c r="I1" s="409"/>
      <c r="J1" s="410"/>
    </row>
    <row r="2" spans="1:20" s="104" customFormat="1" ht="20.100000000000001" customHeight="1" x14ac:dyDescent="0.25">
      <c r="B2" s="475" t="s">
        <v>201</v>
      </c>
      <c r="C2" s="476"/>
      <c r="D2" s="476"/>
      <c r="E2" s="476"/>
      <c r="F2" s="476"/>
      <c r="G2" s="476"/>
      <c r="H2" s="476"/>
      <c r="I2" s="476"/>
      <c r="J2" s="477"/>
      <c r="K2" s="2"/>
    </row>
    <row r="3" spans="1:20" s="2" customFormat="1" ht="20.100000000000001" customHeight="1" x14ac:dyDescent="0.25">
      <c r="B3" s="346" t="s">
        <v>3072</v>
      </c>
      <c r="C3" s="346" t="s">
        <v>202</v>
      </c>
      <c r="D3" s="346" t="s">
        <v>3073</v>
      </c>
      <c r="E3" s="97" t="s">
        <v>3074</v>
      </c>
      <c r="F3" s="346" t="s">
        <v>470</v>
      </c>
      <c r="G3" s="97" t="s">
        <v>471</v>
      </c>
      <c r="H3" s="451" t="s">
        <v>5</v>
      </c>
      <c r="I3" s="452"/>
      <c r="J3" s="453"/>
    </row>
    <row r="4" spans="1:20" s="8" customFormat="1" ht="20.100000000000001" customHeight="1" x14ac:dyDescent="0.2">
      <c r="B4" s="361" t="s">
        <v>1671</v>
      </c>
      <c r="C4" s="9" t="s">
        <v>2271</v>
      </c>
      <c r="D4" s="89" t="str">
        <f>CONCATENATE(this_instance,"-m01-vrms01")</f>
        <v>sfo-m01-vrms01</v>
      </c>
      <c r="E4" s="347"/>
    </row>
    <row r="5" spans="1:20" s="2" customFormat="1" ht="20.100000000000001" customHeight="1" x14ac:dyDescent="0.25">
      <c r="B5" s="361"/>
      <c r="C5" s="9" t="s">
        <v>473</v>
      </c>
      <c r="D5" s="89" t="s">
        <v>473</v>
      </c>
      <c r="E5" s="206" t="s">
        <v>473</v>
      </c>
      <c r="F5" s="89" t="str">
        <f>CONCATENATE(prefix_mgmt_az1_cidr,"16.125")</f>
        <v>10.11.16.125</v>
      </c>
      <c r="G5" s="347"/>
      <c r="H5" s="459" t="s">
        <v>3075</v>
      </c>
      <c r="I5" s="617"/>
      <c r="J5" s="460"/>
    </row>
    <row r="6" spans="1:20" s="2" customFormat="1" ht="20.100000000000001" customHeight="1" x14ac:dyDescent="0.25">
      <c r="B6" s="361" t="s">
        <v>2467</v>
      </c>
      <c r="C6" s="9" t="s">
        <v>2271</v>
      </c>
      <c r="F6" s="89" t="str">
        <f>IF(mgmt_dpg_reuse_result="Included",CONCATENATE(prefix_mgmt_az1_cidr,"10.126"),CONCATENATE(prefix_mgmt_az1_cidr,"11.126"))</f>
        <v>10.11.10.126</v>
      </c>
      <c r="G6" s="347"/>
      <c r="H6" s="459" t="s">
        <v>3076</v>
      </c>
      <c r="I6" s="617"/>
      <c r="J6" s="460"/>
    </row>
    <row r="7" spans="1:20" s="2" customFormat="1" ht="20.100000000000001" customHeight="1" x14ac:dyDescent="0.25">
      <c r="B7" s="361" t="s">
        <v>3077</v>
      </c>
      <c r="C7" s="9"/>
      <c r="D7" s="89" t="s">
        <v>473</v>
      </c>
      <c r="E7" s="206" t="s">
        <v>473</v>
      </c>
      <c r="F7" s="89" t="str">
        <f>IF(mgmt_vns_chosen="VLAN-Backed",CONCATENATE(prefix_mgmt_az1_cidr,"99.3"),CONCATENATE(prefix_xreg_cidr,".3"))</f>
        <v>192.168.11.3</v>
      </c>
      <c r="G7" s="347"/>
      <c r="H7" s="459"/>
      <c r="I7" s="617"/>
      <c r="J7" s="460"/>
      <c r="Q7" s="4" t="s">
        <v>495</v>
      </c>
      <c r="R7" s="9" t="s">
        <v>496</v>
      </c>
      <c r="S7" s="347"/>
      <c r="T7" s="337"/>
    </row>
    <row r="8" spans="1:20" s="2" customFormat="1" ht="20.100000000000001" customHeight="1" x14ac:dyDescent="0.25">
      <c r="B8" s="475" t="s">
        <v>1990</v>
      </c>
      <c r="C8" s="476"/>
      <c r="D8" s="476"/>
      <c r="E8" s="476"/>
      <c r="F8" s="476"/>
      <c r="G8" s="476"/>
      <c r="H8" s="476"/>
      <c r="I8" s="476"/>
      <c r="J8" s="477"/>
    </row>
    <row r="9" spans="1:20" s="2" customFormat="1" ht="20.100000000000001" customHeight="1" x14ac:dyDescent="0.25">
      <c r="B9" s="346" t="s">
        <v>3072</v>
      </c>
      <c r="C9" s="346" t="s">
        <v>202</v>
      </c>
      <c r="D9" s="346" t="s">
        <v>3073</v>
      </c>
      <c r="E9" s="97" t="s">
        <v>3074</v>
      </c>
      <c r="F9" s="346" t="s">
        <v>470</v>
      </c>
      <c r="G9" s="97" t="s">
        <v>471</v>
      </c>
      <c r="H9" s="451" t="s">
        <v>5</v>
      </c>
      <c r="I9" s="452"/>
      <c r="J9" s="453"/>
    </row>
    <row r="10" spans="1:20" s="2" customFormat="1" ht="20.100000000000001" customHeight="1" x14ac:dyDescent="0.25">
      <c r="B10" s="361" t="s">
        <v>1671</v>
      </c>
      <c r="C10" s="9" t="s">
        <v>2271</v>
      </c>
      <c r="D10" s="89" t="str">
        <f>CONCATENATE(this_instance,"-w0",wld_domain_number_chosen,"-vrms01")</f>
        <v>sfo-w01-vrms01</v>
      </c>
      <c r="E10" s="347"/>
      <c r="F10" s="89" t="str">
        <f>IF(mgmt_dpg_reuse_result="Included",CONCATENATE(prefix_wld_az1_cidr,"10.125"),CONCATENATE(prefix_wld_az1_cidr,"11.125"))</f>
        <v>10.13.10.125</v>
      </c>
      <c r="G10" s="347"/>
      <c r="H10" s="459" t="s">
        <v>3078</v>
      </c>
      <c r="I10" s="617"/>
      <c r="J10" s="460"/>
    </row>
    <row r="11" spans="1:20" s="2" customFormat="1" ht="15.95" customHeight="1" x14ac:dyDescent="0.25">
      <c r="B11" s="361"/>
      <c r="C11" s="9" t="s">
        <v>473</v>
      </c>
      <c r="D11" s="89" t="s">
        <v>473</v>
      </c>
      <c r="E11" s="206" t="s">
        <v>473</v>
      </c>
      <c r="F11" s="89" t="str">
        <f>CONCATENATE(prefix_wld_az1_cidr,"16.125")</f>
        <v>10.13.16.125</v>
      </c>
      <c r="G11" s="347"/>
      <c r="H11" s="459" t="s">
        <v>3079</v>
      </c>
      <c r="I11" s="617"/>
      <c r="J11" s="460"/>
    </row>
    <row r="12" spans="1:20" s="8" customFormat="1" ht="30" customHeight="1" x14ac:dyDescent="0.2">
      <c r="B12" s="361" t="s">
        <v>2467</v>
      </c>
      <c r="C12" s="9" t="s">
        <v>2271</v>
      </c>
      <c r="D12" s="89" t="str">
        <f>CONCATENATE(this_instance,"-w0",wld_domain_number_chosen,"-srm01")</f>
        <v>sfo-w01-srm01</v>
      </c>
      <c r="E12" s="347"/>
      <c r="F12" s="89" t="str">
        <f>IF(mgmt_dpg_reuse_result="Included",CONCATENATE(prefix_mgmt_az1_cidr,"10.",(127 + (30*(wld_domain_number_chosen - 1)))),CONCATENATE(prefix_mgmt_az1_cidr,"11.",(127 + (30*(wld_domain_number_chosen - 1)))))</f>
        <v>10.11.10.127</v>
      </c>
      <c r="G12" s="347"/>
      <c r="H12" s="459" t="s">
        <v>3080</v>
      </c>
      <c r="I12" s="617"/>
      <c r="J12" s="460"/>
    </row>
    <row r="13" spans="1:20" s="8" customFormat="1" ht="30" customHeight="1" x14ac:dyDescent="0.2">
      <c r="B13" s="2"/>
      <c r="C13" s="2"/>
      <c r="D13" s="2"/>
      <c r="E13" s="2"/>
      <c r="F13" s="2"/>
      <c r="G13" s="2"/>
      <c r="H13" s="2"/>
      <c r="I13" s="2"/>
      <c r="J13" s="2"/>
      <c r="K13" s="2"/>
      <c r="L13" s="2"/>
    </row>
    <row r="14" spans="1:20" s="2" customFormat="1" ht="20.100000000000001" customHeight="1" x14ac:dyDescent="0.25">
      <c r="B14" s="575" t="s">
        <v>3081</v>
      </c>
      <c r="C14" s="576"/>
      <c r="D14" s="576"/>
      <c r="E14" s="577"/>
    </row>
    <row r="15" spans="1:20" s="2" customFormat="1" ht="20.100000000000001" customHeight="1" x14ac:dyDescent="0.25">
      <c r="A15" s="104"/>
      <c r="B15" s="166" t="s">
        <v>259</v>
      </c>
      <c r="C15" s="166" t="s">
        <v>711</v>
      </c>
      <c r="D15" s="167" t="s">
        <v>277</v>
      </c>
      <c r="E15" s="166" t="s">
        <v>5</v>
      </c>
    </row>
    <row r="16" spans="1:20" s="2" customFormat="1" ht="20.100000000000001" customHeight="1" x14ac:dyDescent="0.25">
      <c r="B16" s="614" t="s">
        <v>3082</v>
      </c>
      <c r="C16" s="615"/>
      <c r="D16" s="615"/>
      <c r="E16" s="616"/>
    </row>
    <row r="17" spans="1:9" s="2" customFormat="1" ht="20.100000000000001" customHeight="1" x14ac:dyDescent="0.2">
      <c r="A17" s="8"/>
      <c r="B17" s="4" t="s">
        <v>2212</v>
      </c>
      <c r="C17" s="9" t="str">
        <f>CONCATENATE(other_instance,"-vcf01.",other_instance,".",sample_parent_dns_zone)</f>
        <v>lax-vcf01.lax.rainpole.io</v>
      </c>
      <c r="D17" s="347"/>
      <c r="E17" s="337"/>
      <c r="F17" s="8"/>
      <c r="G17" s="8"/>
      <c r="H17" s="8"/>
      <c r="I17" s="8"/>
    </row>
    <row r="18" spans="1:9" s="2" customFormat="1" ht="20.100000000000001" customHeight="1" x14ac:dyDescent="0.25">
      <c r="B18" s="4" t="s">
        <v>2217</v>
      </c>
      <c r="C18" s="9" t="s">
        <v>357</v>
      </c>
      <c r="D18" s="347"/>
      <c r="E18" s="337"/>
    </row>
    <row r="19" spans="1:9" s="2" customFormat="1" ht="20.100000000000001" customHeight="1" x14ac:dyDescent="0.25">
      <c r="B19" s="4" t="s">
        <v>2222</v>
      </c>
      <c r="C19" s="9" t="s">
        <v>379</v>
      </c>
      <c r="D19" s="347"/>
      <c r="E19" s="337"/>
    </row>
    <row r="20" spans="1:9" s="2" customFormat="1" ht="20.100000000000001" customHeight="1" x14ac:dyDescent="0.25">
      <c r="B20" s="4" t="s">
        <v>2234</v>
      </c>
      <c r="E20" s="337"/>
    </row>
    <row r="21" spans="1:9" s="8" customFormat="1" ht="20.100000000000001" customHeight="1" x14ac:dyDescent="0.2">
      <c r="A21" s="2"/>
      <c r="B21" s="4" t="s">
        <v>2238</v>
      </c>
      <c r="E21" s="337"/>
      <c r="F21" s="2"/>
      <c r="G21" s="2"/>
      <c r="H21" s="2"/>
      <c r="I21" s="2"/>
    </row>
    <row r="22" spans="1:9" s="2" customFormat="1" ht="20.100000000000001" customHeight="1" x14ac:dyDescent="0.25">
      <c r="B22" s="4" t="s">
        <v>2243</v>
      </c>
      <c r="E22" s="337"/>
    </row>
    <row r="23" spans="1:9" s="2" customFormat="1" ht="20.100000000000001" customHeight="1" x14ac:dyDescent="0.25">
      <c r="B23" s="4" t="s">
        <v>2245</v>
      </c>
      <c r="E23" s="337"/>
    </row>
    <row r="24" spans="1:9" s="2" customFormat="1" ht="20.100000000000001" customHeight="1" x14ac:dyDescent="0.25"/>
    <row r="25" spans="1:9" s="2" customFormat="1" ht="20.100000000000001" customHeight="1" x14ac:dyDescent="0.2">
      <c r="A25" s="8"/>
      <c r="B25" s="575" t="s">
        <v>3083</v>
      </c>
      <c r="C25" s="576"/>
      <c r="D25" s="576"/>
      <c r="E25" s="577"/>
      <c r="F25" s="8"/>
      <c r="G25" s="8"/>
      <c r="H25" s="8"/>
      <c r="I25" s="8"/>
    </row>
    <row r="26" spans="1:9" s="2" customFormat="1" ht="20.100000000000001" customHeight="1" x14ac:dyDescent="0.25">
      <c r="B26" s="166" t="s">
        <v>259</v>
      </c>
      <c r="C26" s="166" t="s">
        <v>711</v>
      </c>
      <c r="D26" s="167" t="s">
        <v>277</v>
      </c>
      <c r="E26" s="166" t="s">
        <v>5</v>
      </c>
    </row>
    <row r="27" spans="1:9" s="2" customFormat="1" ht="20.100000000000001" customHeight="1" x14ac:dyDescent="0.25">
      <c r="B27" s="614" t="s">
        <v>3084</v>
      </c>
      <c r="C27" s="615"/>
      <c r="D27" s="615"/>
      <c r="E27" s="616"/>
    </row>
    <row r="28" spans="1:9" s="2" customFormat="1" ht="20.100000000000001" customHeight="1" x14ac:dyDescent="0.25">
      <c r="B28" s="4" t="s">
        <v>3085</v>
      </c>
      <c r="C28" s="9" t="str">
        <f>CONCATENATE(this_instance,"-m01-fd-vrms")</f>
        <v>sfo-m01-fd-vrms</v>
      </c>
      <c r="D28" s="347"/>
      <c r="E28" s="337"/>
    </row>
    <row r="29" spans="1:9" s="2" customFormat="1" ht="20.100000000000001" customHeight="1" x14ac:dyDescent="0.25">
      <c r="B29" s="4" t="s">
        <v>3086</v>
      </c>
      <c r="C29" s="9" t="s">
        <v>379</v>
      </c>
      <c r="D29" s="347"/>
      <c r="E29" s="337"/>
    </row>
    <row r="30" spans="1:9" s="2" customFormat="1" ht="20.100000000000001" customHeight="1" x14ac:dyDescent="0.25">
      <c r="B30" s="4" t="s">
        <v>3087</v>
      </c>
      <c r="C30" s="9" t="s">
        <v>379</v>
      </c>
      <c r="D30" s="347"/>
      <c r="E30" s="337"/>
    </row>
    <row r="31" spans="1:9" s="2" customFormat="1" ht="20.100000000000001" customHeight="1" x14ac:dyDescent="0.25">
      <c r="B31" s="4" t="s">
        <v>3088</v>
      </c>
      <c r="E31" s="337"/>
    </row>
    <row r="32" spans="1:9" s="2" customFormat="1" ht="20.100000000000001" customHeight="1" x14ac:dyDescent="0.25">
      <c r="B32" s="4" t="s">
        <v>3089</v>
      </c>
      <c r="E32" s="337"/>
    </row>
    <row r="33" spans="1:9" s="2" customFormat="1" ht="20.100000000000001" customHeight="1" x14ac:dyDescent="0.2">
      <c r="A33" s="8"/>
      <c r="B33" s="4" t="s">
        <v>3090</v>
      </c>
      <c r="E33" s="337"/>
      <c r="F33" s="8"/>
      <c r="G33" s="8"/>
      <c r="H33" s="8"/>
      <c r="I33" s="8"/>
    </row>
    <row r="34" spans="1:9" s="2" customFormat="1" ht="20.100000000000001" customHeight="1" x14ac:dyDescent="0.25">
      <c r="B34" s="4" t="s">
        <v>3091</v>
      </c>
      <c r="C34" s="9" t="s">
        <v>379</v>
      </c>
      <c r="D34" s="347"/>
      <c r="E34" s="337"/>
    </row>
    <row r="35" spans="1:9" s="2" customFormat="1" ht="20.100000000000001" customHeight="1" x14ac:dyDescent="0.25">
      <c r="B35" s="614" t="s">
        <v>2467</v>
      </c>
      <c r="C35" s="615"/>
      <c r="D35" s="615"/>
      <c r="E35" s="616"/>
    </row>
    <row r="36" spans="1:9" s="2" customFormat="1" ht="20.100000000000001" customHeight="1" x14ac:dyDescent="0.25">
      <c r="B36" s="4" t="s">
        <v>3085</v>
      </c>
      <c r="C36" s="9" t="str">
        <f>CONCATENATE(this_instance,"-m01-fd-srm")</f>
        <v>sfo-m01-fd-srm</v>
      </c>
      <c r="D36" s="347"/>
      <c r="E36" s="337"/>
    </row>
    <row r="37" spans="1:9" s="2" customFormat="1" ht="20.100000000000001" customHeight="1" x14ac:dyDescent="0.2">
      <c r="B37" s="4" t="s">
        <v>3086</v>
      </c>
      <c r="C37" s="144" t="s">
        <v>297</v>
      </c>
      <c r="D37" s="347"/>
      <c r="E37" s="337"/>
    </row>
    <row r="38" spans="1:9" s="2" customFormat="1" ht="20.100000000000001" customHeight="1" x14ac:dyDescent="0.2">
      <c r="B38" s="4" t="s">
        <v>3087</v>
      </c>
      <c r="C38" s="144" t="s">
        <v>379</v>
      </c>
      <c r="D38" s="347"/>
      <c r="E38" s="337"/>
    </row>
    <row r="39" spans="1:9" s="2" customFormat="1" ht="20.100000000000001" customHeight="1" x14ac:dyDescent="0.25">
      <c r="B39" s="4" t="s">
        <v>3092</v>
      </c>
      <c r="C39" s="9" t="s">
        <v>379</v>
      </c>
      <c r="D39" s="347"/>
      <c r="E39" s="337"/>
    </row>
    <row r="40" spans="1:9" s="2" customFormat="1" ht="20.100000000000001" customHeight="1" x14ac:dyDescent="0.25">
      <c r="B40" s="4" t="s">
        <v>3088</v>
      </c>
      <c r="C40" s="9" t="str">
        <f>UPPER(sample_mgmt_sddc_domain)</f>
        <v>SFO-M01</v>
      </c>
      <c r="D40" s="347"/>
      <c r="E40" s="337"/>
    </row>
    <row r="41" spans="1:9" s="2" customFormat="1" ht="20.100000000000001" customHeight="1" x14ac:dyDescent="0.25">
      <c r="B41" s="4" t="s">
        <v>3089</v>
      </c>
      <c r="C41" s="9" t="str">
        <f>CONCATENATE("srm-administrator@",sample_parent_dns_zone)</f>
        <v>srm-administrator@rainpole.io</v>
      </c>
      <c r="D41" s="347"/>
      <c r="E41" s="337"/>
    </row>
    <row r="42" spans="1:9" s="2" customFormat="1" ht="20.100000000000001" customHeight="1" x14ac:dyDescent="0.25">
      <c r="B42" s="4" t="s">
        <v>3091</v>
      </c>
      <c r="C42" s="9" t="s">
        <v>379</v>
      </c>
      <c r="D42" s="347"/>
      <c r="E42" s="337"/>
    </row>
    <row r="43" spans="1:9" s="2" customFormat="1" ht="20.100000000000001" customHeight="1" x14ac:dyDescent="0.25">
      <c r="B43" s="4" t="s">
        <v>2333</v>
      </c>
      <c r="E43" s="337"/>
    </row>
    <row r="44" spans="1:9" s="2" customFormat="1" ht="20.100000000000001" customHeight="1" x14ac:dyDescent="0.25">
      <c r="B44" s="4" t="s">
        <v>2337</v>
      </c>
      <c r="E44" s="337"/>
    </row>
    <row r="45" spans="1:9" s="2" customFormat="1" ht="20.100000000000001" customHeight="1" x14ac:dyDescent="0.25">
      <c r="B45" s="4" t="s">
        <v>2343</v>
      </c>
      <c r="E45" s="337"/>
    </row>
    <row r="46" spans="1:9" s="2" customFormat="1" ht="20.100000000000001" customHeight="1" x14ac:dyDescent="0.25">
      <c r="B46" s="4" t="s">
        <v>3093</v>
      </c>
      <c r="C46" s="9" t="s">
        <v>3094</v>
      </c>
      <c r="D46" s="347"/>
      <c r="E46" s="337"/>
    </row>
    <row r="47" spans="1:9" s="2" customFormat="1" ht="20.100000000000001" customHeight="1" x14ac:dyDescent="0.25">
      <c r="B47" s="4" t="s">
        <v>3095</v>
      </c>
      <c r="C47" s="9" t="s">
        <v>3096</v>
      </c>
      <c r="D47" s="347"/>
      <c r="E47" s="337"/>
    </row>
    <row r="48" spans="1:9" s="2" customFormat="1" ht="20.100000000000001" customHeight="1" x14ac:dyDescent="0.25">
      <c r="B48" s="4" t="s">
        <v>2354</v>
      </c>
      <c r="E48" s="337"/>
    </row>
    <row r="49" spans="2:5" s="2" customFormat="1" ht="20.100000000000001" customHeight="1" x14ac:dyDescent="0.25">
      <c r="B49" s="4" t="s">
        <v>2358</v>
      </c>
      <c r="E49" s="337"/>
    </row>
    <row r="50" spans="2:5" s="2" customFormat="1" ht="20.100000000000001" customHeight="1" x14ac:dyDescent="0.25">
      <c r="B50" s="4" t="s">
        <v>2363</v>
      </c>
      <c r="C50" s="9" t="s">
        <v>3097</v>
      </c>
      <c r="D50" s="347"/>
      <c r="E50" s="337"/>
    </row>
    <row r="51" spans="2:5" s="2" customFormat="1" ht="20.100000000000001" customHeight="1" x14ac:dyDescent="0.25">
      <c r="B51" s="4" t="s">
        <v>2367</v>
      </c>
      <c r="C51" s="9" t="s">
        <v>3098</v>
      </c>
      <c r="D51" s="347"/>
      <c r="E51" s="337"/>
    </row>
    <row r="52" spans="2:5" s="2" customFormat="1" ht="20.100000000000001" customHeight="1" x14ac:dyDescent="0.25">
      <c r="B52" s="614" t="s">
        <v>331</v>
      </c>
      <c r="C52" s="615"/>
      <c r="D52" s="615"/>
      <c r="E52" s="616"/>
    </row>
    <row r="53" spans="2:5" s="2" customFormat="1" ht="15.95" customHeight="1" x14ac:dyDescent="0.25">
      <c r="B53" s="4" t="s">
        <v>3099</v>
      </c>
      <c r="C53" s="9" t="s">
        <v>3100</v>
      </c>
      <c r="D53" s="347"/>
      <c r="E53" s="337" t="s">
        <v>3101</v>
      </c>
    </row>
    <row r="54" spans="2:5" s="2" customFormat="1" ht="30" customHeight="1" x14ac:dyDescent="0.25">
      <c r="B54" s="614" t="s">
        <v>3082</v>
      </c>
      <c r="C54" s="615"/>
      <c r="D54" s="615"/>
      <c r="E54" s="616"/>
    </row>
    <row r="55" spans="2:5" s="2" customFormat="1" ht="20.100000000000001" customHeight="1" x14ac:dyDescent="0.25">
      <c r="B55" s="4" t="s">
        <v>2373</v>
      </c>
      <c r="E55" s="337"/>
    </row>
    <row r="56" spans="2:5" s="2" customFormat="1" ht="20.100000000000001" customHeight="1" x14ac:dyDescent="0.25">
      <c r="B56" s="4" t="s">
        <v>2376</v>
      </c>
      <c r="E56" s="337"/>
    </row>
    <row r="57" spans="2:5" s="2" customFormat="1" ht="20.100000000000001" customHeight="1" x14ac:dyDescent="0.25">
      <c r="B57" s="4" t="s">
        <v>2378</v>
      </c>
      <c r="E57" s="337"/>
    </row>
    <row r="58" spans="2:5" s="2" customFormat="1" ht="20.100000000000001" customHeight="1" x14ac:dyDescent="0.25">
      <c r="B58" s="4" t="s">
        <v>2382</v>
      </c>
      <c r="C58" s="9" t="str">
        <f>CONCATENATE(other_instance,"-m01")</f>
        <v>lax-m01</v>
      </c>
      <c r="D58" s="347"/>
      <c r="E58" s="337"/>
    </row>
    <row r="59" spans="2:5" s="2" customFormat="1" ht="20.100000000000001" customHeight="1" x14ac:dyDescent="0.25">
      <c r="B59" s="4" t="s">
        <v>2387</v>
      </c>
      <c r="C59" s="9" t="str">
        <f>CONCATENATE(other_instance,"-m01")</f>
        <v>lax-m01</v>
      </c>
      <c r="D59" s="347"/>
      <c r="E59" s="337"/>
    </row>
    <row r="60" spans="2:5" s="2" customFormat="1" ht="20.100000000000001" customHeight="1" x14ac:dyDescent="0.25">
      <c r="B60" s="4" t="s">
        <v>2391</v>
      </c>
      <c r="C60" s="9" t="str">
        <f>CONCATENATE(other_instance,"-m01-ec01")</f>
        <v>lax-m01-ec01</v>
      </c>
      <c r="D60" s="347"/>
      <c r="E60" s="337"/>
    </row>
    <row r="61" spans="2:5" s="2" customFormat="1" ht="20.100000000000001" customHeight="1" x14ac:dyDescent="0.25">
      <c r="B61" s="4" t="s">
        <v>2395</v>
      </c>
      <c r="E61" s="337"/>
    </row>
    <row r="62" spans="2:5" s="2" customFormat="1" ht="20.100000000000001" customHeight="1" x14ac:dyDescent="0.25">
      <c r="B62" s="4" t="s">
        <v>2400</v>
      </c>
      <c r="E62" s="337"/>
    </row>
    <row r="63" spans="2:5" s="2" customFormat="1" ht="20.100000000000001" customHeight="1" x14ac:dyDescent="0.25">
      <c r="B63" s="4" t="s">
        <v>2404</v>
      </c>
      <c r="C63" s="9" t="str">
        <f>CONCATENATE(prefix_other_region_az1_cidr,"16.0/24")</f>
        <v>10.21.16.0/24</v>
      </c>
      <c r="D63" s="347"/>
      <c r="E63" s="337"/>
    </row>
    <row r="64" spans="2:5" s="2" customFormat="1" ht="20.100000000000001" customHeight="1" x14ac:dyDescent="0.25">
      <c r="B64" s="4" t="s">
        <v>3102</v>
      </c>
      <c r="C64" s="9" t="s">
        <v>3103</v>
      </c>
      <c r="D64" s="347"/>
      <c r="E64" s="337"/>
    </row>
    <row r="65" spans="1:9" s="2" customFormat="1" ht="20.100000000000001" customHeight="1" x14ac:dyDescent="0.25"/>
    <row r="66" spans="1:9" s="2" customFormat="1" ht="20.100000000000001" customHeight="1" x14ac:dyDescent="0.25">
      <c r="B66" s="575" t="s">
        <v>3104</v>
      </c>
      <c r="C66" s="576"/>
      <c r="D66" s="576"/>
      <c r="E66" s="577"/>
    </row>
    <row r="67" spans="1:9" s="2" customFormat="1" ht="20.100000000000001" customHeight="1" x14ac:dyDescent="0.25">
      <c r="B67" s="166" t="s">
        <v>259</v>
      </c>
      <c r="C67" s="166" t="s">
        <v>1413</v>
      </c>
      <c r="D67" s="167" t="s">
        <v>277</v>
      </c>
      <c r="E67" s="166" t="s">
        <v>5</v>
      </c>
    </row>
    <row r="68" spans="1:9" s="2" customFormat="1" ht="20.100000000000001" customHeight="1" x14ac:dyDescent="0.25">
      <c r="B68" s="614" t="s">
        <v>3084</v>
      </c>
      <c r="C68" s="615"/>
      <c r="D68" s="615"/>
      <c r="E68" s="616"/>
    </row>
    <row r="69" spans="1:9" s="2" customFormat="1" ht="20.100000000000001" customHeight="1" x14ac:dyDescent="0.25">
      <c r="B69" s="4" t="s">
        <v>3085</v>
      </c>
      <c r="C69" s="9" t="str">
        <f>CONCATENATE(this_instance,"-w0",wld_domain_number_chosen,"-fd-vrms")</f>
        <v>sfo-w01-fd-vrms</v>
      </c>
      <c r="D69" s="347"/>
      <c r="E69" s="337"/>
    </row>
    <row r="70" spans="1:9" s="2" customFormat="1" ht="20.100000000000001" customHeight="1" x14ac:dyDescent="0.25">
      <c r="B70" s="4" t="s">
        <v>3086</v>
      </c>
      <c r="C70" s="9" t="s">
        <v>379</v>
      </c>
      <c r="D70" s="347"/>
      <c r="E70" s="337"/>
    </row>
    <row r="71" spans="1:9" s="2" customFormat="1" ht="20.100000000000001" customHeight="1" x14ac:dyDescent="0.25">
      <c r="B71" s="4" t="s">
        <v>3087</v>
      </c>
      <c r="C71" s="9" t="s">
        <v>379</v>
      </c>
      <c r="D71" s="347"/>
      <c r="E71" s="337"/>
    </row>
    <row r="72" spans="1:9" s="2" customFormat="1" ht="20.100000000000001" customHeight="1" x14ac:dyDescent="0.25">
      <c r="B72" s="4" t="s">
        <v>3088</v>
      </c>
      <c r="C72" s="9" t="str">
        <f>UPPER(sample_wld_sddc_domain)</f>
        <v>SFO-W01</v>
      </c>
      <c r="D72" s="347"/>
      <c r="E72" s="337"/>
    </row>
    <row r="73" spans="1:9" s="2" customFormat="1" ht="20.100000000000001" customHeight="1" x14ac:dyDescent="0.25">
      <c r="B73" s="4" t="s">
        <v>3089</v>
      </c>
      <c r="C73" s="9" t="str">
        <f>CONCATENATE("vrms-administrator@",sample_parent_dns_zone)</f>
        <v>vrms-administrator@rainpole.io</v>
      </c>
      <c r="D73" s="347"/>
      <c r="E73" s="337"/>
    </row>
    <row r="74" spans="1:9" s="2" customFormat="1" ht="20.100000000000001" customHeight="1" x14ac:dyDescent="0.25">
      <c r="B74" s="4" t="s">
        <v>3090</v>
      </c>
      <c r="C74" s="9" t="str">
        <f>CONCATENATE(this_instance,"-w01-cl01-vds01-pg-vrms")</f>
        <v>sfo-w01-cl01-vds01-pg-vrms</v>
      </c>
      <c r="D74" s="347"/>
      <c r="E74" s="337"/>
    </row>
    <row r="75" spans="1:9" s="2" customFormat="1" ht="20.100000000000001" customHeight="1" x14ac:dyDescent="0.25">
      <c r="B75" s="4" t="s">
        <v>3091</v>
      </c>
      <c r="C75" s="9" t="s">
        <v>379</v>
      </c>
      <c r="D75" s="347"/>
      <c r="E75" s="337"/>
    </row>
    <row r="76" spans="1:9" s="2" customFormat="1" ht="20.100000000000001" customHeight="1" x14ac:dyDescent="0.25">
      <c r="B76" s="614" t="s">
        <v>2467</v>
      </c>
      <c r="C76" s="615"/>
      <c r="D76" s="615"/>
      <c r="E76" s="616"/>
    </row>
    <row r="77" spans="1:9" s="2" customFormat="1" ht="20.100000000000001" customHeight="1" x14ac:dyDescent="0.25">
      <c r="B77" s="4" t="s">
        <v>3085</v>
      </c>
      <c r="C77" s="9" t="str">
        <f>CONCATENATE(this_instance,"-w0",wld_domain_number_chosen,"-fd-srm")</f>
        <v>sfo-w01-fd-srm</v>
      </c>
      <c r="D77" s="347"/>
      <c r="E77" s="337"/>
    </row>
    <row r="78" spans="1:9" s="8" customFormat="1" ht="15.95" customHeight="1" x14ac:dyDescent="0.2">
      <c r="A78" s="2"/>
      <c r="B78" s="4" t="s">
        <v>3086</v>
      </c>
      <c r="C78" s="9" t="s">
        <v>379</v>
      </c>
      <c r="D78" s="347"/>
      <c r="E78" s="337"/>
      <c r="F78" s="2"/>
      <c r="G78" s="2"/>
      <c r="H78" s="2"/>
      <c r="I78" s="2"/>
    </row>
    <row r="79" spans="1:9" s="8" customFormat="1" ht="33.950000000000003" customHeight="1" x14ac:dyDescent="0.2">
      <c r="A79" s="2"/>
      <c r="B79" s="4" t="s">
        <v>3087</v>
      </c>
      <c r="C79" s="9" t="s">
        <v>379</v>
      </c>
      <c r="D79" s="347"/>
      <c r="E79" s="337"/>
      <c r="F79" s="2"/>
      <c r="G79" s="2"/>
      <c r="H79" s="2"/>
      <c r="I79" s="2"/>
    </row>
    <row r="80" spans="1:9" s="8" customFormat="1" ht="15.95" customHeight="1" x14ac:dyDescent="0.2">
      <c r="A80" s="2"/>
      <c r="B80" s="4" t="s">
        <v>3092</v>
      </c>
      <c r="C80" s="9" t="s">
        <v>379</v>
      </c>
      <c r="D80" s="347"/>
      <c r="E80" s="337"/>
      <c r="F80" s="2"/>
      <c r="G80" s="2"/>
      <c r="H80" s="2"/>
      <c r="I80" s="2"/>
    </row>
    <row r="81" spans="1:9" s="8" customFormat="1" ht="33.950000000000003" customHeight="1" x14ac:dyDescent="0.2">
      <c r="A81" s="2"/>
      <c r="B81" s="4" t="s">
        <v>3088</v>
      </c>
      <c r="C81" s="9" t="str">
        <f>UPPER(sample_wld_sddc_domain)</f>
        <v>SFO-W01</v>
      </c>
      <c r="D81" s="347"/>
      <c r="E81" s="337"/>
      <c r="F81" s="2"/>
      <c r="G81" s="2"/>
      <c r="H81" s="2"/>
      <c r="I81" s="2"/>
    </row>
    <row r="82" spans="1:9" s="8" customFormat="1" ht="15.95" customHeight="1" x14ac:dyDescent="0.2">
      <c r="A82" s="2"/>
      <c r="B82" s="4" t="s">
        <v>3089</v>
      </c>
      <c r="C82" s="9" t="str">
        <f>CONCATENATE("srm-administrator@",sample_parent_dns_zone)</f>
        <v>srm-administrator@rainpole.io</v>
      </c>
      <c r="D82" s="347"/>
      <c r="E82" s="337"/>
      <c r="F82" s="2"/>
      <c r="G82" s="2"/>
      <c r="H82" s="2"/>
      <c r="I82" s="2"/>
    </row>
    <row r="83" spans="1:9" s="8" customFormat="1" ht="33.950000000000003" customHeight="1" x14ac:dyDescent="0.2">
      <c r="A83" s="2"/>
      <c r="B83" s="4" t="s">
        <v>3091</v>
      </c>
      <c r="C83" s="9" t="s">
        <v>379</v>
      </c>
      <c r="D83" s="347"/>
      <c r="E83" s="337"/>
      <c r="F83" s="2"/>
      <c r="G83" s="2"/>
      <c r="H83" s="2"/>
      <c r="I83" s="2"/>
    </row>
    <row r="84" spans="1:9" s="8" customFormat="1" ht="20.100000000000001" customHeight="1" x14ac:dyDescent="0.2">
      <c r="A84" s="2"/>
      <c r="B84" s="614" t="s">
        <v>3082</v>
      </c>
      <c r="C84" s="615"/>
      <c r="D84" s="615"/>
      <c r="E84" s="616"/>
      <c r="F84" s="2"/>
      <c r="G84" s="2"/>
      <c r="H84" s="2"/>
      <c r="I84" s="2"/>
    </row>
    <row r="85" spans="1:9" s="8" customFormat="1" ht="20.100000000000001" customHeight="1" x14ac:dyDescent="0.2">
      <c r="A85" s="2"/>
      <c r="B85" s="4" t="s">
        <v>2373</v>
      </c>
      <c r="C85" s="9" t="str">
        <f>CONCATENATE(other_instance,"-w01-vc01.",other_instance,".",sample_parent_dns_zone)</f>
        <v>lax-w01-vc01.lax.rainpole.io</v>
      </c>
      <c r="D85" s="347"/>
      <c r="E85" s="337"/>
      <c r="F85" s="2"/>
      <c r="G85" s="2"/>
      <c r="H85" s="2"/>
      <c r="I85" s="2"/>
    </row>
    <row r="86" spans="1:9" s="8" customFormat="1" ht="20.100000000000001" customHeight="1" x14ac:dyDescent="0.2">
      <c r="A86" s="2"/>
      <c r="B86" s="4" t="s">
        <v>2376</v>
      </c>
      <c r="C86" s="9" t="s">
        <v>357</v>
      </c>
      <c r="D86" s="347"/>
      <c r="E86" s="337"/>
      <c r="F86" s="2"/>
      <c r="G86" s="2"/>
      <c r="H86" s="2"/>
      <c r="I86" s="2"/>
    </row>
    <row r="87" spans="1:9" s="8" customFormat="1" ht="20.100000000000001" customHeight="1" x14ac:dyDescent="0.2">
      <c r="A87" s="2"/>
      <c r="B87" s="4" t="s">
        <v>2378</v>
      </c>
      <c r="C87" s="9" t="s">
        <v>379</v>
      </c>
      <c r="D87" s="347"/>
      <c r="E87" s="337"/>
      <c r="F87" s="2"/>
      <c r="G87" s="2"/>
      <c r="H87" s="2"/>
      <c r="I87" s="2"/>
    </row>
    <row r="88" spans="1:9" s="8" customFormat="1" ht="15.95" customHeight="1" x14ac:dyDescent="0.2">
      <c r="A88" s="2"/>
      <c r="B88" s="4" t="s">
        <v>2404</v>
      </c>
      <c r="C88" s="9" t="str">
        <f>CONCATENATE(prefix_other_region_az1_cidr,"9.0/24")</f>
        <v>10.21.9.0/24</v>
      </c>
      <c r="D88" s="347"/>
      <c r="E88" s="337"/>
      <c r="F88" s="2"/>
      <c r="G88" s="2"/>
      <c r="H88" s="2"/>
      <c r="I88" s="2"/>
    </row>
    <row r="89" spans="1:9" s="8" customFormat="1" ht="33.950000000000003" customHeight="1" x14ac:dyDescent="0.2">
      <c r="A89" s="2"/>
      <c r="B89" s="4" t="s">
        <v>3102</v>
      </c>
      <c r="C89" s="9" t="s">
        <v>3103</v>
      </c>
      <c r="D89" s="347"/>
      <c r="E89" s="337"/>
      <c r="F89" s="2"/>
      <c r="G89" s="2"/>
      <c r="H89" s="2"/>
      <c r="I89" s="2"/>
    </row>
    <row r="93" spans="1:9" s="8" customFormat="1" ht="20.100000000000001" customHeight="1" x14ac:dyDescent="0.2">
      <c r="B93" s="552" t="s">
        <v>3105</v>
      </c>
      <c r="C93" s="553"/>
      <c r="D93" s="553"/>
      <c r="E93" s="553"/>
    </row>
    <row r="94" spans="1:9" s="8" customFormat="1" ht="20.100000000000001" customHeight="1" x14ac:dyDescent="0.2"/>
    <row r="95" spans="1:9" s="8" customFormat="1" ht="20.100000000000001" customHeight="1" x14ac:dyDescent="0.2">
      <c r="B95" s="553" t="s">
        <v>3106</v>
      </c>
      <c r="C95" s="553"/>
      <c r="D95" s="553"/>
      <c r="E95" s="553"/>
    </row>
    <row r="96" spans="1:9" s="8" customFormat="1" ht="15.95" customHeight="1" x14ac:dyDescent="0.2">
      <c r="B96" s="43" t="s">
        <v>259</v>
      </c>
      <c r="C96" s="43" t="s">
        <v>711</v>
      </c>
      <c r="D96" s="130" t="s">
        <v>277</v>
      </c>
      <c r="E96" s="43" t="s">
        <v>5</v>
      </c>
    </row>
    <row r="97" spans="2:5" s="8" customFormat="1" ht="33.950000000000003" customHeight="1" x14ac:dyDescent="0.2">
      <c r="B97" s="4" t="s">
        <v>3107</v>
      </c>
      <c r="C97" s="362" t="str">
        <f>sample_mgmt_vc_fqdn</f>
        <v>sfo-m01-vc01.sfo.rainpole.io</v>
      </c>
      <c r="D97" s="337" t="str">
        <f>mgmt_vc_fqdn</f>
        <v>labvcvcf01v.vcf.lab.local</v>
      </c>
      <c r="E97" s="32"/>
    </row>
    <row r="98" spans="2:5" s="8" customFormat="1" ht="20.100000000000001" customHeight="1" x14ac:dyDescent="0.2">
      <c r="B98" s="4" t="s">
        <v>3108</v>
      </c>
      <c r="C98" s="362" t="s">
        <v>3109</v>
      </c>
      <c r="D98" s="337">
        <f>vrslcm_xreg_vm_folder</f>
        <v>0</v>
      </c>
      <c r="E98" s="32"/>
    </row>
    <row r="99" spans="2:5" s="8" customFormat="1" ht="20.100000000000001" customHeight="1" x14ac:dyDescent="0.2">
      <c r="B99" s="4" t="s">
        <v>1158</v>
      </c>
      <c r="E99" s="32"/>
    </row>
    <row r="100" spans="2:5" s="8" customFormat="1" ht="20.100000000000001" customHeight="1" x14ac:dyDescent="0.2"/>
    <row r="101" spans="2:5" s="8" customFormat="1" ht="20.100000000000001" customHeight="1" x14ac:dyDescent="0.2">
      <c r="B101" s="553" t="s">
        <v>3110</v>
      </c>
      <c r="C101" s="553"/>
      <c r="D101" s="553"/>
      <c r="E101" s="553"/>
    </row>
    <row r="102" spans="2:5" s="8" customFormat="1" ht="20.100000000000001" customHeight="1" x14ac:dyDescent="0.2">
      <c r="B102" s="43" t="s">
        <v>259</v>
      </c>
      <c r="C102" s="43" t="s">
        <v>711</v>
      </c>
      <c r="D102" s="130" t="s">
        <v>277</v>
      </c>
      <c r="E102" s="43" t="s">
        <v>5</v>
      </c>
    </row>
    <row r="103" spans="2:5" s="8" customFormat="1" ht="20.100000000000001" customHeight="1" x14ac:dyDescent="0.2">
      <c r="B103" s="30" t="s">
        <v>3111</v>
      </c>
      <c r="C103" s="362" t="str">
        <f>sample_mgmt_srm_recovery_vcenter_fqdn</f>
        <v>lax-m01-vc01.lax.rainpole.io</v>
      </c>
      <c r="D103" s="99" t="str">
        <f>mgmt_srm_recovery_vcenter_fqdn</f>
        <v>Value Missing</v>
      </c>
      <c r="E103" s="204"/>
    </row>
    <row r="104" spans="2:5" s="8" customFormat="1" ht="20.100000000000001" customHeight="1" x14ac:dyDescent="0.2">
      <c r="B104" s="361" t="s">
        <v>3112</v>
      </c>
      <c r="C104" s="362" t="str">
        <f t="array" ref="C104">sample_vrslcm_xreg_vm_folder</f>
        <v>xint-m01-fd-lcm</v>
      </c>
      <c r="D104" s="337"/>
      <c r="E104" s="32"/>
    </row>
    <row r="105" spans="2:5" s="8" customFormat="1" ht="20.100000000000001" customHeight="1" x14ac:dyDescent="0.2">
      <c r="B105" s="4" t="s">
        <v>3113</v>
      </c>
      <c r="C105" s="362" t="s">
        <v>3114</v>
      </c>
      <c r="D105" s="337"/>
      <c r="E105" s="32"/>
    </row>
    <row r="106" spans="2:5" s="8" customFormat="1" ht="20.100000000000001" customHeight="1" x14ac:dyDescent="0.2">
      <c r="B106" s="4" t="s">
        <v>3115</v>
      </c>
      <c r="C106" s="362" t="s">
        <v>3116</v>
      </c>
      <c r="D106" s="337"/>
      <c r="E106" s="32"/>
    </row>
    <row r="107" spans="2:5" s="8" customFormat="1" ht="20.100000000000001" customHeight="1" x14ac:dyDescent="0.2">
      <c r="B107" s="361" t="s">
        <v>3117</v>
      </c>
      <c r="C107" s="362" t="s">
        <v>3118</v>
      </c>
      <c r="D107" s="337"/>
      <c r="E107" s="32"/>
    </row>
    <row r="108" spans="2:5" s="8" customFormat="1" ht="15.95" customHeight="1" x14ac:dyDescent="0.2"/>
    <row r="109" spans="2:5" s="8" customFormat="1" ht="33.950000000000003" customHeight="1" x14ac:dyDescent="0.2">
      <c r="B109" s="553" t="s">
        <v>3119</v>
      </c>
      <c r="C109" s="553"/>
      <c r="D109" s="553"/>
      <c r="E109" s="553"/>
    </row>
    <row r="110" spans="2:5" s="8" customFormat="1" ht="20.100000000000001" customHeight="1" x14ac:dyDescent="0.2">
      <c r="B110" s="43" t="s">
        <v>259</v>
      </c>
      <c r="C110" s="43" t="s">
        <v>711</v>
      </c>
      <c r="D110" s="130" t="s">
        <v>277</v>
      </c>
      <c r="E110" s="43" t="s">
        <v>5</v>
      </c>
    </row>
    <row r="111" spans="2:5" s="8" customFormat="1" ht="20.100000000000001" customHeight="1" x14ac:dyDescent="0.2">
      <c r="B111" s="4" t="s">
        <v>3120</v>
      </c>
      <c r="C111" s="362" t="str">
        <f>IF(mgmt_domain_chosen="First Instance",sample_mgmt_nsxt_gm_vip_fqdn,sample_mgmt_existing_active_nsx_gm)</f>
        <v>sfo-m01-nsx-gm01.sfo.rainpole.io</v>
      </c>
      <c r="D111" s="337" t="str">
        <f>_xlfn.SINGLE(IF(mgmt_domain_chosen="First Domain",mgmt_nsxt_gm_vip_fqdn,mgmt_existing_active_nsx_gm))</f>
        <v>Value Missing</v>
      </c>
      <c r="E111" s="32"/>
    </row>
    <row r="112" spans="2:5" s="8" customFormat="1" ht="20.100000000000001" customHeight="1" x14ac:dyDescent="0.2">
      <c r="B112" s="4" t="s">
        <v>3121</v>
      </c>
      <c r="C112" s="362" t="str">
        <f>sample_mgmt_srm_recovery_nsx_location</f>
        <v>lax-m01</v>
      </c>
      <c r="D112" s="337" t="str">
        <f>mgmt_srm_recovery_nsx_location</f>
        <v>Value Missing</v>
      </c>
      <c r="E112" s="32"/>
    </row>
    <row r="113" spans="2:5" s="8" customFormat="1" ht="20.100000000000001" customHeight="1" x14ac:dyDescent="0.2">
      <c r="B113" s="361" t="s">
        <v>926</v>
      </c>
      <c r="C113" s="362" t="s">
        <v>3122</v>
      </c>
      <c r="D113" s="337" t="str">
        <f>C113</f>
        <v>recovery-t1-gw01</v>
      </c>
      <c r="E113" s="32"/>
    </row>
    <row r="114" spans="2:5" s="8" customFormat="1" ht="15.95" customHeight="1" x14ac:dyDescent="0.2">
      <c r="B114" s="361" t="s">
        <v>574</v>
      </c>
      <c r="C114" s="362" t="str">
        <f>sample_mgmt_srm_recovery_nsx_ec_name</f>
        <v>lax-m01-ec01</v>
      </c>
      <c r="D114" s="337" t="str">
        <f>mgmt_srm_recovery_nsx_ec_name</f>
        <v>Value Missing</v>
      </c>
      <c r="E114" s="32"/>
    </row>
    <row r="115" spans="2:5" s="8" customFormat="1" ht="33.950000000000003" customHeight="1" x14ac:dyDescent="0.2">
      <c r="B115" s="361" t="s">
        <v>259</v>
      </c>
      <c r="C115" s="362" t="s">
        <v>3123</v>
      </c>
      <c r="D115" s="337" t="str">
        <f>C115</f>
        <v>recovery-t1-gw01-si01</v>
      </c>
      <c r="E115" s="32"/>
    </row>
    <row r="116" spans="2:5" s="8" customFormat="1" ht="20.100000000000001" customHeight="1" x14ac:dyDescent="0.2">
      <c r="B116" s="361" t="s">
        <v>3124</v>
      </c>
      <c r="C116" s="362" t="e">
        <f>IF(sample_reg_seg01_cidr&lt;&gt;"N/A",CONCATENATE(sample_mgmt_srm_recovery_t1_si_ip,"/",INT(RIGHT(sample_reg_seg01_cidr,LEN(sample_reg_seg01_cidr)-FIND("/",sample_reg_seg01_cidr)))),"N/A")</f>
        <v>#NAME?</v>
      </c>
      <c r="D116" s="337" t="e">
        <f>IF(OR((mgmt_srm_recovery_t1_si_ip="Value Missing"),(xreg_seg01_cidr="Value Missing")),"Value Missing",CONCATENATE(mgmt_srm_recovery_t1_si_ip,"/",INT(RIGHT(xreg_seg01_cidr,LEN(xreg_seg01_cidr)-FIND("/",xreg_seg01_cidr)))))</f>
        <v>#NAME?</v>
      </c>
      <c r="E116" s="32"/>
    </row>
    <row r="117" spans="2:5" s="8" customFormat="1" ht="20.100000000000001" customHeight="1" x14ac:dyDescent="0.2">
      <c r="B117" s="361" t="s">
        <v>3125</v>
      </c>
      <c r="C117" s="362">
        <f>sample_xreg_seg01_name</f>
        <v>0</v>
      </c>
      <c r="D117" s="337" t="e">
        <f>xreg_seg01_name</f>
        <v>#NAME?</v>
      </c>
      <c r="E117" s="32"/>
    </row>
    <row r="118" spans="2:5" s="8" customFormat="1" ht="20.100000000000001" customHeight="1" x14ac:dyDescent="0.2">
      <c r="B118" s="4" t="s">
        <v>730</v>
      </c>
      <c r="C118" s="362" t="e">
        <f>sample_xreg_seg01_gateway_ip</f>
        <v>#NAME?</v>
      </c>
      <c r="D118" s="337" t="e">
        <f>xreg_seg01_gateway_ip</f>
        <v>#NAME?</v>
      </c>
      <c r="E118" s="32"/>
    </row>
    <row r="119" spans="2:5" s="8" customFormat="1" ht="20.100000000000001" customHeight="1" x14ac:dyDescent="0.2">
      <c r="B119" s="4" t="s">
        <v>3126</v>
      </c>
      <c r="C119" s="362" t="s">
        <v>3123</v>
      </c>
      <c r="D119" s="337" t="str">
        <f>C119</f>
        <v>recovery-t1-gw01-si01</v>
      </c>
      <c r="E119" s="32"/>
    </row>
    <row r="120" spans="2:5" s="8" customFormat="1" ht="15.95" customHeight="1" x14ac:dyDescent="0.2"/>
    <row r="121" spans="2:5" s="8" customFormat="1" ht="33.950000000000003" customHeight="1" x14ac:dyDescent="0.2">
      <c r="B121" s="553" t="s">
        <v>3127</v>
      </c>
      <c r="C121" s="553"/>
      <c r="D121" s="553"/>
      <c r="E121" s="553"/>
    </row>
    <row r="122" spans="2:5" s="8" customFormat="1" ht="20.100000000000001" customHeight="1" x14ac:dyDescent="0.2">
      <c r="B122" s="43" t="s">
        <v>259</v>
      </c>
      <c r="C122" s="43" t="s">
        <v>711</v>
      </c>
      <c r="D122" s="130" t="s">
        <v>277</v>
      </c>
      <c r="E122" s="43" t="s">
        <v>5</v>
      </c>
    </row>
    <row r="123" spans="2:5" s="8" customFormat="1" ht="20.100000000000001" customHeight="1" x14ac:dyDescent="0.2">
      <c r="B123" s="4" t="s">
        <v>3120</v>
      </c>
      <c r="C123" s="362" t="str">
        <f t="array" ref="C123">IF(mgmt_domain_chosen="First Domain",CONCATENATE(sample_mgmt_nsxt_gm_hostname,".",sample_child_dns_zone),sample_mgmt_existing_active_nsx_gm)</f>
        <v>sfo-m01-nsx-gm01.sfo.rainpole.io</v>
      </c>
      <c r="D123" s="337" t="str">
        <f>_xlfn.SINGLE(IF(mgmt_domain_chosen="First Domain",mgmt_nsxt_gm_vip_fqdn,mgmt_existing_active_nsx_gm))</f>
        <v>Value Missing</v>
      </c>
      <c r="E123" s="32"/>
    </row>
    <row r="124" spans="2:5" s="8" customFormat="1" ht="20.100000000000001" customHeight="1" x14ac:dyDescent="0.2">
      <c r="B124" s="4" t="s">
        <v>3121</v>
      </c>
      <c r="C124" s="362" t="str">
        <f>sample_mgmt_srm_recovery_nsx_location</f>
        <v>lax-m01</v>
      </c>
      <c r="D124" s="337" t="str">
        <f>mgmt_srm_recovery_nsx_location</f>
        <v>Value Missing</v>
      </c>
      <c r="E124" s="32"/>
    </row>
    <row r="125" spans="2:5" s="8" customFormat="1" ht="20.100000000000001" customHeight="1" x14ac:dyDescent="0.2">
      <c r="B125" s="361" t="s">
        <v>259</v>
      </c>
      <c r="C125" s="362" t="s">
        <v>3128</v>
      </c>
      <c r="D125" s="337" t="str">
        <f>C125</f>
        <v>recovery-lb01</v>
      </c>
      <c r="E125" s="32"/>
    </row>
    <row r="126" spans="2:5" s="8" customFormat="1" ht="15.95" customHeight="1" x14ac:dyDescent="0.2"/>
    <row r="127" spans="2:5" s="8" customFormat="1" ht="33.950000000000003" customHeight="1" x14ac:dyDescent="0.2">
      <c r="B127" s="553" t="s">
        <v>3129</v>
      </c>
      <c r="C127" s="553"/>
      <c r="D127" s="553"/>
      <c r="E127" s="553"/>
    </row>
    <row r="128" spans="2:5" s="8" customFormat="1" ht="20.100000000000001" customHeight="1" x14ac:dyDescent="0.2">
      <c r="B128" s="43" t="s">
        <v>259</v>
      </c>
      <c r="C128" s="43" t="s">
        <v>711</v>
      </c>
      <c r="D128" s="130" t="s">
        <v>277</v>
      </c>
      <c r="E128" s="43" t="s">
        <v>5</v>
      </c>
    </row>
    <row r="129" spans="2:5" s="8" customFormat="1" ht="20.100000000000001" customHeight="1" x14ac:dyDescent="0.2">
      <c r="B129" s="4" t="s">
        <v>3120</v>
      </c>
      <c r="C129" s="362" t="str">
        <f t="array" ref="C129">IF(mgmt_domain_chosen="First Domain",CONCATENATE(sample_mgmt_nsxt_gm_hostname,".",sample_child_dns_zone),sample_mgmt_existing_active_nsx_gm)</f>
        <v>sfo-m01-nsx-gm01.sfo.rainpole.io</v>
      </c>
      <c r="D129" s="337" t="str">
        <f>_xlfn.SINGLE(IF(mgmt_domain_chosen="First Domain",mgmt_nsxt_gm_vip_fqdn,mgmt_existing_active_nsx_gm))</f>
        <v>Value Missing</v>
      </c>
      <c r="E129" s="32"/>
    </row>
    <row r="130" spans="2:5" s="8" customFormat="1" ht="20.100000000000001" customHeight="1" x14ac:dyDescent="0.2">
      <c r="B130" s="4" t="s">
        <v>3121</v>
      </c>
      <c r="C130" s="362" t="str">
        <f>sample_mgmt_srm_recovery_nsx_location</f>
        <v>lax-m01</v>
      </c>
      <c r="D130" s="337" t="str">
        <f>mgmt_srm_recovery_nsx_location</f>
        <v>Value Missing</v>
      </c>
      <c r="E130" s="32"/>
    </row>
    <row r="131" spans="2:5" s="8" customFormat="1" ht="20.100000000000001" customHeight="1" x14ac:dyDescent="0.2">
      <c r="B131" s="361" t="s">
        <v>259</v>
      </c>
      <c r="C131" s="362"/>
      <c r="D131" s="337"/>
      <c r="E131" s="32"/>
    </row>
    <row r="132" spans="2:5" s="8" customFormat="1" ht="20.100000000000001" customHeight="1" x14ac:dyDescent="0.2"/>
    <row r="133" spans="2:5" s="8" customFormat="1" ht="20.100000000000001" customHeight="1" x14ac:dyDescent="0.2">
      <c r="B133" s="553" t="s">
        <v>3130</v>
      </c>
      <c r="C133" s="553"/>
      <c r="D133" s="553"/>
      <c r="E133" s="553"/>
    </row>
    <row r="134" spans="2:5" s="8" customFormat="1" ht="20.100000000000001" customHeight="1" x14ac:dyDescent="0.2">
      <c r="B134" s="43" t="s">
        <v>259</v>
      </c>
      <c r="C134" s="43" t="s">
        <v>711</v>
      </c>
      <c r="D134" s="130" t="s">
        <v>277</v>
      </c>
      <c r="E134" s="43" t="s">
        <v>5</v>
      </c>
    </row>
    <row r="135" spans="2:5" s="8" customFormat="1" ht="20.100000000000001" customHeight="1" x14ac:dyDescent="0.2">
      <c r="B135" s="4" t="s">
        <v>3120</v>
      </c>
      <c r="C135" s="362" t="str">
        <f t="array" ref="C135">IF(mgmt_domain_chosen="First Domain",CONCATENATE(sample_mgmt_nsxt_gm_hostname,".",sample_child_dns_zone),sample_mgmt_existing_active_nsx_gm)</f>
        <v>sfo-m01-nsx-gm01.sfo.rainpole.io</v>
      </c>
      <c r="D135" s="337" t="str">
        <f>_xlfn.SINGLE(IF(mgmt_domain_chosen="First Domain",mgmt_nsxt_gm_vip_fqdn,mgmt_existing_active_nsx_gm))</f>
        <v>Value Missing</v>
      </c>
      <c r="E135" s="32"/>
    </row>
    <row r="136" spans="2:5" s="8" customFormat="1" ht="20.100000000000001" customHeight="1" x14ac:dyDescent="0.2">
      <c r="B136" s="4" t="s">
        <v>3121</v>
      </c>
      <c r="C136" s="362" t="str">
        <f>sample_mgmt_srm_recovery_nsx_location</f>
        <v>lax-m01</v>
      </c>
      <c r="D136" s="337" t="str">
        <f>mgmt_srm_recovery_nsx_location</f>
        <v>Value Missing</v>
      </c>
      <c r="E136" s="32"/>
    </row>
    <row r="137" spans="2:5" s="8" customFormat="1" ht="20.100000000000001" customHeight="1" x14ac:dyDescent="0.2">
      <c r="B137" s="361" t="s">
        <v>259</v>
      </c>
      <c r="C137" s="362" t="s">
        <v>3131</v>
      </c>
      <c r="D137" s="337" t="str">
        <f>C137</f>
        <v>vrops-https-monitor</v>
      </c>
      <c r="E137" s="32"/>
    </row>
    <row r="138" spans="2:5" s="8" customFormat="1" ht="20.100000000000001" customHeight="1" x14ac:dyDescent="0.2"/>
    <row r="139" spans="2:5" s="8" customFormat="1" ht="15.95" customHeight="1" x14ac:dyDescent="0.2">
      <c r="B139" s="553" t="s">
        <v>3132</v>
      </c>
      <c r="C139" s="553"/>
      <c r="D139" s="553"/>
      <c r="E139" s="553"/>
    </row>
    <row r="140" spans="2:5" s="8" customFormat="1" ht="33.950000000000003" customHeight="1" x14ac:dyDescent="0.2">
      <c r="B140" s="43" t="s">
        <v>259</v>
      </c>
      <c r="C140" s="43" t="s">
        <v>711</v>
      </c>
      <c r="D140" s="130" t="s">
        <v>277</v>
      </c>
      <c r="E140" s="43" t="s">
        <v>5</v>
      </c>
    </row>
    <row r="141" spans="2:5" s="8" customFormat="1" ht="20.100000000000001" customHeight="1" x14ac:dyDescent="0.2">
      <c r="B141" s="4" t="s">
        <v>3120</v>
      </c>
      <c r="C141" s="362" t="str">
        <f t="array" ref="C141">IF(mgmt_domain_chosen="First Domain",CONCATENATE(sample_mgmt_nsxt_gm_hostname,".",sample_child_dns_zone),sample_mgmt_existing_active_nsx_gm)</f>
        <v>sfo-m01-nsx-gm01.sfo.rainpole.io</v>
      </c>
      <c r="D141" s="337" t="str">
        <f>_xlfn.SINGLE(IF(mgmt_domain_chosen="First Domain",mgmt_nsxt_gm_vip_fqdn,mgmt_existing_active_nsx_gm))</f>
        <v>Value Missing</v>
      </c>
      <c r="E141" s="32"/>
    </row>
    <row r="142" spans="2:5" s="8" customFormat="1" ht="20.100000000000001" customHeight="1" x14ac:dyDescent="0.2">
      <c r="B142" s="4" t="s">
        <v>3121</v>
      </c>
      <c r="C142" s="362" t="str">
        <f>sample_mgmt_srm_recovery_nsx_location</f>
        <v>lax-m01</v>
      </c>
      <c r="D142" s="337" t="str">
        <f>mgmt_srm_recovery_nsx_location</f>
        <v>Value Missing</v>
      </c>
      <c r="E142" s="32"/>
    </row>
    <row r="143" spans="2:5" s="8" customFormat="1" ht="20.100000000000001" customHeight="1" x14ac:dyDescent="0.2">
      <c r="B143" s="361" t="s">
        <v>259</v>
      </c>
      <c r="C143" s="362" t="s">
        <v>3133</v>
      </c>
      <c r="D143" s="337" t="str">
        <f>C143</f>
        <v>vrops-server-pool</v>
      </c>
      <c r="E143" s="32"/>
    </row>
    <row r="144" spans="2:5" s="8" customFormat="1" ht="20.100000000000001" customHeight="1" x14ac:dyDescent="0.2">
      <c r="B144" s="361" t="s">
        <v>3134</v>
      </c>
      <c r="C144" s="362" t="s">
        <v>3135</v>
      </c>
      <c r="D144" s="337" t="str">
        <f>C144</f>
        <v>vrops01svr01a</v>
      </c>
      <c r="E144" s="32"/>
    </row>
    <row r="145" spans="2:5" s="8" customFormat="1" ht="20.100000000000001" customHeight="1" x14ac:dyDescent="0.2">
      <c r="B145" s="361" t="s">
        <v>3136</v>
      </c>
      <c r="C145" s="362" t="str">
        <f>sample_xreg_vrops_nodea_ip</f>
        <v>10.11.10.52</v>
      </c>
      <c r="D145" s="337" t="str">
        <f>xreg_vrops_nodea_ip</f>
        <v>10.100.50.101</v>
      </c>
      <c r="E145" s="32"/>
    </row>
    <row r="146" spans="2:5" s="8" customFormat="1" ht="20.100000000000001" customHeight="1" x14ac:dyDescent="0.2">
      <c r="B146" s="361" t="s">
        <v>3137</v>
      </c>
      <c r="C146" s="362" t="s">
        <v>3138</v>
      </c>
      <c r="D146" s="337" t="str">
        <f>C146</f>
        <v>vrops01svr01b</v>
      </c>
      <c r="E146" s="32"/>
    </row>
    <row r="147" spans="2:5" s="8" customFormat="1" ht="15.95" customHeight="1" x14ac:dyDescent="0.2">
      <c r="B147" s="361" t="s">
        <v>3139</v>
      </c>
      <c r="C147" s="362" t="str">
        <f>sample_xreg_vrops_nodeb_ip</f>
        <v>10.11.10.53</v>
      </c>
      <c r="D147" s="337" t="str">
        <f>xreg_vrops_nodeb_ip</f>
        <v>10.100.50.102</v>
      </c>
      <c r="E147" s="32"/>
    </row>
    <row r="148" spans="2:5" s="8" customFormat="1" ht="33.950000000000003" customHeight="1" x14ac:dyDescent="0.2">
      <c r="B148" s="4" t="s">
        <v>3140</v>
      </c>
      <c r="C148" s="362" t="s">
        <v>3141</v>
      </c>
      <c r="D148" s="337" t="str">
        <f>C148</f>
        <v>vrops01svr01c</v>
      </c>
      <c r="E148" s="32"/>
    </row>
    <row r="149" spans="2:5" s="8" customFormat="1" ht="20.100000000000001" customHeight="1" x14ac:dyDescent="0.2">
      <c r="B149" s="4" t="s">
        <v>3142</v>
      </c>
      <c r="C149" s="362" t="str">
        <f>sample_xreg_vrops_nodec_ip</f>
        <v>10.11.10.54</v>
      </c>
      <c r="D149" s="337" t="str">
        <f>xreg_vrops_nodec_ip</f>
        <v>10.100.50.103</v>
      </c>
      <c r="E149" s="32"/>
    </row>
    <row r="150" spans="2:5" s="8" customFormat="1" ht="20.100000000000001" customHeight="1" x14ac:dyDescent="0.2">
      <c r="B150" s="361" t="s">
        <v>3143</v>
      </c>
      <c r="C150" s="362" t="s">
        <v>3131</v>
      </c>
      <c r="D150" s="337" t="str">
        <f>C150</f>
        <v>vrops-https-monitor</v>
      </c>
      <c r="E150" s="32"/>
    </row>
    <row r="151" spans="2:5" s="8" customFormat="1" ht="20.100000000000001" customHeight="1" x14ac:dyDescent="0.2"/>
    <row r="152" spans="2:5" s="8" customFormat="1" ht="20.100000000000001" customHeight="1" x14ac:dyDescent="0.2">
      <c r="B152" s="553" t="s">
        <v>3144</v>
      </c>
      <c r="C152" s="553"/>
      <c r="D152" s="553"/>
      <c r="E152" s="553"/>
    </row>
    <row r="153" spans="2:5" s="8" customFormat="1" ht="20.100000000000001" customHeight="1" x14ac:dyDescent="0.2">
      <c r="B153" s="43" t="s">
        <v>259</v>
      </c>
      <c r="C153" s="43" t="s">
        <v>711</v>
      </c>
      <c r="D153" s="130" t="s">
        <v>277</v>
      </c>
      <c r="E153" s="43" t="s">
        <v>5</v>
      </c>
    </row>
    <row r="154" spans="2:5" s="8" customFormat="1" ht="20.100000000000001" customHeight="1" x14ac:dyDescent="0.2">
      <c r="B154" s="4" t="s">
        <v>3120</v>
      </c>
      <c r="C154" s="362" t="str">
        <f t="array" ref="C154">IF(mgmt_domain_chosen="First Domain",CONCATENATE(sample_mgmt_nsxt_gm_hostname,".",sample_child_dns_zone),sample_mgmt_existing_active_nsx_gm)</f>
        <v>sfo-m01-nsx-gm01.sfo.rainpole.io</v>
      </c>
      <c r="D154" s="337" t="str">
        <f>_xlfn.SINGLE(IF(mgmt_domain_chosen="First Domain",mgmt_nsxt_gm_vip_fqdn,mgmt_existing_active_nsx_gm))</f>
        <v>Value Missing</v>
      </c>
      <c r="E154" s="32"/>
    </row>
    <row r="155" spans="2:5" s="8" customFormat="1" ht="20.100000000000001" customHeight="1" x14ac:dyDescent="0.2">
      <c r="B155" s="4" t="s">
        <v>3121</v>
      </c>
      <c r="C155" s="362" t="str">
        <f>sample_mgmt_srm_recovery_nsx_location</f>
        <v>lax-m01</v>
      </c>
      <c r="D155" s="337" t="str">
        <f>mgmt_srm_recovery_nsx_location</f>
        <v>Value Missing</v>
      </c>
      <c r="E155" s="32"/>
    </row>
    <row r="156" spans="2:5" s="8" customFormat="1" ht="20.100000000000001" customHeight="1" x14ac:dyDescent="0.2">
      <c r="B156" s="361" t="s">
        <v>3145</v>
      </c>
      <c r="C156" s="362" t="s">
        <v>3146</v>
      </c>
      <c r="D156" s="337" t="str">
        <f>C156</f>
        <v>vrops-tcp-app-profile</v>
      </c>
      <c r="E156" s="32"/>
    </row>
    <row r="157" spans="2:5" s="8" customFormat="1" ht="20.100000000000001" customHeight="1" x14ac:dyDescent="0.2">
      <c r="B157" s="361" t="s">
        <v>3147</v>
      </c>
      <c r="C157" s="362" t="s">
        <v>3148</v>
      </c>
      <c r="D157" s="337" t="str">
        <f>C157</f>
        <v>vrops-http-app-profile-redirect</v>
      </c>
      <c r="E157" s="32"/>
    </row>
    <row r="158" spans="2:5" s="8" customFormat="1" ht="20.100000000000001" customHeight="1" x14ac:dyDescent="0.2">
      <c r="B158" s="361" t="s">
        <v>3149</v>
      </c>
      <c r="C158" s="362" t="s">
        <v>3150</v>
      </c>
      <c r="D158" s="337" t="str">
        <f>C158</f>
        <v>vrops-source-ip-persistence-profile</v>
      </c>
      <c r="E158" s="32"/>
    </row>
    <row r="159" spans="2:5" s="8" customFormat="1" ht="20.100000000000001" customHeight="1" x14ac:dyDescent="0.2"/>
    <row r="160" spans="2:5" s="8" customFormat="1" ht="20.100000000000001" customHeight="1" x14ac:dyDescent="0.2">
      <c r="B160" s="553" t="s">
        <v>3151</v>
      </c>
      <c r="C160" s="553"/>
      <c r="D160" s="553"/>
      <c r="E160" s="553"/>
    </row>
    <row r="161" spans="2:5" s="8" customFormat="1" ht="20.100000000000001" customHeight="1" x14ac:dyDescent="0.2">
      <c r="B161" s="43" t="s">
        <v>259</v>
      </c>
      <c r="C161" s="43" t="s">
        <v>711</v>
      </c>
      <c r="D161" s="130" t="s">
        <v>277</v>
      </c>
      <c r="E161" s="43" t="s">
        <v>5</v>
      </c>
    </row>
    <row r="162" spans="2:5" s="8" customFormat="1" ht="15.95" customHeight="1" x14ac:dyDescent="0.2">
      <c r="B162" s="4" t="s">
        <v>3120</v>
      </c>
      <c r="C162" s="362" t="str">
        <f t="array" ref="C162">IF(mgmt_domain_chosen="First Domain",CONCATENATE(sample_mgmt_nsxt_gm_hostname,".",sample_child_dns_zone),sample_mgmt_existing_active_nsx_gm)</f>
        <v>sfo-m01-nsx-gm01.sfo.rainpole.io</v>
      </c>
      <c r="D162" s="337" t="str">
        <f>_xlfn.SINGLE(IF(mgmt_domain_chosen="First Domain",mgmt_nsxt_gm_vip_fqdn,mgmt_existing_active_nsx_gm))</f>
        <v>Value Missing</v>
      </c>
      <c r="E162" s="32"/>
    </row>
    <row r="163" spans="2:5" s="8" customFormat="1" ht="33.950000000000003" customHeight="1" x14ac:dyDescent="0.2">
      <c r="B163" s="4" t="s">
        <v>3121</v>
      </c>
      <c r="C163" s="362" t="str">
        <f>sample_mgmt_srm_recovery_nsx_location</f>
        <v>lax-m01</v>
      </c>
      <c r="D163" s="337" t="str">
        <f>mgmt_srm_recovery_nsx_location</f>
        <v>Value Missing</v>
      </c>
      <c r="E163" s="32"/>
    </row>
    <row r="164" spans="2:5" s="8" customFormat="1" ht="20.100000000000001" customHeight="1" x14ac:dyDescent="0.2">
      <c r="B164" s="4" t="s">
        <v>3152</v>
      </c>
      <c r="C164" s="362" t="s">
        <v>3153</v>
      </c>
      <c r="D164" s="337" t="str">
        <f>C164</f>
        <v>vrops-https</v>
      </c>
      <c r="E164" s="32"/>
    </row>
    <row r="165" spans="2:5" s="8" customFormat="1" ht="20.100000000000001" customHeight="1" x14ac:dyDescent="0.2">
      <c r="B165" s="4" t="s">
        <v>3154</v>
      </c>
      <c r="C165" s="362" t="str">
        <f>sample_xreg_vrops_virtual_ip</f>
        <v>10.11.10.21</v>
      </c>
      <c r="D165" s="337" t="str">
        <f>xreg_vrops_virtual_ip</f>
        <v>10.100.50.105</v>
      </c>
      <c r="E165" s="32"/>
    </row>
    <row r="166" spans="2:5" s="8" customFormat="1" ht="20.100000000000001" customHeight="1" x14ac:dyDescent="0.2">
      <c r="B166" s="4" t="s">
        <v>3155</v>
      </c>
      <c r="C166" s="362" t="s">
        <v>3128</v>
      </c>
      <c r="D166" s="337" t="str">
        <f>C166</f>
        <v>recovery-lb01</v>
      </c>
      <c r="E166" s="32"/>
    </row>
    <row r="167" spans="2:5" s="8" customFormat="1" ht="20.100000000000001" customHeight="1" x14ac:dyDescent="0.2">
      <c r="B167" s="361" t="s">
        <v>3156</v>
      </c>
      <c r="C167" s="362" t="s">
        <v>3133</v>
      </c>
      <c r="D167" s="337" t="str">
        <f>C167</f>
        <v>vrops-server-pool</v>
      </c>
      <c r="E167" s="32"/>
    </row>
    <row r="168" spans="2:5" s="8" customFormat="1" ht="15.95" customHeight="1" x14ac:dyDescent="0.2">
      <c r="B168" s="361" t="s">
        <v>3157</v>
      </c>
      <c r="C168" s="362" t="s">
        <v>3150</v>
      </c>
      <c r="D168" s="337" t="str">
        <f>C168</f>
        <v>vrops-source-ip-persistence-profile</v>
      </c>
      <c r="E168" s="32"/>
    </row>
    <row r="169" spans="2:5" s="8" customFormat="1" ht="33.950000000000003" customHeight="1" x14ac:dyDescent="0.2">
      <c r="B169" s="361" t="s">
        <v>3158</v>
      </c>
      <c r="C169" s="362" t="s">
        <v>3146</v>
      </c>
      <c r="D169" s="337" t="str">
        <f>C169</f>
        <v>vrops-tcp-app-profile</v>
      </c>
      <c r="E169" s="32"/>
    </row>
    <row r="170" spans="2:5" s="8" customFormat="1" ht="20.100000000000001" customHeight="1" x14ac:dyDescent="0.2">
      <c r="B170" s="361" t="s">
        <v>3159</v>
      </c>
      <c r="C170" s="362" t="s">
        <v>3160</v>
      </c>
      <c r="D170" s="337" t="str">
        <f>C170</f>
        <v>vrops-http-redirect</v>
      </c>
      <c r="E170" s="32"/>
    </row>
    <row r="171" spans="2:5" s="8" customFormat="1" ht="20.100000000000001" customHeight="1" x14ac:dyDescent="0.2">
      <c r="B171" s="361" t="s">
        <v>3161</v>
      </c>
      <c r="C171" s="362" t="str">
        <f>sample_xreg_vrops_virtual_ip</f>
        <v>10.11.10.21</v>
      </c>
      <c r="D171" s="337" t="str">
        <f>xreg_vrops_virtual_ip</f>
        <v>10.100.50.105</v>
      </c>
      <c r="E171" s="32"/>
    </row>
    <row r="172" spans="2:5" s="8" customFormat="1" ht="20.100000000000001" customHeight="1" x14ac:dyDescent="0.2">
      <c r="B172" s="4" t="s">
        <v>3162</v>
      </c>
      <c r="C172" s="362" t="s">
        <v>3128</v>
      </c>
      <c r="D172" s="337" t="str">
        <f>C172</f>
        <v>recovery-lb01</v>
      </c>
      <c r="E172" s="32"/>
    </row>
    <row r="173" spans="2:5" s="8" customFormat="1" ht="20.100000000000001" customHeight="1" x14ac:dyDescent="0.2">
      <c r="B173" s="4" t="s">
        <v>3163</v>
      </c>
      <c r="C173" s="362" t="s">
        <v>3164</v>
      </c>
      <c r="D173" s="337" t="str">
        <f>C173</f>
        <v>wsa-http-app-profile-redirect</v>
      </c>
      <c r="E173" s="32"/>
    </row>
    <row r="174" spans="2:5" s="8" customFormat="1" ht="20.100000000000001" customHeight="1" x14ac:dyDescent="0.2"/>
    <row r="175" spans="2:5" s="8" customFormat="1" ht="20.100000000000001" customHeight="1" x14ac:dyDescent="0.2">
      <c r="B175" s="553" t="s">
        <v>3165</v>
      </c>
      <c r="C175" s="553"/>
      <c r="D175" s="553"/>
      <c r="E175" s="553"/>
    </row>
    <row r="176" spans="2:5" s="8" customFormat="1" ht="20.100000000000001" customHeight="1" x14ac:dyDescent="0.2">
      <c r="B176" s="43" t="s">
        <v>259</v>
      </c>
      <c r="C176" s="43" t="s">
        <v>711</v>
      </c>
      <c r="D176" s="130" t="s">
        <v>277</v>
      </c>
      <c r="E176" s="43" t="s">
        <v>5</v>
      </c>
    </row>
    <row r="177" spans="2:5" s="8" customFormat="1" ht="20.100000000000001" customHeight="1" x14ac:dyDescent="0.2">
      <c r="B177" s="4" t="s">
        <v>3120</v>
      </c>
      <c r="C177" s="362" t="str">
        <f t="array" ref="C177">IF(mgmt_domain_chosen="First Domain",CONCATENATE(sample_mgmt_nsxt_gm_hostname,".",sample_child_dns_zone),sample_mgmt_existing_active_nsx_gm)</f>
        <v>sfo-m01-nsx-gm01.sfo.rainpole.io</v>
      </c>
      <c r="D177" s="337" t="str">
        <f>_xlfn.SINGLE(IF(mgmt_domain_chosen="First Domain",mgmt_nsxt_gm_vip_fqdn,mgmt_existing_active_nsx_gm))</f>
        <v>Value Missing</v>
      </c>
      <c r="E177" s="32"/>
    </row>
    <row r="178" spans="2:5" s="8" customFormat="1" ht="20.100000000000001" customHeight="1" x14ac:dyDescent="0.2">
      <c r="B178" s="4" t="s">
        <v>3121</v>
      </c>
      <c r="C178" s="362" t="str">
        <f>sample_mgmt_srm_recovery_nsx_location</f>
        <v>lax-m01</v>
      </c>
      <c r="D178" s="337" t="str">
        <f>mgmt_srm_recovery_nsx_location</f>
        <v>Value Missing</v>
      </c>
      <c r="E178" s="32"/>
    </row>
    <row r="179" spans="2:5" s="8" customFormat="1" ht="20.100000000000001" customHeight="1" x14ac:dyDescent="0.2">
      <c r="B179" s="361" t="s">
        <v>259</v>
      </c>
      <c r="C179" s="362" t="s">
        <v>3166</v>
      </c>
      <c r="D179" s="337" t="str">
        <f>C179</f>
        <v>vra-http-monitor</v>
      </c>
      <c r="E179" s="32"/>
    </row>
    <row r="180" spans="2:5" s="8" customFormat="1" ht="20.100000000000001" customHeight="1" x14ac:dyDescent="0.2"/>
    <row r="181" spans="2:5" s="8" customFormat="1" ht="15.95" customHeight="1" x14ac:dyDescent="0.2">
      <c r="B181" s="553" t="s">
        <v>3167</v>
      </c>
      <c r="C181" s="553"/>
      <c r="D181" s="553"/>
      <c r="E181" s="553"/>
    </row>
    <row r="182" spans="2:5" s="8" customFormat="1" ht="33.950000000000003" customHeight="1" x14ac:dyDescent="0.2">
      <c r="B182" s="43" t="s">
        <v>259</v>
      </c>
      <c r="C182" s="43" t="s">
        <v>711</v>
      </c>
      <c r="D182" s="130" t="s">
        <v>277</v>
      </c>
      <c r="E182" s="43" t="s">
        <v>5</v>
      </c>
    </row>
    <row r="183" spans="2:5" s="8" customFormat="1" ht="20.100000000000001" customHeight="1" x14ac:dyDescent="0.2">
      <c r="B183" s="4" t="s">
        <v>3120</v>
      </c>
      <c r="C183" s="362" t="str">
        <f t="array" ref="C183">IF(mgmt_domain_chosen="First Domain",CONCATENATE(sample_mgmt_nsxt_gm_hostname,".",sample_child_dns_zone),sample_mgmt_existing_active_nsx_gm)</f>
        <v>sfo-m01-nsx-gm01.sfo.rainpole.io</v>
      </c>
      <c r="D183" s="337" t="str">
        <f>_xlfn.SINGLE(IF(mgmt_domain_chosen="First Domain",mgmt_nsxt_gm_vip_fqdn,mgmt_existing_active_nsx_gm))</f>
        <v>Value Missing</v>
      </c>
      <c r="E183" s="32"/>
    </row>
    <row r="184" spans="2:5" s="8" customFormat="1" ht="20.100000000000001" customHeight="1" x14ac:dyDescent="0.2">
      <c r="B184" s="4" t="s">
        <v>3121</v>
      </c>
      <c r="C184" s="362" t="str">
        <f>sample_mgmt_srm_recovery_nsx_location</f>
        <v>lax-m01</v>
      </c>
      <c r="D184" s="337" t="str">
        <f>mgmt_srm_recovery_nsx_location</f>
        <v>Value Missing</v>
      </c>
      <c r="E184" s="32"/>
    </row>
    <row r="185" spans="2:5" s="8" customFormat="1" ht="20.100000000000001" customHeight="1" x14ac:dyDescent="0.2">
      <c r="B185" s="361" t="s">
        <v>259</v>
      </c>
      <c r="C185" s="362" t="s">
        <v>3168</v>
      </c>
      <c r="D185" s="337" t="str">
        <f>C185</f>
        <v>vra-server-pool</v>
      </c>
      <c r="E185" s="32"/>
    </row>
    <row r="186" spans="2:5" s="8" customFormat="1" ht="20.100000000000001" customHeight="1" x14ac:dyDescent="0.2">
      <c r="B186" s="361" t="s">
        <v>3169</v>
      </c>
      <c r="C186" s="362" t="s">
        <v>3170</v>
      </c>
      <c r="D186" s="337" t="str">
        <f>C186</f>
        <v>vra01svr01a</v>
      </c>
      <c r="E186" s="32"/>
    </row>
    <row r="187" spans="2:5" s="8" customFormat="1" ht="20.100000000000001" customHeight="1" x14ac:dyDescent="0.2">
      <c r="B187" s="361" t="s">
        <v>3136</v>
      </c>
      <c r="C187" s="362" t="str">
        <f>sample_xreg_vra_nodea_ip</f>
        <v>10.11.10.46</v>
      </c>
      <c r="D187" s="337" t="str">
        <f>xreg_vra_nodea_ip</f>
        <v>10.100.50.107</v>
      </c>
      <c r="E187" s="32"/>
    </row>
    <row r="188" spans="2:5" s="8" customFormat="1" ht="15.95" customHeight="1" x14ac:dyDescent="0.2">
      <c r="B188" s="361" t="s">
        <v>3171</v>
      </c>
      <c r="C188" s="362" t="s">
        <v>3172</v>
      </c>
      <c r="D188" s="337" t="str">
        <f>C188</f>
        <v>vra01svr01b</v>
      </c>
      <c r="E188" s="32"/>
    </row>
    <row r="189" spans="2:5" s="8" customFormat="1" ht="33.950000000000003" customHeight="1" x14ac:dyDescent="0.2">
      <c r="B189" s="361" t="s">
        <v>3139</v>
      </c>
      <c r="C189" s="362" t="str">
        <f>sample_xreg_vra_nodeb_ip</f>
        <v>10.11.10.47</v>
      </c>
      <c r="D189" s="337" t="str">
        <f>xreg_vra_nodeb_ip</f>
        <v>10.100.50.108</v>
      </c>
      <c r="E189" s="32"/>
    </row>
    <row r="190" spans="2:5" s="8" customFormat="1" ht="20.100000000000001" customHeight="1" x14ac:dyDescent="0.2">
      <c r="B190" s="4" t="s">
        <v>3173</v>
      </c>
      <c r="C190" s="362" t="s">
        <v>3174</v>
      </c>
      <c r="D190" s="337" t="str">
        <f>C190</f>
        <v>vra01svr01c</v>
      </c>
      <c r="E190" s="32"/>
    </row>
    <row r="191" spans="2:5" s="8" customFormat="1" ht="20.100000000000001" customHeight="1" x14ac:dyDescent="0.2">
      <c r="B191" s="4" t="s">
        <v>3142</v>
      </c>
      <c r="C191" s="362" t="str">
        <f>sample_xreg_vra_nodec_ip</f>
        <v>10.11.10.48</v>
      </c>
      <c r="D191" s="337" t="str">
        <f>xreg_vra_nodec_ip</f>
        <v>10.100.50.109</v>
      </c>
      <c r="E191" s="32"/>
    </row>
    <row r="192" spans="2:5" s="8" customFormat="1" ht="20.100000000000001" customHeight="1" x14ac:dyDescent="0.2">
      <c r="B192" s="361" t="s">
        <v>3143</v>
      </c>
      <c r="C192" s="362" t="s">
        <v>3166</v>
      </c>
      <c r="D192" s="337" t="str">
        <f>C192</f>
        <v>vra-http-monitor</v>
      </c>
      <c r="E192" s="32"/>
    </row>
    <row r="193" spans="2:5" s="8" customFormat="1" ht="20.100000000000001" customHeight="1" x14ac:dyDescent="0.2"/>
    <row r="194" spans="2:5" s="8" customFormat="1" ht="20.100000000000001" customHeight="1" x14ac:dyDescent="0.2">
      <c r="B194" s="553" t="s">
        <v>3175</v>
      </c>
      <c r="C194" s="553"/>
      <c r="D194" s="553"/>
      <c r="E194" s="553"/>
    </row>
    <row r="195" spans="2:5" s="8" customFormat="1" ht="20.100000000000001" customHeight="1" x14ac:dyDescent="0.2">
      <c r="B195" s="43" t="s">
        <v>259</v>
      </c>
      <c r="C195" s="43" t="s">
        <v>711</v>
      </c>
      <c r="D195" s="130" t="s">
        <v>277</v>
      </c>
      <c r="E195" s="43" t="s">
        <v>5</v>
      </c>
    </row>
    <row r="196" spans="2:5" s="8" customFormat="1" ht="20.100000000000001" customHeight="1" x14ac:dyDescent="0.2">
      <c r="B196" s="4" t="s">
        <v>3120</v>
      </c>
      <c r="C196" s="362" t="str">
        <f t="array" ref="C196">IF(mgmt_domain_chosen="First Domain",CONCATENATE(sample_mgmt_nsxt_gm_hostname,".",sample_child_dns_zone),sample_mgmt_existing_active_nsx_gm)</f>
        <v>sfo-m01-nsx-gm01.sfo.rainpole.io</v>
      </c>
      <c r="D196" s="337" t="str">
        <f>_xlfn.SINGLE(IF(mgmt_domain_chosen="First Domain",mgmt_nsxt_gm_vip_fqdn,mgmt_existing_active_nsx_gm))</f>
        <v>Value Missing</v>
      </c>
      <c r="E196" s="32"/>
    </row>
    <row r="197" spans="2:5" s="8" customFormat="1" ht="20.100000000000001" customHeight="1" x14ac:dyDescent="0.2">
      <c r="B197" s="4" t="s">
        <v>3121</v>
      </c>
      <c r="C197" s="362" t="str">
        <f>sample_mgmt_srm_recovery_nsx_location</f>
        <v>lax-m01</v>
      </c>
      <c r="D197" s="337" t="str">
        <f>mgmt_srm_recovery_nsx_location</f>
        <v>Value Missing</v>
      </c>
      <c r="E197" s="32"/>
    </row>
    <row r="198" spans="2:5" s="8" customFormat="1" ht="20.100000000000001" customHeight="1" x14ac:dyDescent="0.2">
      <c r="B198" s="361" t="s">
        <v>3145</v>
      </c>
      <c r="C198" s="362" t="s">
        <v>3176</v>
      </c>
      <c r="D198" s="337" t="str">
        <f>C198</f>
        <v>vra-tcp-app-profile</v>
      </c>
      <c r="E198" s="32"/>
    </row>
    <row r="199" spans="2:5" s="8" customFormat="1" ht="20.100000000000001" customHeight="1" x14ac:dyDescent="0.2">
      <c r="B199" s="361" t="s">
        <v>3147</v>
      </c>
      <c r="C199" s="362" t="s">
        <v>3177</v>
      </c>
      <c r="D199" s="337" t="str">
        <f>C199</f>
        <v>vra-http-app-profile-redirect</v>
      </c>
      <c r="E199" s="32"/>
    </row>
    <row r="200" spans="2:5" s="8" customFormat="1" ht="20.100000000000001" customHeight="1" x14ac:dyDescent="0.2"/>
    <row r="201" spans="2:5" s="8" customFormat="1" ht="20.100000000000001" customHeight="1" x14ac:dyDescent="0.2">
      <c r="B201" s="553" t="s">
        <v>3178</v>
      </c>
      <c r="C201" s="553"/>
      <c r="D201" s="553"/>
      <c r="E201" s="553"/>
    </row>
    <row r="202" spans="2:5" s="8" customFormat="1" ht="15.95" customHeight="1" x14ac:dyDescent="0.2">
      <c r="B202" s="43" t="s">
        <v>259</v>
      </c>
      <c r="C202" s="43" t="s">
        <v>711</v>
      </c>
      <c r="D202" s="130" t="s">
        <v>277</v>
      </c>
      <c r="E202" s="43" t="s">
        <v>5</v>
      </c>
    </row>
    <row r="203" spans="2:5" s="8" customFormat="1" ht="33.950000000000003" customHeight="1" x14ac:dyDescent="0.2">
      <c r="B203" s="4" t="s">
        <v>3120</v>
      </c>
      <c r="C203" s="362" t="str">
        <f t="array" ref="C203">IF(mgmt_domain_chosen="First Domain",CONCATENATE(sample_mgmt_nsxt_gm_hostname,".",sample_child_dns_zone),sample_mgmt_existing_active_nsx_gm)</f>
        <v>sfo-m01-nsx-gm01.sfo.rainpole.io</v>
      </c>
      <c r="D203" s="337" t="str">
        <f>_xlfn.SINGLE(IF(mgmt_domain_chosen="First Domain",mgmt_nsxt_gm_vip_fqdn,mgmt_existing_active_nsx_gm))</f>
        <v>Value Missing</v>
      </c>
      <c r="E203" s="32"/>
    </row>
    <row r="204" spans="2:5" s="8" customFormat="1" ht="20.100000000000001" customHeight="1" x14ac:dyDescent="0.2">
      <c r="B204" s="4" t="s">
        <v>3121</v>
      </c>
      <c r="C204" s="362" t="str">
        <f>sample_mgmt_srm_recovery_nsx_location</f>
        <v>lax-m01</v>
      </c>
      <c r="D204" s="337" t="str">
        <f>mgmt_srm_recovery_nsx_location</f>
        <v>Value Missing</v>
      </c>
      <c r="E204" s="32"/>
    </row>
    <row r="205" spans="2:5" s="8" customFormat="1" ht="20.100000000000001" customHeight="1" x14ac:dyDescent="0.2">
      <c r="B205" s="361" t="s">
        <v>3152</v>
      </c>
      <c r="C205" s="362" t="s">
        <v>3179</v>
      </c>
      <c r="D205" s="337" t="str">
        <f>C205</f>
        <v>vra-https</v>
      </c>
      <c r="E205" s="32"/>
    </row>
    <row r="206" spans="2:5" s="8" customFormat="1" ht="20.100000000000001" customHeight="1" x14ac:dyDescent="0.2">
      <c r="B206" s="361" t="s">
        <v>3180</v>
      </c>
      <c r="C206" s="362" t="str">
        <f>sample_xreg_vra_virtual_ip</f>
        <v>10.11.10.25</v>
      </c>
      <c r="D206" s="337" t="str">
        <f>xreg_vra_virtual_ip</f>
        <v>10.100.50.106</v>
      </c>
      <c r="E206" s="32"/>
    </row>
    <row r="207" spans="2:5" s="8" customFormat="1" ht="20.100000000000001" customHeight="1" x14ac:dyDescent="0.2">
      <c r="B207" s="361" t="s">
        <v>3155</v>
      </c>
      <c r="C207" s="362" t="s">
        <v>3128</v>
      </c>
      <c r="D207" s="337" t="str">
        <f>C207</f>
        <v>recovery-lb01</v>
      </c>
      <c r="E207" s="32"/>
    </row>
    <row r="208" spans="2:5" s="8" customFormat="1" ht="20.100000000000001" customHeight="1" x14ac:dyDescent="0.2">
      <c r="B208" s="361" t="s">
        <v>3181</v>
      </c>
      <c r="C208" s="362" t="s">
        <v>3168</v>
      </c>
      <c r="D208" s="337" t="str">
        <f>C208</f>
        <v>vra-server-pool</v>
      </c>
      <c r="E208" s="32"/>
    </row>
    <row r="209" spans="2:5" s="8" customFormat="1" ht="20.100000000000001" customHeight="1" x14ac:dyDescent="0.2">
      <c r="B209" s="361" t="s">
        <v>3182</v>
      </c>
      <c r="C209" s="362" t="s">
        <v>3176</v>
      </c>
      <c r="D209" s="337" t="str">
        <f>C209</f>
        <v>vra-tcp-app-profile</v>
      </c>
      <c r="E209" s="32"/>
    </row>
    <row r="210" spans="2:5" s="8" customFormat="1" ht="15.95" customHeight="1" x14ac:dyDescent="0.2">
      <c r="B210" s="4" t="s">
        <v>3183</v>
      </c>
      <c r="C210" s="362" t="s">
        <v>3184</v>
      </c>
      <c r="D210" s="337" t="str">
        <f>C210</f>
        <v>vra-http-redirect</v>
      </c>
      <c r="E210" s="32"/>
    </row>
    <row r="211" spans="2:5" s="8" customFormat="1" ht="33.950000000000003" customHeight="1" x14ac:dyDescent="0.2">
      <c r="B211" s="4" t="s">
        <v>3161</v>
      </c>
      <c r="C211" s="362" t="str">
        <f>sample_xreg_vra_virtual_ip</f>
        <v>10.11.10.25</v>
      </c>
      <c r="D211" s="337" t="str">
        <f>xreg_vra_virtual_ip</f>
        <v>10.100.50.106</v>
      </c>
      <c r="E211" s="32"/>
    </row>
    <row r="212" spans="2:5" s="8" customFormat="1" ht="20.100000000000001" customHeight="1" x14ac:dyDescent="0.2">
      <c r="B212" s="361" t="s">
        <v>3162</v>
      </c>
      <c r="C212" s="362" t="s">
        <v>3128</v>
      </c>
      <c r="D212" s="337" t="str">
        <f>C212</f>
        <v>recovery-lb01</v>
      </c>
      <c r="E212" s="32"/>
    </row>
    <row r="213" spans="2:5" s="8" customFormat="1" ht="20.100000000000001" customHeight="1" x14ac:dyDescent="0.2">
      <c r="B213" s="361" t="s">
        <v>3185</v>
      </c>
      <c r="C213" s="362" t="s">
        <v>3177</v>
      </c>
      <c r="D213" s="337" t="str">
        <f>C213</f>
        <v>vra-http-app-profile-redirect</v>
      </c>
      <c r="E213" s="32"/>
    </row>
    <row r="214" spans="2:5" s="8" customFormat="1" ht="20.100000000000001" customHeight="1" x14ac:dyDescent="0.2"/>
    <row r="216" spans="2:5" s="8" customFormat="1" ht="14.1" customHeight="1" x14ac:dyDescent="0.2"/>
    <row r="217" spans="2:5" s="8" customFormat="1" ht="20.100000000000001" customHeight="1" x14ac:dyDescent="0.2">
      <c r="B217" s="552" t="s">
        <v>1990</v>
      </c>
      <c r="C217" s="553"/>
      <c r="D217" s="553"/>
      <c r="E217" s="553"/>
    </row>
    <row r="218" spans="2:5" s="8" customFormat="1" ht="20.100000000000001" customHeight="1" x14ac:dyDescent="0.2"/>
    <row r="219" spans="2:5" s="8" customFormat="1" ht="20.100000000000001" customHeight="1" x14ac:dyDescent="0.2">
      <c r="B219" s="552" t="s">
        <v>3186</v>
      </c>
      <c r="C219" s="553"/>
      <c r="D219" s="553"/>
      <c r="E219" s="553"/>
    </row>
    <row r="220" spans="2:5" s="8" customFormat="1" ht="20.100000000000001" customHeight="1" x14ac:dyDescent="0.2"/>
    <row r="221" spans="2:5" s="8" customFormat="1" ht="20.100000000000001" customHeight="1" x14ac:dyDescent="0.2">
      <c r="B221" s="553" t="s">
        <v>3187</v>
      </c>
      <c r="C221" s="553"/>
      <c r="D221" s="553"/>
      <c r="E221" s="553"/>
    </row>
    <row r="222" spans="2:5" s="8" customFormat="1" ht="20.100000000000001" customHeight="1" x14ac:dyDescent="0.2">
      <c r="B222" s="43" t="s">
        <v>259</v>
      </c>
      <c r="C222" s="43" t="s">
        <v>711</v>
      </c>
      <c r="D222" s="130" t="s">
        <v>277</v>
      </c>
      <c r="E222" s="43" t="s">
        <v>5</v>
      </c>
    </row>
    <row r="223" spans="2:5" s="8" customFormat="1" ht="20.100000000000001" customHeight="1" x14ac:dyDescent="0.2">
      <c r="B223" s="4" t="s">
        <v>815</v>
      </c>
      <c r="C223" s="362" t="str">
        <f>sample_wld_vc_fqdn</f>
        <v>sfo-w01-vc01.sfo.rainpole.io</v>
      </c>
      <c r="D223" s="337" t="str">
        <f>wld_vc_fqdn</f>
        <v>Value Missing</v>
      </c>
      <c r="E223" s="32"/>
    </row>
    <row r="224" spans="2:5" s="8" customFormat="1" ht="15.95" customHeight="1" x14ac:dyDescent="0.2">
      <c r="B224" s="4" t="s">
        <v>3108</v>
      </c>
      <c r="C224" s="362" t="str">
        <f>sample_wld_vrms_vm_folder</f>
        <v>sfo-w01-fd-vrms</v>
      </c>
      <c r="D224" s="337" t="str">
        <f>wld_vrms_vm_folder</f>
        <v>Value Missing</v>
      </c>
      <c r="E224" s="32"/>
    </row>
    <row r="225" spans="2:5" s="8" customFormat="1" ht="33.950000000000003" customHeight="1" x14ac:dyDescent="0.2"/>
    <row r="226" spans="2:5" s="8" customFormat="1" ht="20.100000000000001" customHeight="1" x14ac:dyDescent="0.2">
      <c r="B226" s="553" t="s">
        <v>3188</v>
      </c>
      <c r="C226" s="553"/>
      <c r="D226" s="553"/>
      <c r="E226" s="553"/>
    </row>
    <row r="227" spans="2:5" s="8" customFormat="1" ht="20.100000000000001" customHeight="1" x14ac:dyDescent="0.2">
      <c r="B227" s="43" t="s">
        <v>259</v>
      </c>
      <c r="C227" s="43" t="s">
        <v>711</v>
      </c>
      <c r="D227" s="130" t="s">
        <v>277</v>
      </c>
      <c r="E227" s="43" t="s">
        <v>5</v>
      </c>
    </row>
    <row r="228" spans="2:5" s="8" customFormat="1" ht="20.100000000000001" customHeight="1" x14ac:dyDescent="0.2">
      <c r="B228" s="4" t="s">
        <v>815</v>
      </c>
      <c r="C228" s="362" t="str">
        <f>sample_wld_vc_fqdn</f>
        <v>sfo-w01-vc01.sfo.rainpole.io</v>
      </c>
      <c r="D228" s="337" t="str">
        <f>wld_vc_fqdn</f>
        <v>Value Missing</v>
      </c>
      <c r="E228" s="32"/>
    </row>
    <row r="229" spans="2:5" s="8" customFormat="1" ht="20.100000000000001" customHeight="1" x14ac:dyDescent="0.2">
      <c r="B229" s="361" t="s">
        <v>1165</v>
      </c>
      <c r="C229" s="362" t="str">
        <f>sample_wld_cl01_cluster</f>
        <v>sfo-w01-cl01</v>
      </c>
      <c r="D229" s="337" t="str">
        <f>wld_cl01_cluster</f>
        <v>Value Missing</v>
      </c>
      <c r="E229" s="32"/>
    </row>
    <row r="230" spans="2:5" s="8" customFormat="1" ht="20.100000000000001" customHeight="1" x14ac:dyDescent="0.2">
      <c r="B230" s="361" t="s">
        <v>3189</v>
      </c>
      <c r="C230" s="362" t="str">
        <f>sample_wld_vrms_hostname</f>
        <v>sfo-w01-vrms01</v>
      </c>
      <c r="D230" s="337" t="str">
        <f>wld_vrms_hostname</f>
        <v>Value Missing</v>
      </c>
      <c r="E230" s="32"/>
    </row>
    <row r="231" spans="2:5" s="8" customFormat="1" ht="20.100000000000001" customHeight="1" x14ac:dyDescent="0.2">
      <c r="B231" s="361" t="s">
        <v>3190</v>
      </c>
      <c r="C231" s="362" t="str">
        <f>sample_wld_vrms_vm_folder</f>
        <v>sfo-w01-fd-vrms</v>
      </c>
      <c r="D231" s="337" t="str">
        <f>wld_vrms_vm_folder</f>
        <v>Value Missing</v>
      </c>
      <c r="E231" s="32"/>
    </row>
    <row r="232" spans="2:5" s="8" customFormat="1" ht="20.100000000000001" customHeight="1" x14ac:dyDescent="0.2">
      <c r="B232" s="361" t="s">
        <v>3191</v>
      </c>
      <c r="C232" s="362" t="str">
        <f>sample_wld_cl01_cluster</f>
        <v>sfo-w01-cl01</v>
      </c>
      <c r="D232" s="337" t="str">
        <f>wld_cl01_cluster</f>
        <v>Value Missing</v>
      </c>
      <c r="E232" s="32"/>
    </row>
    <row r="233" spans="2:5" s="8" customFormat="1" x14ac:dyDescent="0.2">
      <c r="B233" s="361" t="s">
        <v>587</v>
      </c>
      <c r="C233" s="362" t="str">
        <f>sample_wld_cl01_vsan_datastore</f>
        <v>sfo-w01-sfo-w01-cl01-vsan01</v>
      </c>
      <c r="D233" s="337" t="str">
        <f>wld_cl01_vsan_datastore</f>
        <v>Value Missing</v>
      </c>
      <c r="E233" s="32"/>
    </row>
    <row r="234" spans="2:5" s="8" customFormat="1" ht="33.950000000000003" customHeight="1" x14ac:dyDescent="0.2">
      <c r="B234" s="4" t="s">
        <v>3192</v>
      </c>
      <c r="C234" s="362" t="str">
        <f>sample_wld_cl01_az1_mgmt_pg</f>
        <v>sfo-w01-cl01-vds01-pg-esxi-mgmt</v>
      </c>
      <c r="D234" s="337" t="str">
        <f>wld_cl01_az1_mgmt_pg</f>
        <v>Value Missing</v>
      </c>
      <c r="E234" s="32"/>
    </row>
    <row r="235" spans="2:5" s="8" customFormat="1" ht="15.95" customHeight="1" x14ac:dyDescent="0.2">
      <c r="B235" s="4" t="s">
        <v>3193</v>
      </c>
      <c r="C235" s="362" t="str">
        <f>sample_wld_vrms_root_password</f>
        <v>VMw@re1!</v>
      </c>
      <c r="D235" s="337" t="str">
        <f>wld_vrms_root_password</f>
        <v>Value Missing</v>
      </c>
      <c r="E235" s="32"/>
    </row>
    <row r="236" spans="2:5" s="8" customFormat="1" ht="33.950000000000003" customHeight="1" x14ac:dyDescent="0.2">
      <c r="B236" s="361" t="s">
        <v>3194</v>
      </c>
      <c r="C236" s="362" t="str">
        <f>sample_wld_vrms_admin_password</f>
        <v>VMw@re1!</v>
      </c>
      <c r="D236" s="337" t="str">
        <f>wld_vrms_admin_password</f>
        <v>Value Missing</v>
      </c>
      <c r="E236" s="32"/>
    </row>
    <row r="237" spans="2:5" s="8" customFormat="1" ht="15.95" customHeight="1" x14ac:dyDescent="0.2">
      <c r="B237" s="361" t="s">
        <v>746</v>
      </c>
      <c r="C237" s="362" t="str">
        <f>sample_region_ntp1_server</f>
        <v>ntp0.sfo.rainpole.io</v>
      </c>
      <c r="D237" s="337" t="str">
        <f>region_ntp1_server</f>
        <v>10.255.50.26</v>
      </c>
      <c r="E237" s="32"/>
    </row>
    <row r="238" spans="2:5" s="8" customFormat="1" ht="33.950000000000003" customHeight="1" x14ac:dyDescent="0.2">
      <c r="B238" s="4" t="s">
        <v>749</v>
      </c>
      <c r="C238" s="362" t="str">
        <f>CONCATENATE(sample_wld_vrms_hostname,".",sample_child_dns_zone)</f>
        <v>sfo-w01-vrms01.sfo.rainpole.io</v>
      </c>
      <c r="D238" s="337" t="str">
        <f>wld_vrms_fqdn</f>
        <v>Value Missing.Value Missing</v>
      </c>
      <c r="E238" s="32"/>
    </row>
    <row r="239" spans="2:5" s="8" customFormat="1" ht="20.100000000000001" customHeight="1" x14ac:dyDescent="0.2">
      <c r="B239" s="4" t="s">
        <v>708</v>
      </c>
      <c r="C239" s="362" t="str">
        <f>sample_wld_az1_mgmt_vm_gateway_ip</f>
        <v>10.13.10.1</v>
      </c>
      <c r="D239" s="337" t="str">
        <f>wld_az1_mgmt_vm_gateway_ip</f>
        <v>Value Missing</v>
      </c>
      <c r="E239" s="32"/>
    </row>
    <row r="240" spans="2:5" s="8" customFormat="1" ht="20.100000000000001" customHeight="1" x14ac:dyDescent="0.2">
      <c r="B240" s="361" t="s">
        <v>354</v>
      </c>
      <c r="C240" s="362" t="str">
        <f>sample_child_dns_zone</f>
        <v>sfo.rainpole.io</v>
      </c>
      <c r="D240" s="337" t="str">
        <f>child_dns_zone</f>
        <v>Value Missing</v>
      </c>
      <c r="E240" s="32"/>
    </row>
    <row r="241" spans="2:5" s="8" customFormat="1" ht="20.100000000000001" customHeight="1" x14ac:dyDescent="0.2">
      <c r="B241" s="361" t="s">
        <v>3195</v>
      </c>
      <c r="C241" s="362" t="str">
        <f>sample_child_dns_zone</f>
        <v>sfo.rainpole.io</v>
      </c>
      <c r="D241" s="337" t="str">
        <f>child_dns_zone</f>
        <v>Value Missing</v>
      </c>
      <c r="E241" s="32"/>
    </row>
    <row r="242" spans="2:5" s="8" customFormat="1" ht="15.95" customHeight="1" x14ac:dyDescent="0.2">
      <c r="B242" s="361" t="s">
        <v>3196</v>
      </c>
      <c r="C242" s="362" t="str">
        <f>CONCATENATE(sample_region_dns1_ip,",",sample_region_dns2_ip)</f>
        <v>10.11.10.4,10.11.10.5</v>
      </c>
      <c r="D242" s="337" t="str">
        <f>CONCATENATE(region_dns1_ip,",",region_dns2_ip)</f>
        <v>10.255.50.26,Value Missing</v>
      </c>
      <c r="E242" s="32"/>
    </row>
    <row r="243" spans="2:5" s="8" customFormat="1" ht="33.950000000000003" customHeight="1" x14ac:dyDescent="0.2">
      <c r="B243" s="361" t="s">
        <v>3197</v>
      </c>
      <c r="C243" s="362" t="str">
        <f>sample_wld_vrms_mgmt_ip</f>
        <v>10.13.10.125</v>
      </c>
      <c r="D243" s="337" t="str">
        <f>wld_vrms_mgmt_ip</f>
        <v>Value Missing</v>
      </c>
      <c r="E243" s="32"/>
    </row>
    <row r="244" spans="2:5" s="8" customFormat="1" ht="20.100000000000001" customHeight="1" x14ac:dyDescent="0.2">
      <c r="B244" s="361" t="s">
        <v>3198</v>
      </c>
      <c r="C244" s="362">
        <f>INT(RIGHT(sample_wld_az1_mgmt_cidr,LEN(sample_wld_az1_mgmt_cidr)-FIND("/",sample_wld_az1_mgmt_cidr)))</f>
        <v>24</v>
      </c>
      <c r="D244" s="337" t="str">
        <f>IF(wld_az1_mgmt_cidr="Value Missing","Value Missing",IF(wld_az1_mgmt_cidr="Not Required","Not Required",INT(RIGHT(wld_az1_mgmt_cidr,LEN(wld_az1_mgmt_cidr)-FIND("/",wld_az1_mgmt_cidr)))))</f>
        <v>Value Missing</v>
      </c>
      <c r="E244" s="32"/>
    </row>
    <row r="245" spans="2:5" s="8" customFormat="1" ht="20.100000000000001" customHeight="1" x14ac:dyDescent="0.2"/>
    <row r="246" spans="2:5" s="8" customFormat="1" ht="20.100000000000001" customHeight="1" x14ac:dyDescent="0.2">
      <c r="B246" s="553" t="s">
        <v>3199</v>
      </c>
      <c r="C246" s="553"/>
      <c r="D246" s="553"/>
      <c r="E246" s="553"/>
    </row>
    <row r="247" spans="2:5" s="8" customFormat="1" ht="20.100000000000001" customHeight="1" x14ac:dyDescent="0.2">
      <c r="B247" s="43" t="s">
        <v>259</v>
      </c>
      <c r="C247" s="43" t="s">
        <v>711</v>
      </c>
      <c r="D247" s="130" t="s">
        <v>277</v>
      </c>
      <c r="E247" s="43" t="s">
        <v>5</v>
      </c>
    </row>
    <row r="248" spans="2:5" s="8" customFormat="1" ht="20.100000000000001" customHeight="1" x14ac:dyDescent="0.2">
      <c r="B248" s="4" t="s">
        <v>3200</v>
      </c>
      <c r="C248" s="362" t="str">
        <f>CONCATENATE(sample_wld_vrms_hostname,".",sample_child_dns_zone)</f>
        <v>sfo-w01-vrms01.sfo.rainpole.io</v>
      </c>
      <c r="D248" s="337" t="str">
        <f>wld_vrms_fqdn</f>
        <v>Value Missing.Value Missing</v>
      </c>
      <c r="E248" s="32"/>
    </row>
    <row r="249" spans="2:5" s="8" customFormat="1" ht="20.100000000000001" customHeight="1" x14ac:dyDescent="0.2">
      <c r="B249" s="4" t="s">
        <v>3201</v>
      </c>
      <c r="C249" s="362" t="str">
        <f>sample_wld_vrms_p12_password</f>
        <v>VMw@re1!</v>
      </c>
      <c r="D249" s="337" t="str">
        <f>wld_vrms_p12_password</f>
        <v>Value Missing</v>
      </c>
      <c r="E249" s="32"/>
    </row>
    <row r="250" spans="2:5" s="8" customFormat="1" ht="20.100000000000001" customHeight="1" x14ac:dyDescent="0.2"/>
    <row r="251" spans="2:5" s="8" customFormat="1" ht="20.100000000000001" customHeight="1" x14ac:dyDescent="0.2">
      <c r="B251" s="553" t="s">
        <v>3202</v>
      </c>
      <c r="C251" s="553"/>
      <c r="D251" s="553"/>
      <c r="E251" s="553"/>
    </row>
    <row r="252" spans="2:5" s="8" customFormat="1" ht="20.100000000000001" customHeight="1" x14ac:dyDescent="0.2">
      <c r="B252" s="43" t="s">
        <v>259</v>
      </c>
      <c r="C252" s="43" t="s">
        <v>711</v>
      </c>
      <c r="D252" s="130" t="s">
        <v>277</v>
      </c>
      <c r="E252" s="43" t="s">
        <v>5</v>
      </c>
    </row>
    <row r="253" spans="2:5" s="8" customFormat="1" ht="20.100000000000001" customHeight="1" x14ac:dyDescent="0.2">
      <c r="B253" s="4" t="s">
        <v>3200</v>
      </c>
      <c r="C253" s="362" t="str">
        <f>CONCATENATE(sample_wld_vrms_hostname,".",sample_child_dns_zone)</f>
        <v>sfo-w01-vrms01.sfo.rainpole.io</v>
      </c>
      <c r="D253" s="337" t="str">
        <f>wld_vrms_fqdn</f>
        <v>Value Missing.Value Missing</v>
      </c>
      <c r="E253" s="32"/>
    </row>
    <row r="254" spans="2:5" s="8" customFormat="1" ht="20.100000000000001" customHeight="1" x14ac:dyDescent="0.2">
      <c r="B254" s="361" t="s">
        <v>3203</v>
      </c>
      <c r="C254" s="362" t="str">
        <f>sample_wld_vc_fqdn</f>
        <v>sfo-w01-vc01.sfo.rainpole.io</v>
      </c>
      <c r="D254" s="337" t="str">
        <f>wld_vc_fqdn</f>
        <v>Value Missing</v>
      </c>
      <c r="E254" s="32"/>
    </row>
    <row r="255" spans="2:5" s="8" customFormat="1" ht="20.100000000000001" customHeight="1" x14ac:dyDescent="0.2">
      <c r="B255" s="361" t="s">
        <v>565</v>
      </c>
      <c r="C255" s="362" t="s">
        <v>357</v>
      </c>
      <c r="D255" s="337" t="str">
        <f>C255</f>
        <v>administrator@vsphere.local</v>
      </c>
      <c r="E255" s="32"/>
    </row>
    <row r="256" spans="2:5" s="8" customFormat="1" ht="20.100000000000001" customHeight="1" x14ac:dyDescent="0.2">
      <c r="B256" s="361" t="s">
        <v>296</v>
      </c>
      <c r="C256" s="362" t="str">
        <f>sample_administrator_vsphere_local_password</f>
        <v>VMw@re1!VMw@re1!</v>
      </c>
      <c r="D256" s="337" t="str">
        <f>administrator_vsphere_local_password</f>
        <v>VMware123!VMware123!</v>
      </c>
      <c r="E256" s="32"/>
    </row>
    <row r="257" spans="2:5" s="8" customFormat="1" ht="20.100000000000001" customHeight="1" x14ac:dyDescent="0.2">
      <c r="B257" s="361" t="s">
        <v>2026</v>
      </c>
      <c r="C257" s="362" t="str">
        <f>sample_wld_vc_fqdn</f>
        <v>sfo-w01-vc01.sfo.rainpole.io</v>
      </c>
      <c r="D257" s="337" t="str">
        <f>wld_vc_fqdn</f>
        <v>Value Missing</v>
      </c>
      <c r="E257" s="32"/>
    </row>
    <row r="258" spans="2:5" s="8" customFormat="1" ht="20.100000000000001" customHeight="1" x14ac:dyDescent="0.2">
      <c r="B258" s="361" t="s">
        <v>3088</v>
      </c>
      <c r="C258" s="362" t="str">
        <f>sample_wld_vrms_site_name</f>
        <v>SFO-W01</v>
      </c>
      <c r="D258" s="337" t="str">
        <f>wld_vrms_site_name</f>
        <v>Value Missing</v>
      </c>
      <c r="E258" s="32"/>
    </row>
    <row r="259" spans="2:5" s="8" customFormat="1" ht="20.100000000000001" customHeight="1" x14ac:dyDescent="0.2">
      <c r="B259" s="4" t="s">
        <v>3204</v>
      </c>
      <c r="C259" s="362" t="str">
        <f>sample_wld_vrms_admin_email</f>
        <v>vrms-administrator@rainpole.io</v>
      </c>
      <c r="D259" s="337" t="str">
        <f>wld_vrms_admin_email</f>
        <v>Value Missing</v>
      </c>
      <c r="E259" s="32"/>
    </row>
    <row r="260" spans="2:5" s="8" customFormat="1" ht="20.100000000000001" customHeight="1" x14ac:dyDescent="0.2">
      <c r="B260" s="4" t="s">
        <v>3205</v>
      </c>
      <c r="C260" s="362" t="str">
        <f>CONCATENATE(sample_wld_vrms_hostname,".",sample_child_dns_zone)</f>
        <v>sfo-w01-vrms01.sfo.rainpole.io</v>
      </c>
      <c r="D260" s="337" t="str">
        <f>wld_vrms_fqdn</f>
        <v>Value Missing.Value Missing</v>
      </c>
      <c r="E260" s="32"/>
    </row>
    <row r="261" spans="2:5" s="8" customFormat="1" ht="20.100000000000001" customHeight="1" x14ac:dyDescent="0.2"/>
    <row r="262" spans="2:5" s="8" customFormat="1" ht="15.95" customHeight="1" x14ac:dyDescent="0.2">
      <c r="B262" s="553" t="s">
        <v>3206</v>
      </c>
      <c r="C262" s="553"/>
      <c r="D262" s="553"/>
      <c r="E262" s="553"/>
    </row>
    <row r="263" spans="2:5" s="8" customFormat="1" ht="33.950000000000003" customHeight="1" x14ac:dyDescent="0.2">
      <c r="B263" s="43" t="s">
        <v>259</v>
      </c>
      <c r="C263" s="43" t="s">
        <v>711</v>
      </c>
      <c r="D263" s="130" t="s">
        <v>277</v>
      </c>
      <c r="E263" s="43" t="s">
        <v>5</v>
      </c>
    </row>
    <row r="264" spans="2:5" s="8" customFormat="1" ht="20.100000000000001" customHeight="1" x14ac:dyDescent="0.2">
      <c r="B264" s="361" t="s">
        <v>815</v>
      </c>
      <c r="C264" s="362" t="str">
        <f>sample_wld_vc_fqdn</f>
        <v>sfo-w01-vc01.sfo.rainpole.io</v>
      </c>
      <c r="D264" s="337" t="str">
        <f>wld_vc_fqdn</f>
        <v>Value Missing</v>
      </c>
      <c r="E264" s="32"/>
    </row>
    <row r="265" spans="2:5" s="8" customFormat="1" ht="20.100000000000001" customHeight="1" x14ac:dyDescent="0.2">
      <c r="B265" s="361" t="s">
        <v>3207</v>
      </c>
      <c r="C265" s="362" t="str">
        <f>sample_mgmt_cl01_vds01_name</f>
        <v>sfo-m01-cl01-vds01</v>
      </c>
      <c r="D265" s="337" t="str">
        <f>mgmt_cl01_vds01_name</f>
        <v>LABVCFLAN01</v>
      </c>
      <c r="E265" s="32"/>
    </row>
    <row r="266" spans="2:5" s="8" customFormat="1" ht="20.100000000000001" customHeight="1" x14ac:dyDescent="0.2">
      <c r="B266" s="417" t="s">
        <v>3208</v>
      </c>
      <c r="C266" s="418"/>
      <c r="D266" s="418"/>
      <c r="E266" s="419"/>
    </row>
    <row r="267" spans="2:5" s="8" customFormat="1" ht="15.95" customHeight="1" x14ac:dyDescent="0.2">
      <c r="B267" s="361" t="s">
        <v>259</v>
      </c>
      <c r="D267" s="337" t="str">
        <f>wld_vrms_pg</f>
        <v>Value Missing</v>
      </c>
      <c r="E267" s="32"/>
    </row>
    <row r="268" spans="2:5" s="8" customFormat="1" ht="33.950000000000003" customHeight="1" x14ac:dyDescent="0.25">
      <c r="B268" s="209" t="s">
        <v>398</v>
      </c>
      <c r="D268" s="347"/>
      <c r="E268" s="210"/>
    </row>
    <row r="269" spans="2:5" s="8" customFormat="1" ht="20.100000000000001" customHeight="1" x14ac:dyDescent="0.25">
      <c r="B269" s="209" t="s">
        <v>399</v>
      </c>
      <c r="C269" s="80" t="str">
        <f>CONCATENATE(prefix_wld_az1_cidr,"9.1")</f>
        <v>10.13.9.1</v>
      </c>
      <c r="D269" s="347"/>
      <c r="E269" s="362" t="s">
        <v>612</v>
      </c>
    </row>
    <row r="270" spans="2:5" s="8" customFormat="1" ht="20.100000000000001" customHeight="1" x14ac:dyDescent="0.25">
      <c r="B270" s="209" t="s">
        <v>400</v>
      </c>
      <c r="C270" s="80" t="str">
        <f>CONCATENATE(prefix_wld_az1_cidr,"9.0/24")</f>
        <v>10.13.9.0/24</v>
      </c>
      <c r="D270" s="347"/>
      <c r="E270" s="210"/>
    </row>
    <row r="271" spans="2:5" s="8" customFormat="1" ht="20.100000000000001" customHeight="1" x14ac:dyDescent="0.2">
      <c r="B271" s="22" t="s">
        <v>401</v>
      </c>
      <c r="C271" s="80">
        <v>9000</v>
      </c>
      <c r="D271" s="347"/>
      <c r="E271" s="210"/>
    </row>
    <row r="272" spans="2:5" s="8" customFormat="1" ht="20.100000000000001" customHeight="1" x14ac:dyDescent="0.2"/>
    <row r="273" spans="2:5" s="8" customFormat="1" ht="20.100000000000001" customHeight="1" x14ac:dyDescent="0.2">
      <c r="B273" s="553" t="s">
        <v>3209</v>
      </c>
      <c r="C273" s="553"/>
      <c r="D273" s="553"/>
      <c r="E273" s="553"/>
    </row>
    <row r="274" spans="2:5" s="8" customFormat="1" ht="20.100000000000001" customHeight="1" x14ac:dyDescent="0.2">
      <c r="B274" s="43" t="s">
        <v>259</v>
      </c>
      <c r="C274" s="43" t="s">
        <v>711</v>
      </c>
      <c r="D274" s="130" t="s">
        <v>277</v>
      </c>
      <c r="E274" s="43" t="s">
        <v>5</v>
      </c>
    </row>
    <row r="275" spans="2:5" s="8" customFormat="1" ht="20.100000000000001" customHeight="1" x14ac:dyDescent="0.2">
      <c r="B275" s="361" t="s">
        <v>815</v>
      </c>
      <c r="C275" s="362" t="str">
        <f>sample_wld_vc_fqdn</f>
        <v>sfo-w01-vc01.sfo.rainpole.io</v>
      </c>
      <c r="D275" s="337" t="str">
        <f>wld_vc_fqdn</f>
        <v>Value Missing</v>
      </c>
      <c r="E275" s="32"/>
    </row>
    <row r="276" spans="2:5" s="8" customFormat="1" ht="20.100000000000001" customHeight="1" x14ac:dyDescent="0.2">
      <c r="B276" s="361" t="s">
        <v>1165</v>
      </c>
      <c r="C276" s="362" t="str">
        <f>sample_wld_cl01_cluster</f>
        <v>sfo-w01-cl01</v>
      </c>
      <c r="D276" s="337" t="str">
        <f>wld_cl01_cluster</f>
        <v>Value Missing</v>
      </c>
      <c r="E276" s="32"/>
    </row>
    <row r="277" spans="2:5" s="8" customFormat="1" ht="20.100000000000001" customHeight="1" x14ac:dyDescent="0.2">
      <c r="B277" s="361" t="s">
        <v>3210</v>
      </c>
      <c r="C277" s="362" t="str">
        <f>sample_wld_vrms_hostname</f>
        <v>sfo-w01-vrms01</v>
      </c>
      <c r="D277" s="337" t="str">
        <f>wld_vrms_hostname</f>
        <v>Value Missing</v>
      </c>
      <c r="E277" s="32"/>
    </row>
    <row r="278" spans="2:5" s="8" customFormat="1" ht="15.95" customHeight="1" x14ac:dyDescent="0.2">
      <c r="B278" s="361" t="s">
        <v>3211</v>
      </c>
      <c r="C278" s="362" t="str">
        <f>sample_wld_vrms_pg</f>
        <v>sfo-w01-cl01-vds01-pg-vrms</v>
      </c>
      <c r="D278" s="337" t="str">
        <f>wld_vrms_pg</f>
        <v>Value Missing</v>
      </c>
      <c r="E278" s="32"/>
    </row>
    <row r="279" spans="2:5" s="8" customFormat="1" ht="33.950000000000003" customHeight="1" x14ac:dyDescent="0.2">
      <c r="B279" s="361" t="s">
        <v>3212</v>
      </c>
      <c r="C279" s="362" t="str">
        <f>CONCATENATE(sample_wld_vrms_hostname,".",sample_child_dns_zone)</f>
        <v>sfo-w01-vrms01.sfo.rainpole.io</v>
      </c>
      <c r="D279" s="337" t="str">
        <f>wld_vrms_fqdn</f>
        <v>Value Missing.Value Missing</v>
      </c>
      <c r="E279" s="32"/>
    </row>
    <row r="280" spans="2:5" s="8" customFormat="1" ht="20.100000000000001" customHeight="1" x14ac:dyDescent="0.2">
      <c r="B280" s="361" t="s">
        <v>3213</v>
      </c>
      <c r="C280" s="362" t="str">
        <f>sample_wld_vrms_vrms_ip</f>
        <v>10.13.16.125</v>
      </c>
      <c r="D280" s="337" t="str">
        <f>wld_vrms_vrms_ip</f>
        <v>Value Missing</v>
      </c>
      <c r="E280" s="32"/>
    </row>
    <row r="281" spans="2:5" s="8" customFormat="1" ht="20.100000000000001" customHeight="1" x14ac:dyDescent="0.2">
      <c r="B281" s="361" t="s">
        <v>3214</v>
      </c>
      <c r="C281" s="362">
        <f>INT(RIGHT(sample_wld_az1_vrms_cidr,LEN(sample_wld_az1_vrms_cidr)-FIND("/",sample_wld_az1_vrms_cidr)))</f>
        <v>24</v>
      </c>
      <c r="D281" s="337" t="str">
        <f>IF(wld_az1_mgmt_cidr="Value Missing","Value Missing",IF(wld_az1_mgmt_cidr="Not Required","Not Required",INT(RIGHT(wld_az1_mgmt_cidr,LEN(wld_az1_mgmt_cidr)-FIND("/",wld_az1_mgmt_cidr)))))</f>
        <v>Value Missing</v>
      </c>
      <c r="E281" s="32"/>
    </row>
    <row r="282" spans="2:5" s="8" customFormat="1" ht="20.100000000000001" customHeight="1" x14ac:dyDescent="0.2">
      <c r="B282" s="4" t="s">
        <v>3215</v>
      </c>
      <c r="C282" s="362" t="str">
        <f>sample_wld_az1_mgmt_gateway_ip</f>
        <v>10.13.11.1</v>
      </c>
      <c r="D282" s="337" t="str">
        <f>wld_az1_mgmt_gateway_ip</f>
        <v>Value Missing</v>
      </c>
      <c r="E282" s="32"/>
    </row>
    <row r="283" spans="2:5" s="8" customFormat="1" ht="20.100000000000001" customHeight="1" x14ac:dyDescent="0.2">
      <c r="B283" s="4" t="s">
        <v>3216</v>
      </c>
      <c r="C283" s="362" t="str">
        <f>sample_wld_vrms_vrms_ip</f>
        <v>10.13.16.125</v>
      </c>
      <c r="D283" s="337" t="str">
        <f>wld_vrms_vrms_ip</f>
        <v>Value Missing</v>
      </c>
      <c r="E283" s="32"/>
    </row>
    <row r="284" spans="2:5" s="8" customFormat="1" ht="20.100000000000001" customHeight="1" x14ac:dyDescent="0.2">
      <c r="B284" s="361" t="s">
        <v>3217</v>
      </c>
      <c r="C284" s="362" t="str">
        <f>sample_wld_az1_vrms_gateway_ip</f>
        <v>10.13.9.1</v>
      </c>
      <c r="D284" s="337" t="str">
        <f>wld_az1_vrms_gateway_ip</f>
        <v>Value Missing</v>
      </c>
      <c r="E284" s="32"/>
    </row>
    <row r="285" spans="2:5" s="8" customFormat="1" ht="20.100000000000001" customHeight="1" x14ac:dyDescent="0.2">
      <c r="B285" s="361" t="s">
        <v>3218</v>
      </c>
      <c r="C285" s="362" t="str">
        <f>sample_wld_vrms_recovery_replication_cidr</f>
        <v>10.21.9.0/24</v>
      </c>
      <c r="D285" s="337" t="str">
        <f t="array" ref="D285">wld_vrms_recovery_replication_cidr</f>
        <v>Value Missing</v>
      </c>
      <c r="E285" s="32"/>
    </row>
    <row r="286" spans="2:5" s="8" customFormat="1" ht="20.100000000000001" customHeight="1" x14ac:dyDescent="0.2"/>
    <row r="287" spans="2:5" s="8" customFormat="1" ht="20.100000000000001" customHeight="1" x14ac:dyDescent="0.2">
      <c r="B287" s="553" t="s">
        <v>3219</v>
      </c>
      <c r="C287" s="553"/>
      <c r="D287" s="553"/>
      <c r="E287" s="553"/>
    </row>
    <row r="288" spans="2:5" s="8" customFormat="1" ht="20.100000000000001" customHeight="1" x14ac:dyDescent="0.2">
      <c r="B288" s="43" t="s">
        <v>259</v>
      </c>
      <c r="C288" s="43" t="s">
        <v>711</v>
      </c>
      <c r="D288" s="130" t="s">
        <v>277</v>
      </c>
      <c r="E288" s="43" t="s">
        <v>5</v>
      </c>
    </row>
    <row r="289" spans="2:5" s="8" customFormat="1" ht="20.100000000000001" customHeight="1" x14ac:dyDescent="0.2">
      <c r="B289" s="361" t="s">
        <v>815</v>
      </c>
      <c r="C289" s="362" t="str">
        <f>sample_wld_vc_fqdn</f>
        <v>sfo-w01-vc01.sfo.rainpole.io</v>
      </c>
      <c r="D289" s="337" t="str">
        <f>wld_vc_fqdn</f>
        <v>Value Missing</v>
      </c>
      <c r="E289" s="32"/>
    </row>
    <row r="290" spans="2:5" s="8" customFormat="1" ht="15.95" customHeight="1" x14ac:dyDescent="0.2">
      <c r="B290" s="361" t="s">
        <v>1165</v>
      </c>
      <c r="C290" s="362" t="str">
        <f>sample_wld_cl01_cluster</f>
        <v>sfo-w01-cl01</v>
      </c>
      <c r="D290" s="337" t="str">
        <f>wld_cl01_cluster</f>
        <v>Value Missing</v>
      </c>
      <c r="E290" s="32"/>
    </row>
    <row r="291" spans="2:5" s="8" customFormat="1" ht="33.950000000000003" customHeight="1" x14ac:dyDescent="0.2">
      <c r="B291" s="4" t="s">
        <v>1040</v>
      </c>
      <c r="C291" s="362" t="str">
        <f>sample_wld_vrms_pg</f>
        <v>sfo-w01-cl01-vds01-pg-vrms</v>
      </c>
      <c r="D291" s="337" t="str">
        <f>wld_vrms_pg</f>
        <v>Value Missing</v>
      </c>
      <c r="E291" s="32"/>
    </row>
    <row r="292" spans="2:5" s="8" customFormat="1" ht="20.100000000000001" customHeight="1" x14ac:dyDescent="0.2">
      <c r="B292" s="618" t="s">
        <v>3220</v>
      </c>
      <c r="C292" s="619"/>
      <c r="D292" s="619"/>
      <c r="E292" s="620"/>
    </row>
    <row r="293" spans="2:5" s="8" customFormat="1" ht="20.100000000000001" customHeight="1" x14ac:dyDescent="0.2">
      <c r="B293" s="361" t="str">
        <f t="array" ref="B293:B308">wld_az1_host_fqdns</f>
        <v>Value Missing</v>
      </c>
      <c r="C293" s="89" t="str">
        <f>CONCATENATE(prefix_wld_az1_cidr,"9.101")</f>
        <v>10.13.9.101</v>
      </c>
      <c r="D293" s="347"/>
      <c r="E293" s="100" t="s">
        <v>3221</v>
      </c>
    </row>
    <row r="294" spans="2:5" s="8" customFormat="1" ht="20.100000000000001" customHeight="1" x14ac:dyDescent="0.2">
      <c r="B294" s="361" t="str">
        <v>Value Missing</v>
      </c>
      <c r="C294" s="89" t="str">
        <f>CONCATENATE(prefix_wld_az1_cidr,"9.102")</f>
        <v>10.13.9.102</v>
      </c>
      <c r="D294" s="347"/>
      <c r="E294" s="100" t="s">
        <v>3222</v>
      </c>
    </row>
    <row r="295" spans="2:5" s="8" customFormat="1" ht="20.100000000000001" customHeight="1" x14ac:dyDescent="0.2">
      <c r="B295" s="361" t="str">
        <v>Value Missing</v>
      </c>
      <c r="C295" s="89" t="str">
        <f>CONCATENATE(prefix_wld_az1_cidr,"9.103")</f>
        <v>10.13.9.103</v>
      </c>
      <c r="D295" s="347"/>
      <c r="E295" s="100" t="s">
        <v>3223</v>
      </c>
    </row>
    <row r="296" spans="2:5" s="8" customFormat="1" ht="20.100000000000001" customHeight="1" x14ac:dyDescent="0.2">
      <c r="B296" s="361" t="str">
        <v>Value Missing</v>
      </c>
      <c r="C296" s="89" t="str">
        <f>CONCATENATE(prefix_wld_az1_cidr,"9.104")</f>
        <v>10.13.9.104</v>
      </c>
      <c r="D296" s="347"/>
      <c r="E296" s="100" t="s">
        <v>3224</v>
      </c>
    </row>
    <row r="297" spans="2:5" s="8" customFormat="1" ht="20.100000000000001" customHeight="1" x14ac:dyDescent="0.2">
      <c r="B297" s="361" t="str">
        <v>Value Missing</v>
      </c>
      <c r="C297" s="89" t="str">
        <f>CONCATENATE(prefix_wld_az1_cidr,"9.105")</f>
        <v>10.13.9.105</v>
      </c>
      <c r="D297" s="347"/>
      <c r="E297" s="100" t="s">
        <v>3225</v>
      </c>
    </row>
    <row r="298" spans="2:5" s="8" customFormat="1" ht="20.100000000000001" customHeight="1" x14ac:dyDescent="0.2">
      <c r="B298" s="361" t="str">
        <v>Value Missing</v>
      </c>
      <c r="C298" s="89" t="str">
        <f>CONCATENATE(prefix_wld_az1_cidr,"9.106")</f>
        <v>10.13.9.106</v>
      </c>
      <c r="D298" s="347"/>
      <c r="E298" s="100" t="s">
        <v>3226</v>
      </c>
    </row>
    <row r="299" spans="2:5" s="8" customFormat="1" ht="20.100000000000001" customHeight="1" x14ac:dyDescent="0.2">
      <c r="B299" s="4" t="str">
        <v>Value Missing</v>
      </c>
      <c r="C299" s="89" t="str">
        <f>CONCATENATE(prefix_wld_az1_cidr,"9.107")</f>
        <v>10.13.9.107</v>
      </c>
      <c r="D299" s="347"/>
      <c r="E299" s="100" t="s">
        <v>3227</v>
      </c>
    </row>
    <row r="300" spans="2:5" s="8" customFormat="1" ht="20.100000000000001" customHeight="1" x14ac:dyDescent="0.2">
      <c r="B300" s="4" t="str">
        <v>Value Missing</v>
      </c>
      <c r="C300" s="89" t="str">
        <f>CONCATENATE(prefix_wld_az1_cidr,"9.108")</f>
        <v>10.13.9.108</v>
      </c>
      <c r="D300" s="347"/>
      <c r="E300" s="100" t="s">
        <v>3228</v>
      </c>
    </row>
    <row r="301" spans="2:5" s="8" customFormat="1" ht="20.100000000000001" customHeight="1" x14ac:dyDescent="0.2">
      <c r="B301" s="4" t="str">
        <v>Value Missing</v>
      </c>
      <c r="C301" s="89" t="str">
        <f>CONCATENATE(prefix_wld_az1_cidr,"9.109")</f>
        <v>10.13.9.109</v>
      </c>
      <c r="D301" s="347"/>
      <c r="E301" s="100" t="s">
        <v>3229</v>
      </c>
    </row>
    <row r="302" spans="2:5" s="8" customFormat="1" ht="20.100000000000001" customHeight="1" x14ac:dyDescent="0.2">
      <c r="B302" s="361" t="str">
        <v>Value Missing</v>
      </c>
      <c r="C302" s="89" t="str">
        <f>CONCATENATE(prefix_wld_az1_cidr,"9.110")</f>
        <v>10.13.9.110</v>
      </c>
      <c r="D302" s="347"/>
      <c r="E302" s="100" t="s">
        <v>3230</v>
      </c>
    </row>
    <row r="303" spans="2:5" s="8" customFormat="1" ht="20.100000000000001" customHeight="1" x14ac:dyDescent="0.2">
      <c r="B303" s="361" t="str">
        <v>Value Missing</v>
      </c>
      <c r="C303" s="89" t="str">
        <f>CONCATENATE(prefix_wld_az1_cidr,"9.111")</f>
        <v>10.13.9.111</v>
      </c>
      <c r="D303" s="347"/>
      <c r="E303" s="100" t="s">
        <v>3231</v>
      </c>
    </row>
    <row r="304" spans="2:5" s="8" customFormat="1" ht="15.95" customHeight="1" x14ac:dyDescent="0.2">
      <c r="B304" s="361" t="str">
        <v>Value Missing</v>
      </c>
      <c r="C304" s="89" t="str">
        <f>CONCATENATE(prefix_wld_az1_cidr,"9.112")</f>
        <v>10.13.9.112</v>
      </c>
      <c r="D304" s="347"/>
      <c r="E304" s="100" t="s">
        <v>3232</v>
      </c>
    </row>
    <row r="305" spans="2:5" s="8" customFormat="1" ht="33.950000000000003" customHeight="1" x14ac:dyDescent="0.2">
      <c r="B305" s="358" t="str">
        <v>Value Missing</v>
      </c>
      <c r="C305" s="89" t="str">
        <f>CONCATENATE(prefix_wld_az1_cidr,"9.113")</f>
        <v>10.13.9.113</v>
      </c>
      <c r="D305" s="347"/>
      <c r="E305" s="100" t="s">
        <v>3233</v>
      </c>
    </row>
    <row r="306" spans="2:5" s="8" customFormat="1" ht="20.100000000000001" customHeight="1" x14ac:dyDescent="0.2">
      <c r="B306" s="358" t="str">
        <v>Value Missing</v>
      </c>
      <c r="C306" s="89" t="str">
        <f>CONCATENATE(prefix_wld_az1_cidr,"9.114")</f>
        <v>10.13.9.114</v>
      </c>
      <c r="D306" s="347"/>
      <c r="E306" s="100" t="s">
        <v>3234</v>
      </c>
    </row>
    <row r="307" spans="2:5" s="8" customFormat="1" ht="20.100000000000001" customHeight="1" x14ac:dyDescent="0.2">
      <c r="B307" s="358" t="str">
        <v>Value Missing</v>
      </c>
      <c r="C307" s="89" t="str">
        <f>CONCATENATE(prefix_wld_az1_cidr,"9.115")</f>
        <v>10.13.9.115</v>
      </c>
      <c r="D307" s="347"/>
      <c r="E307" s="100" t="s">
        <v>3235</v>
      </c>
    </row>
    <row r="308" spans="2:5" s="8" customFormat="1" ht="20.100000000000001" customHeight="1" x14ac:dyDescent="0.2">
      <c r="B308" s="358" t="str">
        <v>Value Missing</v>
      </c>
      <c r="C308" s="89" t="str">
        <f>CONCATENATE(prefix_wld_az1_cidr,"9.116")</f>
        <v>10.13.9.116</v>
      </c>
      <c r="D308" s="347"/>
      <c r="E308" s="100" t="s">
        <v>3236</v>
      </c>
    </row>
    <row r="309" spans="2:5" s="8" customFormat="1" ht="20.100000000000001" customHeight="1" x14ac:dyDescent="0.2">
      <c r="B309" s="618" t="s">
        <v>3237</v>
      </c>
      <c r="C309" s="619"/>
      <c r="D309" s="619"/>
      <c r="E309" s="620"/>
    </row>
    <row r="310" spans="2:5" s="8" customFormat="1" ht="20.100000000000001" customHeight="1" x14ac:dyDescent="0.2">
      <c r="B310" s="361" t="str">
        <f t="array" ref="B310:B325">wld_az2_host_fqdns</f>
        <v>Value Missing</v>
      </c>
      <c r="C310" s="89" t="str">
        <f>CONCATENATE(prefix_wld_az2_cidr,"9.101")</f>
        <v>10.14.9.101</v>
      </c>
      <c r="D310" s="347"/>
      <c r="E310" s="100" t="s">
        <v>3221</v>
      </c>
    </row>
    <row r="311" spans="2:5" s="8" customFormat="1" ht="20.100000000000001" customHeight="1" x14ac:dyDescent="0.2">
      <c r="B311" s="361" t="str">
        <v>Value Missing</v>
      </c>
      <c r="C311" s="89" t="str">
        <f>CONCATENATE(prefix_wld_az2_cidr,"9.102")</f>
        <v>10.14.9.102</v>
      </c>
      <c r="D311" s="347"/>
      <c r="E311" s="100" t="s">
        <v>3222</v>
      </c>
    </row>
    <row r="312" spans="2:5" s="8" customFormat="1" ht="20.100000000000001" customHeight="1" x14ac:dyDescent="0.2">
      <c r="B312" s="361" t="str">
        <v>Value Missing</v>
      </c>
      <c r="C312" s="89" t="str">
        <f>CONCATENATE(prefix_wld_az2_cidr,"9.103")</f>
        <v>10.14.9.103</v>
      </c>
      <c r="D312" s="347"/>
      <c r="E312" s="100" t="s">
        <v>3223</v>
      </c>
    </row>
    <row r="313" spans="2:5" s="8" customFormat="1" ht="20.100000000000001" customHeight="1" x14ac:dyDescent="0.2">
      <c r="B313" s="361" t="str">
        <v>Value Missing</v>
      </c>
      <c r="C313" s="89" t="str">
        <f>CONCATENATE(prefix_wld_az2_cidr,"9.104")</f>
        <v>10.14.9.104</v>
      </c>
      <c r="D313" s="347"/>
      <c r="E313" s="100" t="s">
        <v>3224</v>
      </c>
    </row>
    <row r="314" spans="2:5" s="8" customFormat="1" ht="20.100000000000001" customHeight="1" x14ac:dyDescent="0.2">
      <c r="B314" s="361" t="str">
        <v>Value Missing</v>
      </c>
      <c r="C314" s="89" t="str">
        <f>CONCATENATE(prefix_wld_az2_cidr,"9.105")</f>
        <v>10.14.9.105</v>
      </c>
      <c r="D314" s="347"/>
      <c r="E314" s="100" t="s">
        <v>3225</v>
      </c>
    </row>
    <row r="315" spans="2:5" s="8" customFormat="1" ht="20.100000000000001" customHeight="1" x14ac:dyDescent="0.2">
      <c r="B315" s="361" t="str">
        <v>Value Missing</v>
      </c>
      <c r="C315" s="89" t="str">
        <f>CONCATENATE(prefix_wld_az2_cidr,"9.106")</f>
        <v>10.14.9.106</v>
      </c>
      <c r="D315" s="347"/>
      <c r="E315" s="100" t="s">
        <v>3226</v>
      </c>
    </row>
    <row r="316" spans="2:5" s="8" customFormat="1" ht="20.100000000000001" customHeight="1" x14ac:dyDescent="0.2">
      <c r="B316" s="4" t="str">
        <v>Value Missing</v>
      </c>
      <c r="C316" s="89" t="str">
        <f>CONCATENATE(prefix_wld_az2_cidr,"9.107")</f>
        <v>10.14.9.107</v>
      </c>
      <c r="D316" s="347"/>
      <c r="E316" s="100" t="s">
        <v>3227</v>
      </c>
    </row>
    <row r="317" spans="2:5" s="8" customFormat="1" ht="20.100000000000001" customHeight="1" x14ac:dyDescent="0.2">
      <c r="B317" s="4" t="str">
        <v>Value Missing</v>
      </c>
      <c r="C317" s="89" t="str">
        <f>CONCATENATE(prefix_wld_az2_cidr,"9.108")</f>
        <v>10.14.9.108</v>
      </c>
      <c r="D317" s="347"/>
      <c r="E317" s="100" t="s">
        <v>3228</v>
      </c>
    </row>
    <row r="318" spans="2:5" s="8" customFormat="1" ht="20.100000000000001" customHeight="1" x14ac:dyDescent="0.2">
      <c r="B318" s="4" t="str">
        <v>Value Missing</v>
      </c>
      <c r="C318" s="89" t="str">
        <f>CONCATENATE(prefix_wld_az2_cidr,"9.109")</f>
        <v>10.14.9.109</v>
      </c>
      <c r="D318" s="347"/>
      <c r="E318" s="100" t="s">
        <v>3229</v>
      </c>
    </row>
    <row r="319" spans="2:5" s="8" customFormat="1" ht="20.100000000000001" customHeight="1" x14ac:dyDescent="0.2">
      <c r="B319" s="361" t="str">
        <v>Value Missing</v>
      </c>
      <c r="C319" s="89" t="str">
        <f>CONCATENATE(prefix_wld_az2_cidr,"9.110")</f>
        <v>10.14.9.110</v>
      </c>
      <c r="D319" s="347"/>
      <c r="E319" s="100" t="s">
        <v>3230</v>
      </c>
    </row>
    <row r="320" spans="2:5" s="8" customFormat="1" ht="20.100000000000001" customHeight="1" x14ac:dyDescent="0.2">
      <c r="B320" s="361" t="str">
        <v>Value Missing</v>
      </c>
      <c r="C320" s="89" t="str">
        <f>CONCATENATE(prefix_wld_az2_cidr,"9.111")</f>
        <v>10.14.9.111</v>
      </c>
      <c r="D320" s="347"/>
      <c r="E320" s="100" t="s">
        <v>3231</v>
      </c>
    </row>
    <row r="321" spans="2:5" s="8" customFormat="1" ht="20.100000000000001" customHeight="1" x14ac:dyDescent="0.2">
      <c r="B321" s="361" t="str">
        <v>Value Missing</v>
      </c>
      <c r="C321" s="89" t="str">
        <f>CONCATENATE(prefix_wld_az2_cidr,"9.112")</f>
        <v>10.14.9.112</v>
      </c>
      <c r="D321" s="347"/>
      <c r="E321" s="100" t="s">
        <v>3232</v>
      </c>
    </row>
    <row r="322" spans="2:5" s="8" customFormat="1" ht="20.100000000000001" customHeight="1" x14ac:dyDescent="0.2">
      <c r="B322" s="361" t="str">
        <v>Value Missing</v>
      </c>
      <c r="C322" s="89" t="str">
        <f>CONCATENATE(prefix_wld_az2_cidr,"9.113")</f>
        <v>10.14.9.113</v>
      </c>
      <c r="D322" s="347"/>
      <c r="E322" s="100" t="s">
        <v>3233</v>
      </c>
    </row>
    <row r="323" spans="2:5" s="8" customFormat="1" ht="20.100000000000001" customHeight="1" x14ac:dyDescent="0.2">
      <c r="B323" s="361" t="str">
        <v>Value Missing</v>
      </c>
      <c r="C323" s="89" t="str">
        <f>CONCATENATE(prefix_wld_az2_cidr,"9.114")</f>
        <v>10.14.9.114</v>
      </c>
      <c r="D323" s="347"/>
      <c r="E323" s="100" t="s">
        <v>3234</v>
      </c>
    </row>
    <row r="324" spans="2:5" s="8" customFormat="1" ht="20.100000000000001" customHeight="1" x14ac:dyDescent="0.2">
      <c r="B324" s="361" t="str">
        <v>Value Missing</v>
      </c>
      <c r="C324" s="89" t="str">
        <f>CONCATENATE(prefix_wld_az2_cidr,"9.115")</f>
        <v>10.14.9.115</v>
      </c>
      <c r="D324" s="347"/>
      <c r="E324" s="100" t="s">
        <v>3235</v>
      </c>
    </row>
    <row r="325" spans="2:5" s="8" customFormat="1" ht="20.100000000000001" customHeight="1" x14ac:dyDescent="0.2">
      <c r="B325" s="361" t="str">
        <v>Value Missing</v>
      </c>
      <c r="C325" s="89" t="str">
        <f>CONCATENATE(prefix_wld_az2_cidr,"9.116")</f>
        <v>10.14.9.116</v>
      </c>
      <c r="D325" s="347"/>
      <c r="E325" s="100" t="s">
        <v>3236</v>
      </c>
    </row>
    <row r="326" spans="2:5" s="8" customFormat="1" ht="20.100000000000001" customHeight="1" x14ac:dyDescent="0.2"/>
    <row r="327" spans="2:5" s="8" customFormat="1" ht="20.100000000000001" customHeight="1" x14ac:dyDescent="0.2">
      <c r="B327" s="553" t="s">
        <v>3238</v>
      </c>
      <c r="C327" s="553"/>
      <c r="D327" s="553"/>
      <c r="E327" s="553"/>
    </row>
    <row r="328" spans="2:5" s="8" customFormat="1" ht="20.100000000000001" customHeight="1" x14ac:dyDescent="0.2">
      <c r="B328" s="43" t="s">
        <v>259</v>
      </c>
      <c r="C328" s="43" t="s">
        <v>711</v>
      </c>
      <c r="D328" s="130" t="s">
        <v>277</v>
      </c>
      <c r="E328" s="43" t="s">
        <v>5</v>
      </c>
    </row>
    <row r="329" spans="2:5" s="8" customFormat="1" ht="20.100000000000001" customHeight="1" x14ac:dyDescent="0.2">
      <c r="B329" s="618" t="s">
        <v>3220</v>
      </c>
      <c r="C329" s="619"/>
      <c r="D329" s="619"/>
      <c r="E329" s="620"/>
    </row>
    <row r="330" spans="2:5" s="8" customFormat="1" ht="20.100000000000001" customHeight="1" x14ac:dyDescent="0.2">
      <c r="B330" s="4" t="s">
        <v>3239</v>
      </c>
      <c r="C330" s="362" t="str">
        <f>sample_wld_az1_host1_fqdn</f>
        <v>sfo01-w01-r01-esx01.sfo.rainpole.io</v>
      </c>
      <c r="D330" s="337" t="str">
        <f>wld_az1_host1_fqdn</f>
        <v>Value Missing</v>
      </c>
      <c r="E330" s="32"/>
    </row>
    <row r="331" spans="2:5" s="8" customFormat="1" ht="20.100000000000001" customHeight="1" x14ac:dyDescent="0.2">
      <c r="B331" s="4" t="s">
        <v>3240</v>
      </c>
      <c r="C331" s="362" t="str">
        <f>sample_wld_az1_vrms_gateway_ip</f>
        <v>10.13.9.1</v>
      </c>
      <c r="D331" s="337" t="str">
        <f>wld_az1_vrms_gateway_ip</f>
        <v>Value Missing</v>
      </c>
      <c r="E331" s="32"/>
    </row>
    <row r="332" spans="2:5" s="8" customFormat="1" ht="20.100000000000001" customHeight="1" x14ac:dyDescent="0.2">
      <c r="B332" s="361" t="s">
        <v>3241</v>
      </c>
      <c r="C332" s="362" t="str">
        <f t="array" ref="C332">sample_wld_vrms_recovery_replication_cidr</f>
        <v>10.21.9.0/24</v>
      </c>
      <c r="D332" s="337" t="str">
        <f t="array" ref="D332">wld_vrms_recovery_replication_cidr</f>
        <v>Value Missing</v>
      </c>
      <c r="E332" s="32"/>
    </row>
    <row r="333" spans="2:5" s="8" customFormat="1" ht="20.100000000000001" customHeight="1" x14ac:dyDescent="0.2">
      <c r="B333" s="361" t="s">
        <v>3242</v>
      </c>
      <c r="C333" s="362" t="str">
        <f>sample_wld_az1_host2_fqdn</f>
        <v>sfo01-w01-r01-esx02.sfo.rainpole.io</v>
      </c>
      <c r="D333" s="337" t="str">
        <f>wld_az1_host2_fqdn</f>
        <v>Value Missing</v>
      </c>
      <c r="E333" s="32"/>
    </row>
    <row r="334" spans="2:5" s="8" customFormat="1" ht="20.100000000000001" customHeight="1" x14ac:dyDescent="0.2">
      <c r="B334" s="361" t="s">
        <v>3243</v>
      </c>
      <c r="C334" s="362" t="str">
        <f>sample_wld_az1_vrms_gateway_ip</f>
        <v>10.13.9.1</v>
      </c>
      <c r="D334" s="337" t="str">
        <f>wld_az1_vrms_gateway_ip</f>
        <v>Value Missing</v>
      </c>
      <c r="E334" s="32"/>
    </row>
    <row r="335" spans="2:5" s="8" customFormat="1" ht="20.100000000000001" customHeight="1" x14ac:dyDescent="0.2">
      <c r="B335" s="361" t="s">
        <v>3244</v>
      </c>
      <c r="C335" s="362" t="str">
        <f t="array" ref="C335">sample_wld_vrms_recovery_replication_cidr</f>
        <v>10.21.9.0/24</v>
      </c>
      <c r="D335" s="337" t="str">
        <f t="array" ref="D335">wld_vrms_recovery_replication_cidr</f>
        <v>Value Missing</v>
      </c>
      <c r="E335" s="32"/>
    </row>
    <row r="336" spans="2:5" s="8" customFormat="1" ht="20.100000000000001" customHeight="1" x14ac:dyDescent="0.2">
      <c r="B336" s="361" t="s">
        <v>3245</v>
      </c>
      <c r="C336" s="362" t="str">
        <f>sample_wld_az1_host3_fqdn</f>
        <v>sfo01-w01-r01-esx03.sfo.rainpole.io</v>
      </c>
      <c r="D336" s="337" t="str">
        <f>wld_az1_host3_fqdn</f>
        <v>Value Missing</v>
      </c>
      <c r="E336" s="32"/>
    </row>
    <row r="337" spans="2:5" s="8" customFormat="1" ht="20.100000000000001" customHeight="1" x14ac:dyDescent="0.2">
      <c r="B337" s="4" t="s">
        <v>3246</v>
      </c>
      <c r="C337" s="362" t="str">
        <f>sample_wld_az1_vrms_gateway_ip</f>
        <v>10.13.9.1</v>
      </c>
      <c r="D337" s="337" t="str">
        <f>wld_az1_vrms_gateway_ip</f>
        <v>Value Missing</v>
      </c>
      <c r="E337" s="32"/>
    </row>
    <row r="338" spans="2:5" s="8" customFormat="1" ht="20.100000000000001" customHeight="1" x14ac:dyDescent="0.2">
      <c r="B338" s="4" t="s">
        <v>3247</v>
      </c>
      <c r="C338" s="362" t="str">
        <f t="array" ref="C338">sample_wld_vrms_recovery_replication_cidr</f>
        <v>10.21.9.0/24</v>
      </c>
      <c r="D338" s="337" t="str">
        <f t="array" ref="D338">wld_vrms_recovery_replication_cidr</f>
        <v>Value Missing</v>
      </c>
      <c r="E338" s="32"/>
    </row>
    <row r="339" spans="2:5" s="8" customFormat="1" ht="20.100000000000001" customHeight="1" x14ac:dyDescent="0.2">
      <c r="B339" s="361" t="s">
        <v>3248</v>
      </c>
      <c r="C339" s="362" t="str">
        <f>sample_wld_az1_host4_fqdn</f>
        <v>sfo01-w01-r01-esx04.sfo.rainpole.io</v>
      </c>
      <c r="D339" s="337" t="str">
        <f>wld_az1_host4_fqdn</f>
        <v>Value Missing</v>
      </c>
      <c r="E339" s="32"/>
    </row>
    <row r="340" spans="2:5" s="8" customFormat="1" ht="20.100000000000001" customHeight="1" x14ac:dyDescent="0.2">
      <c r="B340" s="361" t="s">
        <v>3249</v>
      </c>
      <c r="C340" s="362" t="str">
        <f>sample_wld_az1_vrms_gateway_ip</f>
        <v>10.13.9.1</v>
      </c>
      <c r="D340" s="337" t="str">
        <f>wld_az1_vrms_gateway_ip</f>
        <v>Value Missing</v>
      </c>
      <c r="E340" s="32"/>
    </row>
    <row r="341" spans="2:5" s="8" customFormat="1" ht="20.100000000000001" customHeight="1" x14ac:dyDescent="0.2">
      <c r="B341" s="4" t="s">
        <v>3250</v>
      </c>
      <c r="C341" s="362" t="str">
        <f t="array" ref="C341">sample_wld_vrms_recovery_replication_cidr</f>
        <v>10.21.9.0/24</v>
      </c>
      <c r="D341" s="337" t="str">
        <f t="array" ref="D341">wld_vrms_recovery_replication_cidr</f>
        <v>Value Missing</v>
      </c>
      <c r="E341" s="32"/>
    </row>
    <row r="342" spans="2:5" s="8" customFormat="1" ht="20.100000000000001" customHeight="1" x14ac:dyDescent="0.2">
      <c r="B342" s="618" t="s">
        <v>3237</v>
      </c>
      <c r="C342" s="619"/>
      <c r="D342" s="619"/>
      <c r="E342" s="620"/>
    </row>
    <row r="343" spans="2:5" s="8" customFormat="1" ht="20.100000000000001" customHeight="1" x14ac:dyDescent="0.2">
      <c r="B343" s="4" t="s">
        <v>3239</v>
      </c>
      <c r="C343" s="362" t="str">
        <f>sample_wld_az2_host1_fqdn</f>
        <v>sfo02-w01-r01-esx01.sfo.rainpole.io</v>
      </c>
      <c r="D343" s="337" t="str">
        <f>wld_az2_host1_fqdn</f>
        <v>Value Missing</v>
      </c>
      <c r="E343" s="32"/>
    </row>
    <row r="344" spans="2:5" s="8" customFormat="1" ht="15.95" customHeight="1" x14ac:dyDescent="0.2">
      <c r="B344" s="4" t="s">
        <v>3240</v>
      </c>
      <c r="C344" s="362" t="str">
        <f>sample_wld_az1_vrms_gateway_ip</f>
        <v>10.13.9.1</v>
      </c>
      <c r="D344" s="337" t="str">
        <f>wld_az1_vrms_gateway_ip</f>
        <v>Value Missing</v>
      </c>
      <c r="E344" s="32"/>
    </row>
    <row r="345" spans="2:5" s="8" customFormat="1" ht="33.950000000000003" customHeight="1" x14ac:dyDescent="0.2">
      <c r="B345" s="361" t="s">
        <v>3241</v>
      </c>
      <c r="C345" s="362" t="str">
        <f t="array" ref="C345">sample_wld_vrms_recovery_replication_cidr</f>
        <v>10.21.9.0/24</v>
      </c>
      <c r="D345" s="337" t="str">
        <f t="array" ref="D345">wld_vrms_recovery_replication_cidr</f>
        <v>Value Missing</v>
      </c>
      <c r="E345" s="32"/>
    </row>
    <row r="346" spans="2:5" s="8" customFormat="1" ht="20.100000000000001" customHeight="1" x14ac:dyDescent="0.2">
      <c r="B346" s="361" t="s">
        <v>3242</v>
      </c>
      <c r="C346" s="362" t="str">
        <f>sample_wld_az2_host2_fqdn</f>
        <v>sfo02-w01-r01-esx02.sfo.rainpole.io</v>
      </c>
      <c r="D346" s="337" t="str">
        <f>wld_az2_host2_fqdn</f>
        <v>Value Missing</v>
      </c>
      <c r="E346" s="32"/>
    </row>
    <row r="347" spans="2:5" s="8" customFormat="1" ht="20.100000000000001" customHeight="1" x14ac:dyDescent="0.2">
      <c r="B347" s="361" t="s">
        <v>3243</v>
      </c>
      <c r="C347" s="362" t="str">
        <f>sample_wld_az1_vrms_gateway_ip</f>
        <v>10.13.9.1</v>
      </c>
      <c r="D347" s="337" t="str">
        <f>wld_az1_vrms_gateway_ip</f>
        <v>Value Missing</v>
      </c>
      <c r="E347" s="32"/>
    </row>
    <row r="348" spans="2:5" s="8" customFormat="1" ht="20.100000000000001" customHeight="1" x14ac:dyDescent="0.2">
      <c r="B348" s="361" t="s">
        <v>3244</v>
      </c>
      <c r="C348" s="362" t="str">
        <f t="array" ref="C348">sample_wld_vrms_recovery_replication_cidr</f>
        <v>10.21.9.0/24</v>
      </c>
      <c r="D348" s="337" t="str">
        <f t="array" ref="D348">wld_vrms_recovery_replication_cidr</f>
        <v>Value Missing</v>
      </c>
      <c r="E348" s="32"/>
    </row>
    <row r="349" spans="2:5" s="8" customFormat="1" ht="20.100000000000001" customHeight="1" x14ac:dyDescent="0.2">
      <c r="B349" s="361" t="s">
        <v>3245</v>
      </c>
      <c r="C349" s="362" t="str">
        <f>sample_wld_az2_host3_fqdn</f>
        <v>sfo02-w01-r01-esx03.sfo.rainpole.io</v>
      </c>
      <c r="D349" s="337" t="str">
        <f>wld_az2_host3_fqdn</f>
        <v>Value Missing</v>
      </c>
      <c r="E349" s="32"/>
    </row>
    <row r="350" spans="2:5" s="8" customFormat="1" ht="20.100000000000001" customHeight="1" x14ac:dyDescent="0.2">
      <c r="B350" s="4" t="s">
        <v>3246</v>
      </c>
      <c r="C350" s="362" t="str">
        <f>sample_wld_az1_vrms_gateway_ip</f>
        <v>10.13.9.1</v>
      </c>
      <c r="D350" s="337" t="str">
        <f>wld_az1_vrms_gateway_ip</f>
        <v>Value Missing</v>
      </c>
      <c r="E350" s="32"/>
    </row>
    <row r="351" spans="2:5" s="8" customFormat="1" ht="20.100000000000001" customHeight="1" x14ac:dyDescent="0.2">
      <c r="B351" s="4" t="s">
        <v>3247</v>
      </c>
      <c r="C351" s="362" t="str">
        <f t="array" ref="C351">sample_wld_vrms_recovery_replication_cidr</f>
        <v>10.21.9.0/24</v>
      </c>
      <c r="D351" s="337" t="str">
        <f t="array" ref="D351">wld_vrms_recovery_replication_cidr</f>
        <v>Value Missing</v>
      </c>
      <c r="E351" s="32"/>
    </row>
    <row r="352" spans="2:5" s="8" customFormat="1" ht="20.100000000000001" customHeight="1" x14ac:dyDescent="0.2">
      <c r="B352" s="361" t="s">
        <v>3248</v>
      </c>
      <c r="C352" s="362" t="str">
        <f>sample_wld_az2_host14_fqdn</f>
        <v>sfo02-w01-r01-esx14.sfo.rainpole.io</v>
      </c>
      <c r="D352" s="337" t="str">
        <f>wld_az2_host4_fqdn</f>
        <v>Value Missing</v>
      </c>
      <c r="E352" s="32"/>
    </row>
    <row r="353" spans="2:5" s="8" customFormat="1" ht="20.100000000000001" customHeight="1" x14ac:dyDescent="0.2">
      <c r="B353" s="361" t="s">
        <v>3249</v>
      </c>
      <c r="C353" s="362" t="str">
        <f>sample_wld_az1_vrms_gateway_ip</f>
        <v>10.13.9.1</v>
      </c>
      <c r="D353" s="337" t="str">
        <f>wld_az1_vrms_gateway_ip</f>
        <v>Value Missing</v>
      </c>
      <c r="E353" s="32"/>
    </row>
    <row r="354" spans="2:5" s="8" customFormat="1" ht="20.100000000000001" customHeight="1" x14ac:dyDescent="0.2">
      <c r="B354" s="4" t="s">
        <v>3250</v>
      </c>
      <c r="C354" s="362" t="str">
        <f>sample_wld_vrms_recovery_replication_cidr</f>
        <v>10.21.9.0/24</v>
      </c>
      <c r="D354" s="337" t="str">
        <f t="array" ref="D354">wld_vrms_recovery_replication_cidr</f>
        <v>Value Missing</v>
      </c>
      <c r="E354" s="32"/>
    </row>
    <row r="355" spans="2:5" s="8" customFormat="1" ht="20.100000000000001" customHeight="1" x14ac:dyDescent="0.2"/>
    <row r="356" spans="2:5" s="8" customFormat="1" ht="20.100000000000001" customHeight="1" x14ac:dyDescent="0.2">
      <c r="B356" s="552" t="s">
        <v>3251</v>
      </c>
      <c r="C356" s="553"/>
      <c r="D356" s="553"/>
      <c r="E356" s="553"/>
    </row>
    <row r="357" spans="2:5" s="8" customFormat="1" ht="20.100000000000001" customHeight="1" x14ac:dyDescent="0.2"/>
    <row r="358" spans="2:5" s="8" customFormat="1" ht="20.100000000000001" customHeight="1" x14ac:dyDescent="0.2">
      <c r="B358" s="553" t="s">
        <v>3252</v>
      </c>
      <c r="C358" s="553"/>
      <c r="D358" s="553"/>
      <c r="E358" s="553"/>
    </row>
    <row r="359" spans="2:5" s="8" customFormat="1" ht="20.100000000000001" customHeight="1" x14ac:dyDescent="0.2">
      <c r="B359" s="43" t="s">
        <v>259</v>
      </c>
      <c r="C359" s="43" t="s">
        <v>711</v>
      </c>
      <c r="D359" s="130" t="s">
        <v>277</v>
      </c>
      <c r="E359" s="43" t="s">
        <v>5</v>
      </c>
    </row>
    <row r="360" spans="2:5" s="8" customFormat="1" ht="20.100000000000001" customHeight="1" x14ac:dyDescent="0.2">
      <c r="B360" s="361" t="s">
        <v>815</v>
      </c>
      <c r="C360" s="362" t="str">
        <f>sample_mgmt_vc_fqdn</f>
        <v>sfo-m01-vc01.sfo.rainpole.io</v>
      </c>
      <c r="D360" s="337" t="str">
        <f>mgmt_vc_fqdn</f>
        <v>labvcvcf01v.vcf.lab.local</v>
      </c>
      <c r="E360" s="32"/>
    </row>
    <row r="361" spans="2:5" s="8" customFormat="1" ht="20.100000000000001" customHeight="1" x14ac:dyDescent="0.2">
      <c r="B361" s="4" t="s">
        <v>3108</v>
      </c>
      <c r="C361" s="362" t="str">
        <f>sample_wld_srm_vm_folder</f>
        <v>sfo-w01-fd-srm</v>
      </c>
      <c r="D361" s="337" t="str">
        <f>wld_srm_vm_folder</f>
        <v>Value Missing</v>
      </c>
      <c r="E361" s="32"/>
    </row>
    <row r="362" spans="2:5" s="8" customFormat="1" ht="20.100000000000001" customHeight="1" x14ac:dyDescent="0.2"/>
    <row r="363" spans="2:5" s="8" customFormat="1" ht="20.100000000000001" customHeight="1" x14ac:dyDescent="0.2">
      <c r="B363" s="553" t="s">
        <v>3253</v>
      </c>
      <c r="C363" s="506"/>
      <c r="D363" s="506"/>
      <c r="E363" s="507"/>
    </row>
    <row r="364" spans="2:5" s="8" customFormat="1" ht="20.100000000000001" customHeight="1" x14ac:dyDescent="0.2">
      <c r="B364" s="43" t="s">
        <v>259</v>
      </c>
      <c r="C364" s="43" t="s">
        <v>711</v>
      </c>
      <c r="D364" s="130" t="s">
        <v>277</v>
      </c>
      <c r="E364" s="43" t="s">
        <v>5</v>
      </c>
    </row>
    <row r="365" spans="2:5" s="8" customFormat="1" ht="20.100000000000001" customHeight="1" x14ac:dyDescent="0.2">
      <c r="B365" s="4" t="s">
        <v>3254</v>
      </c>
      <c r="C365" s="362" t="str">
        <f>sample_mgmt_vc_fqdn</f>
        <v>sfo-m01-vc01.sfo.rainpole.io</v>
      </c>
      <c r="D365" s="337" t="str">
        <f>mgmt_vc_fqdn</f>
        <v>labvcvcf01v.vcf.lab.local</v>
      </c>
      <c r="E365" s="32"/>
    </row>
    <row r="366" spans="2:5" s="8" customFormat="1" ht="20.100000000000001" customHeight="1" x14ac:dyDescent="0.2">
      <c r="B366" s="361" t="s">
        <v>1165</v>
      </c>
      <c r="C366" s="362" t="str">
        <f>sample_mgmt_cl01_cluster</f>
        <v>sfo-m01-cl01</v>
      </c>
      <c r="D366" s="337" t="str">
        <f>mgmt_cl01_cluster</f>
        <v>vcf-mgmt-cluster01</v>
      </c>
      <c r="E366" s="32"/>
    </row>
    <row r="367" spans="2:5" s="8" customFormat="1" ht="20.100000000000001" customHeight="1" x14ac:dyDescent="0.2">
      <c r="B367" s="361" t="s">
        <v>3189</v>
      </c>
      <c r="C367" s="362" t="str">
        <f>sample_wld_srm_hostname</f>
        <v>sfo-w01-srm01</v>
      </c>
      <c r="D367" s="337" t="str">
        <f>wld_srm_hostname</f>
        <v>Value Missing</v>
      </c>
      <c r="E367" s="32"/>
    </row>
    <row r="368" spans="2:5" s="8" customFormat="1" ht="20.100000000000001" customHeight="1" x14ac:dyDescent="0.2">
      <c r="B368" s="361" t="s">
        <v>3190</v>
      </c>
      <c r="C368" s="362" t="str">
        <f>sample_wld_srm_vm_folder</f>
        <v>sfo-w01-fd-srm</v>
      </c>
      <c r="D368" s="337" t="str">
        <f>wld_srm_vm_folder</f>
        <v>Value Missing</v>
      </c>
      <c r="E368" s="32"/>
    </row>
    <row r="369" spans="2:5" s="8" customFormat="1" ht="20.100000000000001" customHeight="1" x14ac:dyDescent="0.2">
      <c r="B369" s="361" t="s">
        <v>3191</v>
      </c>
      <c r="C369" s="362" t="str">
        <f>sample_mgmt_cl01_cluster</f>
        <v>sfo-m01-cl01</v>
      </c>
      <c r="D369" s="337" t="str">
        <f>mgmt_cl01_cluster</f>
        <v>vcf-mgmt-cluster01</v>
      </c>
      <c r="E369" s="32"/>
    </row>
    <row r="370" spans="2:5" s="8" customFormat="1" ht="20.100000000000001" customHeight="1" x14ac:dyDescent="0.2">
      <c r="B370" s="361" t="s">
        <v>587</v>
      </c>
      <c r="C370" s="362" t="str">
        <f>sample_mgmt_cl01_vsan_datastore</f>
        <v>sfo-m01-cl01-ds-vsan01</v>
      </c>
      <c r="D370" s="337" t="str">
        <f>mgmt_cl01_vsan_datastore</f>
        <v>LABVSANESA01</v>
      </c>
      <c r="E370" s="32"/>
    </row>
    <row r="371" spans="2:5" s="8" customFormat="1" ht="20.100000000000001" customHeight="1" x14ac:dyDescent="0.2">
      <c r="B371" s="4" t="s">
        <v>3192</v>
      </c>
      <c r="C371" s="362" t="str">
        <f>sample_mgmt_cl01_az1_mgmt_pg</f>
        <v>sfo-m01-cl01-vds01-pg-mgmt</v>
      </c>
      <c r="D371" s="337" t="str">
        <f>mgmt_cl01_az1_mgmt_pg</f>
        <v>VLAN_251_ESX_Mgmt</v>
      </c>
      <c r="E371" s="32"/>
    </row>
    <row r="372" spans="2:5" s="8" customFormat="1" ht="20.100000000000001" customHeight="1" x14ac:dyDescent="0.2">
      <c r="B372" s="4" t="s">
        <v>3193</v>
      </c>
      <c r="C372" s="362" t="str">
        <f>sample_wld_srm_root_password</f>
        <v>VMw@re1!</v>
      </c>
      <c r="D372" s="337" t="str">
        <f>wld_srm_root_password</f>
        <v>Value Missing</v>
      </c>
      <c r="E372" s="32"/>
    </row>
    <row r="373" spans="2:5" s="8" customFormat="1" ht="15.95" customHeight="1" x14ac:dyDescent="0.2">
      <c r="B373" s="361" t="s">
        <v>3194</v>
      </c>
      <c r="C373" s="362" t="str">
        <f>sample_wld_srm_admin_password</f>
        <v>VMw@re1!</v>
      </c>
      <c r="D373" s="337" t="str">
        <f>wld_srm_admin_password</f>
        <v>Value Missing</v>
      </c>
      <c r="E373" s="32"/>
    </row>
    <row r="374" spans="2:5" s="8" customFormat="1" ht="33.950000000000003" customHeight="1" x14ac:dyDescent="0.2">
      <c r="B374" s="361" t="s">
        <v>746</v>
      </c>
      <c r="C374" s="362" t="str">
        <f>sample_region_ntp1_server</f>
        <v>ntp0.sfo.rainpole.io</v>
      </c>
      <c r="D374" s="337" t="str">
        <f>region_ntp1_server</f>
        <v>10.255.50.26</v>
      </c>
      <c r="E374" s="32"/>
    </row>
    <row r="375" spans="2:5" s="8" customFormat="1" ht="15.95" customHeight="1" x14ac:dyDescent="0.2">
      <c r="B375" s="4" t="s">
        <v>749</v>
      </c>
      <c r="C375" s="362" t="str">
        <f>CONCATENATE(sample_wld_srm_hostname,".",sample_child_dns_zone)</f>
        <v>sfo-w01-srm01.sfo.rainpole.io</v>
      </c>
      <c r="D375" s="337" t="str">
        <f>wld_srm_fqdn</f>
        <v>Value Missing.Value Missing</v>
      </c>
      <c r="E375" s="32"/>
    </row>
    <row r="376" spans="2:5" s="8" customFormat="1" ht="33.950000000000003" customHeight="1" x14ac:dyDescent="0.2">
      <c r="B376" s="361" t="s">
        <v>3255</v>
      </c>
      <c r="C376" s="362" t="str">
        <f>sample_wld_srm_database_password</f>
        <v>VMw@re1!</v>
      </c>
      <c r="D376" s="337" t="str">
        <f>wld_srm_database_password</f>
        <v>Value Missing</v>
      </c>
      <c r="E376" s="32"/>
    </row>
    <row r="377" spans="2:5" s="8" customFormat="1" ht="20.100000000000001" customHeight="1" x14ac:dyDescent="0.2">
      <c r="B377" s="4" t="s">
        <v>708</v>
      </c>
      <c r="C377" s="362" t="str">
        <f>sample_mgmt_az1_mgmt_vm_gateway_ip</f>
        <v>10.11.10.1</v>
      </c>
      <c r="D377" s="337" t="str">
        <f>mgmt_az1_mgmt_vm_gateway_ip</f>
        <v>10.100.50.1</v>
      </c>
      <c r="E377" s="32"/>
    </row>
    <row r="378" spans="2:5" s="8" customFormat="1" ht="20.100000000000001" customHeight="1" x14ac:dyDescent="0.2">
      <c r="B378" s="361" t="s">
        <v>354</v>
      </c>
      <c r="C378" s="362" t="str">
        <f>sample_child_dns_zone</f>
        <v>sfo.rainpole.io</v>
      </c>
      <c r="D378" s="337" t="str">
        <f>child_dns_zone</f>
        <v>Value Missing</v>
      </c>
      <c r="E378" s="32"/>
    </row>
    <row r="379" spans="2:5" s="8" customFormat="1" ht="20.100000000000001" customHeight="1" x14ac:dyDescent="0.2">
      <c r="B379" s="361" t="s">
        <v>3195</v>
      </c>
      <c r="C379" s="362" t="str">
        <f>sample_child_dns_zone</f>
        <v>sfo.rainpole.io</v>
      </c>
      <c r="D379" s="337" t="str">
        <f>child_dns_zone</f>
        <v>Value Missing</v>
      </c>
      <c r="E379" s="32"/>
    </row>
    <row r="380" spans="2:5" s="8" customFormat="1" ht="15.95" customHeight="1" x14ac:dyDescent="0.2">
      <c r="B380" s="361" t="s">
        <v>3196</v>
      </c>
      <c r="C380" s="362" t="str">
        <f>CONCATENATE(sample_region_dns1_ip,",",sample_region_dns2_ip)</f>
        <v>10.11.10.4,10.11.10.5</v>
      </c>
      <c r="D380" s="337" t="str">
        <f>CONCATENATE(region_dns1_ip,",",region_dns2_ip)</f>
        <v>10.255.50.26,Value Missing</v>
      </c>
      <c r="E380" s="32"/>
    </row>
    <row r="381" spans="2:5" s="8" customFormat="1" ht="33.950000000000003" customHeight="1" x14ac:dyDescent="0.2">
      <c r="B381" s="361" t="s">
        <v>3197</v>
      </c>
      <c r="C381" s="362" t="str">
        <f>sample_wld_srm_ip</f>
        <v>10.11.10.127</v>
      </c>
      <c r="D381" s="337" t="str">
        <f>wld_srm_ip</f>
        <v>Value Missing</v>
      </c>
      <c r="E381" s="32"/>
    </row>
    <row r="382" spans="2:5" s="8" customFormat="1" ht="20.100000000000001" customHeight="1" x14ac:dyDescent="0.2">
      <c r="B382" s="361" t="s">
        <v>3198</v>
      </c>
      <c r="C382" s="362">
        <f>INT(RIGHT(sample_mgmt_az1_mgmt_cidr,LEN(sample_mgmt_az1_mgmt_cidr)-FIND("/",sample_mgmt_az1_mgmt_cidr)))</f>
        <v>24</v>
      </c>
      <c r="D382" s="337">
        <f>IF(mgmt_az1_mgmt_cidr="Value Missing","Value Missing",INT(RIGHT(mgmt_az1_mgmt_cidr,LEN(mgmt_az1_mgmt_cidr)-FIND("/",mgmt_az1_mgmt_cidr))))</f>
        <v>24</v>
      </c>
      <c r="E382" s="32"/>
    </row>
    <row r="383" spans="2:5" s="8" customFormat="1" ht="20.100000000000001" customHeight="1" x14ac:dyDescent="0.2"/>
    <row r="384" spans="2:5" s="8" customFormat="1" ht="20.100000000000001" customHeight="1" x14ac:dyDescent="0.2">
      <c r="B384" s="505" t="s">
        <v>3256</v>
      </c>
      <c r="C384" s="506"/>
      <c r="D384" s="506"/>
      <c r="E384" s="507"/>
    </row>
    <row r="385" spans="2:5" s="8" customFormat="1" ht="20.100000000000001" customHeight="1" x14ac:dyDescent="0.2">
      <c r="B385" s="43" t="s">
        <v>259</v>
      </c>
      <c r="C385" s="43" t="s">
        <v>711</v>
      </c>
      <c r="D385" s="130" t="s">
        <v>277</v>
      </c>
      <c r="E385" s="43" t="s">
        <v>5</v>
      </c>
    </row>
    <row r="386" spans="2:5" s="8" customFormat="1" ht="20.100000000000001" customHeight="1" x14ac:dyDescent="0.2">
      <c r="B386" s="4" t="s">
        <v>3257</v>
      </c>
      <c r="C386" s="362" t="str">
        <f>CONCATENATE(sample_wld_srm_hostname,".",sample_child_dns_zone)</f>
        <v>sfo-w01-srm01.sfo.rainpole.io</v>
      </c>
      <c r="D386" s="337" t="str">
        <f>wld_srm_fqdn</f>
        <v>Value Missing.Value Missing</v>
      </c>
      <c r="E386" s="32"/>
    </row>
    <row r="387" spans="2:5" s="8" customFormat="1" ht="20.100000000000001" customHeight="1" x14ac:dyDescent="0.2">
      <c r="B387" s="4" t="s">
        <v>3201</v>
      </c>
      <c r="C387" s="362" t="str">
        <f>sample_wld_srm_p12_password</f>
        <v>VMw@re1!</v>
      </c>
      <c r="D387" s="337" t="str">
        <f>wld_srm_p12_password</f>
        <v>Value Missing</v>
      </c>
      <c r="E387" s="32"/>
    </row>
    <row r="388" spans="2:5" s="8" customFormat="1" ht="20.100000000000001" customHeight="1" x14ac:dyDescent="0.2"/>
    <row r="389" spans="2:5" s="8" customFormat="1" ht="20.100000000000001" customHeight="1" x14ac:dyDescent="0.2">
      <c r="B389" s="505" t="s">
        <v>3258</v>
      </c>
      <c r="C389" s="506"/>
      <c r="D389" s="506"/>
      <c r="E389" s="507"/>
    </row>
    <row r="390" spans="2:5" s="8" customFormat="1" ht="20.100000000000001" customHeight="1" x14ac:dyDescent="0.2">
      <c r="B390" s="43" t="s">
        <v>259</v>
      </c>
      <c r="C390" s="43" t="s">
        <v>711</v>
      </c>
      <c r="D390" s="130" t="s">
        <v>277</v>
      </c>
      <c r="E390" s="43" t="s">
        <v>5</v>
      </c>
    </row>
    <row r="391" spans="2:5" s="8" customFormat="1" ht="20.100000000000001" customHeight="1" x14ac:dyDescent="0.2">
      <c r="B391" s="4" t="s">
        <v>3257</v>
      </c>
      <c r="C391" s="362" t="str">
        <f>CONCATENATE(sample_wld_srm_hostname,".",sample_child_dns_zone)</f>
        <v>sfo-w01-srm01.sfo.rainpole.io</v>
      </c>
      <c r="D391" s="337" t="str">
        <f>wld_srm_fqdn</f>
        <v>Value Missing.Value Missing</v>
      </c>
      <c r="E391" s="32"/>
    </row>
    <row r="392" spans="2:5" s="8" customFormat="1" ht="20.100000000000001" customHeight="1" x14ac:dyDescent="0.2">
      <c r="B392" s="361" t="s">
        <v>3203</v>
      </c>
      <c r="C392" s="362" t="str">
        <f>sample_wld_vc_fqdn</f>
        <v>sfo-w01-vc01.sfo.rainpole.io</v>
      </c>
      <c r="D392" s="337" t="str">
        <f>wld_vc_fqdn</f>
        <v>Value Missing</v>
      </c>
      <c r="E392" s="32"/>
    </row>
    <row r="393" spans="2:5" s="8" customFormat="1" ht="20.100000000000001" customHeight="1" x14ac:dyDescent="0.2">
      <c r="B393" s="361" t="s">
        <v>565</v>
      </c>
      <c r="C393" s="362" t="s">
        <v>357</v>
      </c>
      <c r="D393" s="337" t="str">
        <f>C393</f>
        <v>administrator@vsphere.local</v>
      </c>
      <c r="E393" s="32"/>
    </row>
    <row r="394" spans="2:5" s="8" customFormat="1" ht="20.100000000000001" customHeight="1" x14ac:dyDescent="0.2">
      <c r="B394" s="361" t="s">
        <v>296</v>
      </c>
      <c r="C394" s="362" t="str">
        <f>sample_administrator_vsphere_local_password</f>
        <v>VMw@re1!VMw@re1!</v>
      </c>
      <c r="D394" s="337" t="str">
        <f>administrator_vsphere_local_password</f>
        <v>VMware123!VMware123!</v>
      </c>
      <c r="E394" s="32"/>
    </row>
    <row r="395" spans="2:5" s="8" customFormat="1" ht="20.100000000000001" customHeight="1" x14ac:dyDescent="0.2">
      <c r="B395" s="361" t="s">
        <v>2026</v>
      </c>
      <c r="C395" s="362" t="str">
        <f>sample_wld_vc_fqdn</f>
        <v>sfo-w01-vc01.sfo.rainpole.io</v>
      </c>
      <c r="D395" s="337" t="str">
        <f>wld_vc_fqdn</f>
        <v>Value Missing</v>
      </c>
      <c r="E395" s="32"/>
    </row>
    <row r="396" spans="2:5" s="8" customFormat="1" ht="20.100000000000001" customHeight="1" x14ac:dyDescent="0.2">
      <c r="B396" s="361" t="s">
        <v>3088</v>
      </c>
      <c r="C396" s="362" t="str">
        <f>sample_wld_srm_site_name</f>
        <v>SFO-W01</v>
      </c>
      <c r="D396" s="337" t="str">
        <f>wld_srm_site_name</f>
        <v>Value Missing</v>
      </c>
      <c r="E396" s="32"/>
    </row>
    <row r="397" spans="2:5" s="8" customFormat="1" ht="20.100000000000001" customHeight="1" x14ac:dyDescent="0.2">
      <c r="B397" s="4" t="s">
        <v>3204</v>
      </c>
      <c r="C397" s="362" t="str">
        <f>sample_wld_srm_admin_email</f>
        <v>srm-administrator@rainpole.io</v>
      </c>
      <c r="D397" s="337" t="str">
        <f>wld_srm_admin_email</f>
        <v>Value Missing</v>
      </c>
      <c r="E397" s="32"/>
    </row>
    <row r="398" spans="2:5" s="8" customFormat="1" ht="20.100000000000001" customHeight="1" x14ac:dyDescent="0.2">
      <c r="B398" s="4" t="s">
        <v>3205</v>
      </c>
      <c r="C398" s="362" t="str">
        <f>CONCATENATE(sample_wld_srm_hostname,".",sample_child_dns_zone)</f>
        <v>sfo-w01-srm01.sfo.rainpole.io</v>
      </c>
      <c r="D398" s="337" t="str">
        <f>wld_srm_fqdn</f>
        <v>Value Missing.Value Missing</v>
      </c>
      <c r="E398" s="32"/>
    </row>
    <row r="399" spans="2:5" s="8" customFormat="1" ht="20.100000000000001" customHeight="1" x14ac:dyDescent="0.2"/>
    <row r="400" spans="2:5" s="8" customFormat="1" ht="20.100000000000001" customHeight="1" x14ac:dyDescent="0.2">
      <c r="B400" s="505" t="s">
        <v>3259</v>
      </c>
      <c r="C400" s="506"/>
      <c r="D400" s="506"/>
      <c r="E400" s="507"/>
    </row>
    <row r="401" spans="2:5" s="8" customFormat="1" ht="15.95" customHeight="1" x14ac:dyDescent="0.2">
      <c r="B401" s="43" t="s">
        <v>259</v>
      </c>
      <c r="C401" s="43" t="s">
        <v>711</v>
      </c>
      <c r="D401" s="130" t="s">
        <v>277</v>
      </c>
      <c r="E401" s="43" t="s">
        <v>5</v>
      </c>
    </row>
    <row r="402" spans="2:5" s="8" customFormat="1" ht="33.950000000000003" customHeight="1" x14ac:dyDescent="0.2">
      <c r="B402" s="361" t="s">
        <v>815</v>
      </c>
      <c r="C402" s="362" t="str">
        <f>sample_wld_vc_fqdn</f>
        <v>sfo-w01-vc01.sfo.rainpole.io</v>
      </c>
      <c r="D402" s="337" t="str">
        <f>wld_vc_fqdn</f>
        <v>Value Missing</v>
      </c>
      <c r="E402" s="32"/>
    </row>
    <row r="403" spans="2:5" s="8" customFormat="1" ht="20.100000000000001" customHeight="1" x14ac:dyDescent="0.2">
      <c r="B403" s="4" t="s">
        <v>3260</v>
      </c>
      <c r="C403" s="362"/>
      <c r="D403" s="337"/>
      <c r="E403" s="32"/>
    </row>
    <row r="404" spans="2:5" s="8" customFormat="1" ht="20.100000000000001" customHeight="1" x14ac:dyDescent="0.2">
      <c r="B404" s="361" t="s">
        <v>3261</v>
      </c>
      <c r="C404" s="362" t="s">
        <v>2467</v>
      </c>
      <c r="D404" s="337" t="str">
        <f>C404</f>
        <v>Site Recovery Manager</v>
      </c>
      <c r="E404" s="32"/>
    </row>
    <row r="405" spans="2:5" s="8" customFormat="1" ht="20.100000000000001" customHeight="1" x14ac:dyDescent="0.2">
      <c r="B405" s="361" t="s">
        <v>3262</v>
      </c>
      <c r="C405" s="362" t="str">
        <f>sample_wld_srm_site_name</f>
        <v>SFO-W01</v>
      </c>
      <c r="D405" s="337" t="str">
        <f>wld_srm_site_name</f>
        <v>Value Missing</v>
      </c>
      <c r="E405" s="32"/>
    </row>
    <row r="406" spans="2:5" s="8" customFormat="1" ht="15.95" customHeight="1" x14ac:dyDescent="0.2">
      <c r="B406" s="361" t="s">
        <v>3263</v>
      </c>
      <c r="C406" s="362"/>
      <c r="D406" s="337"/>
      <c r="E406" s="32"/>
    </row>
    <row r="407" spans="2:5" s="8" customFormat="1" ht="33.950000000000003" customHeight="1" x14ac:dyDescent="0.2"/>
    <row r="408" spans="2:5" s="8" customFormat="1" ht="20.100000000000001" customHeight="1" x14ac:dyDescent="0.2">
      <c r="B408" s="552" t="s">
        <v>3264</v>
      </c>
      <c r="C408" s="553"/>
      <c r="D408" s="553"/>
      <c r="E408" s="553"/>
    </row>
    <row r="409" spans="2:5" s="8" customFormat="1" ht="20.100000000000001" customHeight="1" x14ac:dyDescent="0.2"/>
    <row r="410" spans="2:5" s="8" customFormat="1" ht="20.100000000000001" customHeight="1" x14ac:dyDescent="0.2">
      <c r="B410" s="553" t="s">
        <v>3265</v>
      </c>
      <c r="C410" s="553"/>
      <c r="D410" s="553"/>
      <c r="E410" s="553"/>
    </row>
    <row r="411" spans="2:5" s="8" customFormat="1" ht="20.100000000000001" customHeight="1" x14ac:dyDescent="0.2">
      <c r="B411" s="43" t="s">
        <v>259</v>
      </c>
      <c r="C411" s="43" t="s">
        <v>711</v>
      </c>
      <c r="D411" s="130" t="s">
        <v>277</v>
      </c>
      <c r="E411" s="43" t="s">
        <v>5</v>
      </c>
    </row>
    <row r="412" spans="2:5" s="8" customFormat="1" ht="20.100000000000001" customHeight="1" x14ac:dyDescent="0.2">
      <c r="B412" s="361" t="s">
        <v>3107</v>
      </c>
      <c r="C412" s="362" t="str">
        <f>sample_wld_vc_fqdn</f>
        <v>sfo-w01-vc01.sfo.rainpole.io</v>
      </c>
      <c r="D412" s="337" t="str">
        <f>wld_vc_fqdn</f>
        <v>Value Missing</v>
      </c>
      <c r="E412" s="32"/>
    </row>
    <row r="413" spans="2:5" s="8" customFormat="1" ht="20.100000000000001" customHeight="1" x14ac:dyDescent="0.2">
      <c r="B413" s="361" t="s">
        <v>3266</v>
      </c>
      <c r="C413" s="362" t="str">
        <f>sample_wld_vc_fqdn</f>
        <v>sfo-w01-vc01.sfo.rainpole.io</v>
      </c>
      <c r="D413" s="337" t="str">
        <f>wld_vc_fqdn</f>
        <v>Value Missing</v>
      </c>
      <c r="E413" s="32"/>
    </row>
    <row r="414" spans="2:5" s="8" customFormat="1" ht="20.100000000000001" customHeight="1" x14ac:dyDescent="0.2">
      <c r="B414" s="361" t="s">
        <v>3267</v>
      </c>
      <c r="C414" s="362" t="s">
        <v>3268</v>
      </c>
      <c r="D414" s="337" t="str">
        <f>IF(wld_srm_sso_domain_membership="Value Missing","Value Missing",IF(wld_srm_sso_domain_membership="Same SSO Domain","Pair with a peer vCenter Server located in the same SSO domain","Pair with a peer vCenter Server located in a different SSO domain"))</f>
        <v>Value Missing</v>
      </c>
      <c r="E414" s="32"/>
    </row>
    <row r="415" spans="2:5" s="8" customFormat="1" ht="20.100000000000001" customHeight="1" x14ac:dyDescent="0.2">
      <c r="B415" s="361" t="s">
        <v>3203</v>
      </c>
      <c r="C415" s="362" t="str">
        <f>sample_wld_srm_recovery_vcenter_fqdn</f>
        <v>lax-w01-vc01.lax.rainpole.io</v>
      </c>
      <c r="D415" s="337" t="str">
        <f>wld_srm_recovery_vcenter_fqdn</f>
        <v>Value Missing</v>
      </c>
      <c r="E415" s="32"/>
    </row>
    <row r="416" spans="2:5" s="8" customFormat="1" ht="20.100000000000001" customHeight="1" x14ac:dyDescent="0.2">
      <c r="B416" s="361" t="s">
        <v>565</v>
      </c>
      <c r="C416" s="362" t="str">
        <f>sample_wld_srm_recovery_vcenter_username</f>
        <v>administrator@vsphere.local</v>
      </c>
      <c r="D416" s="337" t="str">
        <f>wld_srm_recovery_vcenter_username</f>
        <v>Value Missing</v>
      </c>
      <c r="E416" s="32"/>
    </row>
    <row r="417" spans="2:5" s="8" customFormat="1" ht="15.95" customHeight="1" x14ac:dyDescent="0.2">
      <c r="B417" s="4" t="s">
        <v>296</v>
      </c>
      <c r="C417" s="362" t="str">
        <f>sample_wld_srm_recovery_vcenter_password</f>
        <v>VMw@re1!</v>
      </c>
      <c r="D417" s="337" t="str">
        <f>wld_srm_recovery_vcenter_password</f>
        <v>Value Missing</v>
      </c>
      <c r="E417" s="32"/>
    </row>
    <row r="418" spans="2:5" s="8" customFormat="1" ht="33.950000000000003" customHeight="1" x14ac:dyDescent="0.2">
      <c r="B418" s="4" t="s">
        <v>3269</v>
      </c>
      <c r="C418" s="362" t="str">
        <f>sample_wld_srm_recovery_vcenter_fqdn</f>
        <v>lax-w01-vc01.lax.rainpole.io</v>
      </c>
      <c r="D418" s="337" t="str">
        <f>wld_srm_recovery_vcenter_fqdn</f>
        <v>Value Missing</v>
      </c>
      <c r="E418" s="32"/>
    </row>
    <row r="419" spans="2:5" s="8" customFormat="1" ht="20.100000000000001" customHeight="1" x14ac:dyDescent="0.2"/>
    <row r="507" spans="2:5" ht="20.100000000000001" customHeight="1" x14ac:dyDescent="0.25">
      <c r="B507" s="405" t="str">
        <f>IF(OR(cluster_secondary_storage_chosen="Secondary NFS Storage Network",wld_secondary_storage_chosen="Secondary NFS Storage Network"),"NFS Storage Network","vSAN Storage Client")</f>
        <v>vSAN Storage Client</v>
      </c>
      <c r="C507" s="406"/>
      <c r="D507" s="406"/>
      <c r="E507" s="407"/>
    </row>
    <row r="508" spans="2:5" ht="20.100000000000001" customHeight="1" x14ac:dyDescent="0.25">
      <c r="B508" s="4" t="s">
        <v>398</v>
      </c>
      <c r="C508" s="80" t="str">
        <f>IF(cluster_wld_domain_chosen&lt;&gt;"MGMT Workload Domain",CONCATENATE(prefix_wld_az1_rack_vlan,"26"),CONCATENATE(prefix_mgmt_az1_vlan,"26"))</f>
        <v>1326</v>
      </c>
      <c r="D508" s="347"/>
      <c r="E508" s="32"/>
    </row>
    <row r="509" spans="2:5" ht="20.100000000000001" customHeight="1" x14ac:dyDescent="0.25">
      <c r="B509" s="4" t="s">
        <v>401</v>
      </c>
      <c r="C509" s="80">
        <v>9000</v>
      </c>
      <c r="D509" s="347"/>
      <c r="E509" s="56"/>
    </row>
    <row r="510" spans="2:5" ht="20.100000000000001" customHeight="1" x14ac:dyDescent="0.25">
      <c r="B510" s="4" t="s">
        <v>400</v>
      </c>
      <c r="C510" s="80" t="str">
        <f>IF(cluster_wld_domain_chosen&lt;&gt;"MGMT Workload Domain",CONCATENATE(prefix_wld_az1_rack_cidr,"26.0"),CONCATENATE(prefix_mgmt_az1_cidr,"26.0"))</f>
        <v>10.13.26.0</v>
      </c>
      <c r="D510" s="347"/>
      <c r="E510" s="32"/>
    </row>
    <row r="511" spans="2:5" ht="20.100000000000001" customHeight="1" x14ac:dyDescent="0.25">
      <c r="B511" s="4" t="s">
        <v>732</v>
      </c>
      <c r="C511" s="80" t="s">
        <v>612</v>
      </c>
      <c r="D511" s="347"/>
      <c r="E511" s="32"/>
    </row>
    <row r="512" spans="2:5" ht="20.100000000000001" customHeight="1" x14ac:dyDescent="0.25">
      <c r="B512" s="4" t="s">
        <v>399</v>
      </c>
      <c r="C512" s="80" t="str">
        <f>IF(cluster_wld_domain_chosen&lt;&gt;"MGMT Workload Domain",CONCATENATE(prefix_wld_az1_rack_cidr,"26.1"),CONCATENATE(prefix_mgmt_az1_cidr,"26.1"))</f>
        <v>10.13.26.1</v>
      </c>
      <c r="D512" s="347"/>
      <c r="E512" s="32" t="str">
        <f>IF(AND(mgmt_stretched_cluster_result="Included",mgmt_dpg_reuse_result="Excluded"),"Stretched L2","")</f>
        <v/>
      </c>
    </row>
    <row r="513" spans="2:5" ht="20.100000000000001" customHeight="1" x14ac:dyDescent="0.25">
      <c r="B513" s="17" t="s">
        <v>460</v>
      </c>
      <c r="C513" s="80" t="str">
        <f>IF(cluster_wld_domain_chosen&lt;&gt;"MGMT Workload Domain",CONCATENATE(prefix_wld_az1_rack_cidr,"26.101"),CONCATENATE(prefix_mgmt_az1_cidr,"26.101"))</f>
        <v>10.13.26.101</v>
      </c>
      <c r="D513" s="140"/>
      <c r="E51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100000000000001" customHeight="1" x14ac:dyDescent="0.25">
      <c r="B514" s="17" t="s">
        <v>461</v>
      </c>
      <c r="C514" s="80" t="str">
        <f>IF(cluster_wld_domain_chosen&lt;&gt;"MGMT Workload Domain",CONCATENATE(prefix_wld_az1_rack_cidr,"26.116"),CONCATENATE(prefix_mgmt_az1_cidr,"26.116"))</f>
        <v>10.13.26.116</v>
      </c>
      <c r="D514" s="140"/>
      <c r="E51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100000000000001" customHeight="1" x14ac:dyDescent="0.25">
      <c r="B515" s="405" t="str">
        <f>IF(OR(cluster_secondary_storage_chosen="Secondary NFS Storage Network",wld_secondary_storage_chosen="Secondary NFS Storage Network"),"NFS Storage Network","vSAN Storage Client")</f>
        <v>vSAN Storage Client</v>
      </c>
      <c r="C515" s="406"/>
      <c r="D515" s="406"/>
      <c r="E515" s="407"/>
    </row>
    <row r="516" spans="2:5" ht="20.100000000000001" customHeight="1" x14ac:dyDescent="0.25">
      <c r="B516" s="4" t="s">
        <v>398</v>
      </c>
      <c r="C516" s="89" t="str">
        <f>IF(cluster_wld_domain_chosen&lt;&gt;"MGMT Workload Domain",CONCATENATE(prefix_wld_az1_rack_vlan,"37"),CONCATENATE(prefix_mgmt_az1_vlan,"37"))</f>
        <v>1337</v>
      </c>
      <c r="D516" s="347"/>
      <c r="E516" s="32"/>
    </row>
    <row r="517" spans="2:5" ht="20.100000000000001" customHeight="1" x14ac:dyDescent="0.25">
      <c r="B517" s="4" t="s">
        <v>401</v>
      </c>
      <c r="C517" s="89">
        <v>9000</v>
      </c>
      <c r="D517" s="347"/>
      <c r="E517" s="56"/>
    </row>
    <row r="518" spans="2:5" ht="20.100000000000001" customHeight="1" x14ac:dyDescent="0.25">
      <c r="B518" s="4" t="s">
        <v>400</v>
      </c>
      <c r="C518" s="89" t="str">
        <f>IF(cluster_wld_domain_chosen&lt;&gt;"MGMT Workload Domain",CONCATENATE(prefix_wld_az1_rack_cidr,"37.0"),CONCATENATE(prefix_mgmt_az1_cidr,"37.0"))</f>
        <v>10.13.37.0</v>
      </c>
      <c r="D518" s="347"/>
      <c r="E518" s="32"/>
    </row>
    <row r="519" spans="2:5" ht="20.100000000000001" customHeight="1" x14ac:dyDescent="0.25">
      <c r="B519" s="4" t="s">
        <v>732</v>
      </c>
      <c r="C519" s="89" t="s">
        <v>612</v>
      </c>
      <c r="D519" s="347"/>
      <c r="E519" s="32"/>
    </row>
    <row r="520" spans="2:5" ht="20.100000000000001" customHeight="1" x14ac:dyDescent="0.25">
      <c r="B520" s="4" t="s">
        <v>399</v>
      </c>
      <c r="C520" s="89" t="str">
        <f>IF(cluster_wld_domain_chosen&lt;&gt;"MGMT Workload Domain",CONCATENATE(prefix_wld_az1_rack_cidr,"37.1"),CONCATENATE(prefix_mgmt_az1_cidr,"37.1"))</f>
        <v>10.13.37.1</v>
      </c>
      <c r="D520" s="347"/>
      <c r="E520" s="32" t="str">
        <f>IF(AND(mgmt_stretched_cluster_result="Included",mgmt_dpg_reuse_result="Excluded"),"Stretched L2","")</f>
        <v/>
      </c>
    </row>
    <row r="521" spans="2:5" ht="20.100000000000001" customHeight="1" x14ac:dyDescent="0.25">
      <c r="B521" s="17" t="s">
        <v>460</v>
      </c>
      <c r="C521" s="89" t="str">
        <f>IF(cluster_wld_domain_chosen&lt;&gt;"MGMT Workload Domain",CONCATENATE(prefix_wld_az1_rack_cidr,"37.101"),CONCATENATE(prefix_mgmt_az1_cidr,"37.101"))</f>
        <v>10.13.37.101</v>
      </c>
      <c r="D521" s="347"/>
      <c r="E52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100000000000001" customHeight="1" x14ac:dyDescent="0.25">
      <c r="B522" s="17" t="s">
        <v>461</v>
      </c>
      <c r="C522" s="89" t="str">
        <f>IF(cluster_wld_domain_chosen&lt;&gt;"MGMT Workload Domain",CONCATENATE(prefix_wld_az1_rack_cidr,"37.116"),CONCATENATE(prefix_mgmt_az1_cidr,"37.116"))</f>
        <v>10.13.37.116</v>
      </c>
      <c r="D522" s="347"/>
      <c r="E52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100000000000001" customHeight="1" x14ac:dyDescent="0.25">
      <c r="B523" s="405" t="str">
        <f>IF(OR(cluster_secondary_storage_chosen="Secondary NFS Storage Network",wld_secondary_storage_chosen="Secondary NFS Storage Network"),"NFS Storage Network","vSAN Storage Client")</f>
        <v>vSAN Storage Client</v>
      </c>
      <c r="C523" s="406"/>
      <c r="D523" s="406"/>
      <c r="E523" s="407"/>
    </row>
    <row r="524" spans="2:5" ht="20.100000000000001" customHeight="1" x14ac:dyDescent="0.25">
      <c r="B524" s="4" t="s">
        <v>398</v>
      </c>
      <c r="C524" s="362" t="str">
        <f>IF(cluster_wld_domain_chosen&lt;&gt;"MGMT Workload Domain",CONCATENATE(prefix_wld_az1_rack_vlan,"48"),CONCATENATE(prefix_mgmt_az1_vlan,"48"))</f>
        <v>1348</v>
      </c>
      <c r="D524" s="347"/>
      <c r="E524" s="32"/>
    </row>
    <row r="525" spans="2:5" ht="20.100000000000001" customHeight="1" x14ac:dyDescent="0.25">
      <c r="B525" s="4" t="s">
        <v>401</v>
      </c>
      <c r="C525" s="362">
        <v>9000</v>
      </c>
      <c r="D525" s="347"/>
      <c r="E525" s="56"/>
    </row>
    <row r="526" spans="2:5" ht="20.100000000000001" customHeight="1" x14ac:dyDescent="0.25">
      <c r="B526" s="4" t="s">
        <v>400</v>
      </c>
      <c r="C526" s="126" t="str">
        <f>IF(cluster_wld_domain_chosen&lt;&gt;"MGMT Workload Domain",CONCATENATE(prefix_wld_az1_rack_cidr,"48.0"),CONCATENATE(prefix_mgmt_az1_cidr,"48.0"))</f>
        <v>10.13.48.0</v>
      </c>
      <c r="D526" s="347"/>
      <c r="E526" s="32"/>
    </row>
    <row r="527" spans="2:5" ht="20.100000000000001" customHeight="1" x14ac:dyDescent="0.25">
      <c r="B527" s="4" t="s">
        <v>732</v>
      </c>
      <c r="C527" s="126" t="s">
        <v>612</v>
      </c>
      <c r="D527" s="347"/>
      <c r="E527" s="32"/>
    </row>
    <row r="528" spans="2:5" ht="20.100000000000001" customHeight="1" x14ac:dyDescent="0.25">
      <c r="B528" s="4" t="s">
        <v>399</v>
      </c>
      <c r="C528" s="362" t="str">
        <f>IF(cluster_wld_domain_chosen&lt;&gt;"MGMT Workload Domain",CONCATENATE(prefix_wld_az1_rack_cidr,"48.1"),CONCATENATE(prefix_mgmt_az1_cidr,"48.1"))</f>
        <v>10.13.48.1</v>
      </c>
      <c r="D528" s="347"/>
      <c r="E528" s="32" t="str">
        <f>IF(AND(mgmt_stretched_cluster_result="Included",mgmt_dpg_reuse_result="Excluded"),"Stretched L2","")</f>
        <v/>
      </c>
    </row>
    <row r="529" spans="2:5" ht="20.100000000000001" customHeight="1" x14ac:dyDescent="0.25">
      <c r="B529" s="17" t="s">
        <v>460</v>
      </c>
      <c r="C529" s="362" t="str">
        <f>IF(cluster_wld_domain_chosen&lt;&gt;"MGMT Workload Domain",CONCATENATE(prefix_wld_az1_rack_cidr,"48.101"),CONCATENATE(prefix_mgmt_az1_cidr,"48.101"))</f>
        <v>10.13.48.101</v>
      </c>
      <c r="D529" s="347"/>
      <c r="E529"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100000000000001" customHeight="1" x14ac:dyDescent="0.25">
      <c r="B530" s="17" t="s">
        <v>461</v>
      </c>
      <c r="C530" s="362" t="str">
        <f>IF(cluster_wld_domain_chosen&lt;&gt;"MGMT Workload Domain",CONCATENATE(prefix_wld_az1_rack_cidr,"48.116"),CONCATENATE(prefix_mgmt_az1_cidr,"48.116"))</f>
        <v>10.13.48.116</v>
      </c>
      <c r="D530" s="347"/>
      <c r="E530"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100000000000001" customHeight="1" x14ac:dyDescent="0.25">
      <c r="B531" s="405" t="str">
        <f>IF(OR(cluster_secondary_storage_chosen="Secondary NFS Storage Network",wld_secondary_storage_chosen="Secondary NFS Storage Network"),"NFS Storage Network","vSAN Storage Client")</f>
        <v>vSAN Storage Client</v>
      </c>
      <c r="C531" s="406"/>
      <c r="D531" s="406"/>
      <c r="E531" s="407"/>
    </row>
    <row r="532" spans="2:5" ht="20.100000000000001" customHeight="1" x14ac:dyDescent="0.25">
      <c r="B532" s="4" t="s">
        <v>398</v>
      </c>
      <c r="C532" s="362" t="str">
        <f>IF(cluster_wld_domain_chosen&lt;&gt;"MGMT Workload Domain",CONCATENATE(prefix_wld_az1_rack_vlan,"59"),CONCATENATE(prefix_mgmt_az1_vlan,"59"))</f>
        <v>1359</v>
      </c>
      <c r="D532" s="347"/>
      <c r="E532" s="32"/>
    </row>
    <row r="533" spans="2:5" ht="20.100000000000001" customHeight="1" x14ac:dyDescent="0.25">
      <c r="B533" s="4" t="s">
        <v>401</v>
      </c>
      <c r="C533" s="362">
        <v>9000</v>
      </c>
      <c r="D533" s="347"/>
      <c r="E533" s="56"/>
    </row>
    <row r="534" spans="2:5" ht="20.100000000000001" customHeight="1" x14ac:dyDescent="0.25">
      <c r="B534" s="4" t="s">
        <v>400</v>
      </c>
      <c r="C534" s="126" t="str">
        <f>IF(cluster_wld_domain_chosen&lt;&gt;"MGMT Workload Domain",CONCATENATE(prefix_wld_az1_rack_cidr,"59.0"),CONCATENATE(prefix_mgmt_az1_cidr,"59.0"))</f>
        <v>10.13.59.0</v>
      </c>
      <c r="D534" s="347"/>
      <c r="E534" s="32"/>
    </row>
    <row r="535" spans="2:5" ht="20.100000000000001" customHeight="1" x14ac:dyDescent="0.25">
      <c r="B535" s="4" t="s">
        <v>732</v>
      </c>
      <c r="C535" s="126" t="s">
        <v>612</v>
      </c>
      <c r="D535" s="347"/>
      <c r="E535" s="32"/>
    </row>
    <row r="536" spans="2:5" ht="20.100000000000001" customHeight="1" x14ac:dyDescent="0.25">
      <c r="B536" s="4" t="s">
        <v>399</v>
      </c>
      <c r="C536" s="362" t="str">
        <f>IF(cluster_wld_domain_chosen&lt;&gt;"MGMT Workload Domain",CONCATENATE(prefix_wld_az1_rack_cidr,"59.1"),CONCATENATE(prefix_mgmt_az1_cidr,"59.1"))</f>
        <v>10.13.59.1</v>
      </c>
      <c r="D536" s="347"/>
      <c r="E536" s="32" t="str">
        <f>IF(AND(mgmt_stretched_cluster_result="Included",mgmt_dpg_reuse_result="Excluded"),"Stretched L2","")</f>
        <v/>
      </c>
    </row>
    <row r="537" spans="2:5" ht="20.100000000000001" customHeight="1" x14ac:dyDescent="0.25">
      <c r="B537" s="17" t="s">
        <v>460</v>
      </c>
      <c r="C537" s="362" t="str">
        <f>IF(cluster_wld_domain_chosen&lt;&gt;"MGMT Workload Domain",CONCATENATE(prefix_wld_az1_rack_cidr,"59.101"),CONCATENATE(prefix_mgmt_az1_cidr,"59.101"))</f>
        <v>10.13.59.101</v>
      </c>
      <c r="D537" s="347"/>
      <c r="E537"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100000000000001" customHeight="1" x14ac:dyDescent="0.25">
      <c r="B538" s="17" t="s">
        <v>461</v>
      </c>
      <c r="C538" s="362" t="str">
        <f>IF(cluster_wld_domain_chosen&lt;&gt;"MGMT Workload Domain",CONCATENATE(prefix_wld_az1_rack_cidr,"59.116"),CONCATENATE(prefix_mgmt_az1_cidr,"59.116"))</f>
        <v>10.13.59.116</v>
      </c>
      <c r="D538" s="347"/>
      <c r="E538"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100000000000001" customHeight="1" x14ac:dyDescent="0.25">
      <c r="B539" s="405" t="str">
        <f>IF(OR(cluster_secondary_storage_chosen="Secondary NFS Storage Network",wld_secondary_storage_chosen="Secondary NFS Storage Network"),"NFS Storage Network","vSAN Storage Client")</f>
        <v>vSAN Storage Client</v>
      </c>
      <c r="C539" s="406"/>
      <c r="D539" s="406"/>
      <c r="E539" s="407"/>
    </row>
    <row r="540" spans="2:5" ht="20.100000000000001" customHeight="1" x14ac:dyDescent="0.25">
      <c r="B540" s="4" t="s">
        <v>398</v>
      </c>
      <c r="C540" s="362" t="str">
        <f>IF(cluster_wld_domain_chosen&lt;&gt;"MGMT Workload Domain",CONCATENATE(prefix_wld_az1_rack_vlan,"70"),CONCATENATE(prefix_mgmt_az1_vlan,"70"))</f>
        <v>1370</v>
      </c>
      <c r="D540" s="347"/>
      <c r="E540" s="32"/>
    </row>
    <row r="541" spans="2:5" ht="20.100000000000001" customHeight="1" x14ac:dyDescent="0.25">
      <c r="B541" s="4" t="s">
        <v>401</v>
      </c>
      <c r="C541" s="362">
        <v>9000</v>
      </c>
      <c r="D541" s="347"/>
      <c r="E541" s="56"/>
    </row>
    <row r="542" spans="2:5" ht="20.100000000000001" customHeight="1" x14ac:dyDescent="0.25">
      <c r="B542" s="4" t="s">
        <v>400</v>
      </c>
      <c r="C542" s="126" t="str">
        <f>IF(cluster_wld_domain_chosen&lt;&gt;"MGMT Workload Domain",CONCATENATE(prefix_wld_az1_rack_cidr,"70.0"),CONCATENATE(prefix_mgmt_az1_cidr,"70.0"))</f>
        <v>10.13.70.0</v>
      </c>
      <c r="D542" s="347"/>
      <c r="E542" s="32"/>
    </row>
    <row r="543" spans="2:5" ht="20.100000000000001" customHeight="1" x14ac:dyDescent="0.25">
      <c r="B543" s="4" t="s">
        <v>732</v>
      </c>
      <c r="C543" s="126" t="s">
        <v>612</v>
      </c>
      <c r="D543" s="347"/>
      <c r="E543" s="32"/>
    </row>
    <row r="544" spans="2:5" ht="20.100000000000001" customHeight="1" x14ac:dyDescent="0.25">
      <c r="B544" s="4" t="s">
        <v>399</v>
      </c>
      <c r="C544" s="362" t="str">
        <f>IF(cluster_wld_domain_chosen&lt;&gt;"MGMT Workload Domain",CONCATENATE(prefix_wld_az1_rack_cidr,"70.1"),CONCATENATE(prefix_mgmt_az1_cidr,"70.1"))</f>
        <v>10.13.70.1</v>
      </c>
      <c r="D544" s="347"/>
      <c r="E544" s="32" t="str">
        <f>IF(AND(mgmt_stretched_cluster_result="Included",mgmt_dpg_reuse_result="Excluded"),"Stretched L2","")</f>
        <v/>
      </c>
    </row>
    <row r="545" spans="2:5" ht="20.100000000000001" customHeight="1" x14ac:dyDescent="0.25">
      <c r="B545" s="17" t="s">
        <v>460</v>
      </c>
      <c r="C545" s="362" t="str">
        <f>IF(cluster_wld_domain_chosen&lt;&gt;"MGMT Workload Domain",CONCATENATE(prefix_wld_az1_rack_cidr,"70.101"),CONCATENATE(prefix_mgmt_az1_cidr,"70.101"))</f>
        <v>10.13.70.101</v>
      </c>
      <c r="D545" s="347"/>
      <c r="E545"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100000000000001" customHeight="1" x14ac:dyDescent="0.25">
      <c r="B546" s="17" t="s">
        <v>461</v>
      </c>
      <c r="C546" s="362" t="str">
        <f>IF(cluster_wld_domain_chosen&lt;&gt;"MGMT Workload Domain",CONCATENATE(prefix_wld_az1_rack_cidr,"70.116"),CONCATENATE(prefix_mgmt_az1_cidr,"70.116"))</f>
        <v>10.13.70.116</v>
      </c>
      <c r="D546" s="347"/>
      <c r="E546"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100000000000001" customHeight="1" x14ac:dyDescent="0.25">
      <c r="B547" s="405" t="str">
        <f>IF(OR(cluster_secondary_storage_chosen="Secondary NFS Storage Network",wld_secondary_storage_chosen="Secondary NFS Storage Network"),"NFS Storage Network","vSAN Storage Client")</f>
        <v>vSAN Storage Client</v>
      </c>
      <c r="C547" s="406"/>
      <c r="D547" s="406"/>
      <c r="E547" s="407"/>
    </row>
    <row r="548" spans="2:5" ht="20.100000000000001" customHeight="1" x14ac:dyDescent="0.25">
      <c r="B548" s="4" t="s">
        <v>398</v>
      </c>
      <c r="C548" s="362" t="str">
        <f>IF(cluster_wld_domain_chosen&lt;&gt;"MGMT Workload Domain",CONCATENATE(prefix_wld_az1_rack_vlan,"81"),CONCATENATE(prefix_mgmt_az1_vlan,"81"))</f>
        <v>1381</v>
      </c>
      <c r="D548" s="347"/>
      <c r="E548" s="32"/>
    </row>
    <row r="549" spans="2:5" ht="20.100000000000001" customHeight="1" x14ac:dyDescent="0.25">
      <c r="B549" s="4" t="s">
        <v>401</v>
      </c>
      <c r="C549" s="362">
        <v>9000</v>
      </c>
      <c r="D549" s="347"/>
      <c r="E549" s="56"/>
    </row>
    <row r="550" spans="2:5" ht="20.100000000000001" customHeight="1" x14ac:dyDescent="0.25">
      <c r="B550" s="4" t="s">
        <v>400</v>
      </c>
      <c r="C550" s="126" t="str">
        <f>IF(cluster_wld_domain_chosen&lt;&gt;"MGMT Workload Domain",CONCATENATE(prefix_wld_az1_rack_cidr,"81.0"),CONCATENATE(prefix_mgmt_az1_cidr,"81.0"))</f>
        <v>10.13.81.0</v>
      </c>
      <c r="D550" s="347"/>
      <c r="E550" s="32"/>
    </row>
    <row r="551" spans="2:5" ht="20.100000000000001" customHeight="1" x14ac:dyDescent="0.25">
      <c r="B551" s="4" t="s">
        <v>732</v>
      </c>
      <c r="C551" s="126" t="s">
        <v>612</v>
      </c>
      <c r="D551" s="347"/>
      <c r="E551" s="32"/>
    </row>
    <row r="552" spans="2:5" ht="20.100000000000001" customHeight="1" x14ac:dyDescent="0.25">
      <c r="B552" s="4" t="s">
        <v>399</v>
      </c>
      <c r="C552" s="362" t="str">
        <f>IF(cluster_wld_domain_chosen&lt;&gt;"MGMT Workload Domain",CONCATENATE(prefix_wld_az1_rack_cidr,"81.1"),CONCATENATE(prefix_mgmt_az1_cidr,"81.1"))</f>
        <v>10.13.81.1</v>
      </c>
      <c r="D552" s="347"/>
      <c r="E552" s="32" t="str">
        <f>IF(AND(mgmt_stretched_cluster_result="Included",mgmt_dpg_reuse_result="Excluded"),"Stretched L2","")</f>
        <v/>
      </c>
    </row>
    <row r="553" spans="2:5" ht="20.100000000000001" customHeight="1" x14ac:dyDescent="0.25">
      <c r="B553" s="17" t="s">
        <v>460</v>
      </c>
      <c r="C553" s="362" t="str">
        <f>IF(cluster_wld_domain_chosen&lt;&gt;"MGMT Workload Domain",CONCATENATE(prefix_wld_az1_rack_cidr,"81.101"),CONCATENATE(prefix_mgmt_az1_cidr,"81.101"))</f>
        <v>10.13.81.101</v>
      </c>
      <c r="D553" s="347"/>
      <c r="E55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100000000000001" customHeight="1" x14ac:dyDescent="0.25">
      <c r="B554" s="17" t="s">
        <v>461</v>
      </c>
      <c r="C554" s="362" t="str">
        <f>IF(cluster_wld_domain_chosen&lt;&gt;"MGMT Workload Domain",CONCATENATE(prefix_wld_az1_rack_cidr,"81.116"),CONCATENATE(prefix_mgmt_az1_cidr,"81.116"))</f>
        <v>10.13.81.116</v>
      </c>
      <c r="D554" s="347"/>
      <c r="E55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100000000000001" customHeight="1" x14ac:dyDescent="0.25">
      <c r="B555" s="405" t="str">
        <f>IF(OR(cluster_secondary_storage_chosen="Secondary NFS Storage Network",wld_secondary_storage_chosen="Secondary NFS Storage Network"),"NFS Storage Network","vSAN Storage Client")</f>
        <v>vSAN Storage Client</v>
      </c>
      <c r="C555" s="406"/>
      <c r="D555" s="406"/>
      <c r="E555" s="407"/>
    </row>
    <row r="556" spans="2:5" ht="20.100000000000001" customHeight="1" x14ac:dyDescent="0.25">
      <c r="B556" s="4" t="s">
        <v>398</v>
      </c>
      <c r="C556" s="362" t="str">
        <f>IF(cluster_wld_domain_chosen&lt;&gt;"MGMT Workload Domain",CONCATENATE(prefix_wld_az1_rack_vlan,"92"),CONCATENATE(prefix_mgmt_az1_vlan,"92"))</f>
        <v>1392</v>
      </c>
      <c r="D556" s="347"/>
      <c r="E556" s="32"/>
    </row>
    <row r="557" spans="2:5" ht="20.100000000000001" customHeight="1" x14ac:dyDescent="0.25">
      <c r="B557" s="4" t="s">
        <v>401</v>
      </c>
      <c r="C557" s="362">
        <v>9200</v>
      </c>
      <c r="D557" s="347"/>
      <c r="E557" s="56"/>
    </row>
    <row r="558" spans="2:5" ht="20.100000000000001" customHeight="1" x14ac:dyDescent="0.25">
      <c r="B558" s="4" t="s">
        <v>400</v>
      </c>
      <c r="C558" s="126" t="str">
        <f>IF(cluster_wld_domain_chosen&lt;&gt;"MGMT Workload Domain",CONCATENATE(prefix_wld_az1_rack_cidr,"92.0"),CONCATENATE(prefix_mgmt_az1_cidr,"92.0"))</f>
        <v>10.13.92.0</v>
      </c>
      <c r="D558" s="347"/>
      <c r="E558" s="32"/>
    </row>
    <row r="559" spans="2:5" ht="20.100000000000001" customHeight="1" x14ac:dyDescent="0.25">
      <c r="B559" s="4" t="s">
        <v>732</v>
      </c>
      <c r="C559" s="126" t="s">
        <v>612</v>
      </c>
      <c r="D559" s="347"/>
      <c r="E559" s="32"/>
    </row>
    <row r="560" spans="2:5" ht="20.100000000000001" customHeight="1" x14ac:dyDescent="0.25">
      <c r="B560" s="4" t="s">
        <v>399</v>
      </c>
      <c r="C560" s="362" t="str">
        <f>IF(cluster_wld_domain_chosen&lt;&gt;"MGMT Workload Domain",CONCATENATE(prefix_wld_az1_rack_cidr,"92.1"),CONCATENATE(prefix_mgmt_az1_cidr,"92.1"))</f>
        <v>10.13.92.1</v>
      </c>
      <c r="D560" s="347"/>
      <c r="E560" s="32" t="str">
        <f>IF(AND(mgmt_stretched_cluster_result="Included",mgmt_dpg_reuse_result="Excluded"),"Stretched L2","")</f>
        <v/>
      </c>
    </row>
    <row r="561" spans="2:5" ht="20.100000000000001" customHeight="1" x14ac:dyDescent="0.25">
      <c r="B561" s="17" t="s">
        <v>460</v>
      </c>
      <c r="C561" s="362" t="str">
        <f>IF(cluster_wld_domain_chosen&lt;&gt;"MGMT Workload Domain",CONCATENATE(prefix_wld_az1_rack_cidr,"92.101"),CONCATENATE(prefix_mgmt_az1_cidr,"92.101"))</f>
        <v>10.13.92.101</v>
      </c>
      <c r="D561" s="347"/>
      <c r="E56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100000000000001" customHeight="1" x14ac:dyDescent="0.25">
      <c r="B562" s="17" t="s">
        <v>461</v>
      </c>
      <c r="C562" s="362" t="str">
        <f>IF(cluster_wld_domain_chosen&lt;&gt;"MGMT Workload Domain",CONCATENATE(prefix_wld_az1_rack_cidr,"92.116"),CONCATENATE(prefix_mgmt_az1_cidr,"92.116"))</f>
        <v>10.13.92.116</v>
      </c>
      <c r="D562" s="347"/>
      <c r="E56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6IyxD4zr0yqO2EPGhaKLh2359kw9jcGe0qxrj4c5TDngjdkLx/SkCdMUVp+B/o8g7UXdhYWEjfHBcbSS5TI/TQ==" saltValue="8w56Tuu3VSOH5LOyk2kzMw==" spinCount="100000" sheet="1" objects="1" scenarios="1"/>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containsBlanks" dxfId="2624" priority="50">
      <formula>LEN(TRIM(D508))=0</formula>
    </cfRule>
    <cfRule type="notContainsBlanks" dxfId="2623" priority="49">
      <formula>LEN(TRIM(D508))&gt;0</formula>
    </cfRule>
    <cfRule type="expression" dxfId="2622" priority="47">
      <formula>AND((cluster_secondary_storage_result="Excluded"),(wld_secondary_storage_result="Excluded"))</formula>
    </cfRule>
    <cfRule type="expression" dxfId="2621" priority="46">
      <formula>wld_multirack_result="Excluded"</formula>
    </cfRule>
    <cfRule type="expression" dxfId="2620" priority="45">
      <formula>wld_az1_rack2_reuse_vcf_networkpool_chosen="Re-use an existing VCF Network Pool"</formula>
    </cfRule>
  </conditionalFormatting>
  <conditionalFormatting sqref="D516:D522">
    <cfRule type="containsBlanks" dxfId="2619" priority="44">
      <formula>LEN(TRIM(D516))=0</formula>
    </cfRule>
    <cfRule type="notContainsBlanks" dxfId="2618" priority="43">
      <formula>LEN(TRIM(D516))&gt;0</formula>
    </cfRule>
    <cfRule type="expression" dxfId="2617" priority="41">
      <formula>AND((cluster_secondary_storage_result="Excluded"),(wld_secondary_storage_result="Excluded"))</formula>
    </cfRule>
    <cfRule type="expression" dxfId="2616" priority="40">
      <formula>wld_multirack_result="Excluded"</formula>
    </cfRule>
    <cfRule type="expression" dxfId="2615" priority="39">
      <formula>wld_az1_rack3_reuse_vcf_networkpool_chosen="Re-use an existing VCF Network Pool"</formula>
    </cfRule>
  </conditionalFormatting>
  <conditionalFormatting sqref="D524:D530">
    <cfRule type="expression" dxfId="2614" priority="33">
      <formula>wld_az1_rack4_reuse_vcf_networkpool_chosen="Re-use an existing VCF Network Pool"</formula>
    </cfRule>
    <cfRule type="notContainsBlanks" dxfId="2613" priority="37">
      <formula>LEN(TRIM(D524))&gt;0</formula>
    </cfRule>
    <cfRule type="expression" dxfId="2612" priority="35">
      <formula>AND((cluster_secondary_storage_result="Excluded"),(wld_secondary_storage_result="Excluded"))</formula>
    </cfRule>
    <cfRule type="expression" dxfId="2611" priority="34">
      <formula>wld_multirack_result="Excluded"</formula>
    </cfRule>
    <cfRule type="containsBlanks" dxfId="2610" priority="38">
      <formula>LEN(TRIM(D524))=0</formula>
    </cfRule>
  </conditionalFormatting>
  <conditionalFormatting sqref="D532:D538">
    <cfRule type="containsBlanks" dxfId="2609" priority="32">
      <formula>LEN(TRIM(D532))=0</formula>
    </cfRule>
    <cfRule type="expression" dxfId="2608" priority="27">
      <formula>wld_multirack_result="Excluded"</formula>
    </cfRule>
    <cfRule type="expression" dxfId="2607" priority="28">
      <formula>AND((cluster_secondary_storage_result="Excluded"),(wld_secondary_storage_result="Excluded"))</formula>
    </cfRule>
    <cfRule type="expression" dxfId="2606" priority="29">
      <formula>wld_multi_rack_count_chosen&lt;4</formula>
    </cfRule>
    <cfRule type="notContainsBlanks" dxfId="2605" priority="31">
      <formula>LEN(TRIM(D532))&gt;0</formula>
    </cfRule>
    <cfRule type="expression" dxfId="2604" priority="26">
      <formula>wld_az1_rack5_reuse_vcf_networkpool_chosen="Re-use an existing VCF Network Pool"</formula>
    </cfRule>
  </conditionalFormatting>
  <conditionalFormatting sqref="D540:D546">
    <cfRule type="expression" dxfId="2603" priority="20">
      <formula>wld_multirack_result="Excluded"</formula>
    </cfRule>
    <cfRule type="containsBlanks" dxfId="2602" priority="25">
      <formula>LEN(TRIM(D540))=0</formula>
    </cfRule>
    <cfRule type="notContainsBlanks" dxfId="2601" priority="24">
      <formula>LEN(TRIM(D540))&gt;0</formula>
    </cfRule>
    <cfRule type="expression" dxfId="2600" priority="22">
      <formula>wld_multi_rack_count_chosen&lt;5</formula>
    </cfRule>
    <cfRule type="expression" dxfId="2599" priority="21">
      <formula>AND((cluster_secondary_storage_result="Excluded"),(wld_secondary_storage_result="Excluded"))</formula>
    </cfRule>
    <cfRule type="expression" dxfId="2598" priority="19">
      <formula>wld_az1_rack6_reuse_vcf_networkpool_chosen="Re-use an existing VCF Network Pool"</formula>
    </cfRule>
  </conditionalFormatting>
  <conditionalFormatting sqref="D548:D554">
    <cfRule type="expression" dxfId="2597" priority="13">
      <formula>wld_multirack_result="Excluded"</formula>
    </cfRule>
    <cfRule type="containsBlanks" dxfId="2596" priority="18">
      <formula>LEN(TRIM(D548))=0</formula>
    </cfRule>
    <cfRule type="notContainsBlanks" dxfId="2595" priority="17">
      <formula>LEN(TRIM(D548))&gt;0</formula>
    </cfRule>
    <cfRule type="expression" dxfId="2594" priority="15">
      <formula>wld_multi_rack_count_chosen&lt;6</formula>
    </cfRule>
    <cfRule type="expression" dxfId="2593" priority="14">
      <formula>AND((cluster_secondary_storage_result="Excluded"),(wld_secondary_storage_result="Excluded"))</formula>
    </cfRule>
    <cfRule type="expression" dxfId="2592" priority="12">
      <formula>wld_az1_rack7_reuse_vcf_networkpool_chosen="Re-use an existing VCF Network Pool"</formula>
    </cfRule>
  </conditionalFormatting>
  <conditionalFormatting sqref="D556:D562">
    <cfRule type="expression" dxfId="2591" priority="5">
      <formula>wld_az1_rack8_reuse_vcf_networkpool_chosen="Re-use an existing VCF Network Pool"</formula>
    </cfRule>
    <cfRule type="expression" dxfId="2590" priority="6">
      <formula>wld_multirack_result="Excluded"</formula>
    </cfRule>
    <cfRule type="expression" dxfId="2589" priority="7">
      <formula>AND((cluster_secondary_storage_result="Excluded"),(wld_secondary_storage_result="Excluded"))</formula>
    </cfRule>
    <cfRule type="containsBlanks" dxfId="2588" priority="11">
      <formula>LEN(TRIM(D556))=0</formula>
    </cfRule>
    <cfRule type="notContainsBlanks" dxfId="2587" priority="10">
      <formula>LEN(TRIM(D556))&gt;0</formula>
    </cfRule>
    <cfRule type="expression" dxfId="2586" priority="8">
      <formula>wld_multi_rack_count_chosen&lt;7</formula>
    </cfRule>
  </conditionalFormatting>
  <conditionalFormatting sqref="S7">
    <cfRule type="expression" dxfId="2585" priority="2">
      <formula>mgmt_domain_result="Excluded"</formula>
    </cfRule>
    <cfRule type="notContainsBlanks" dxfId="2584" priority="3">
      <formula>LEN(TRIM(S7))&gt;0</formula>
    </cfRule>
    <cfRule type="containsBlanks" dxfId="2583" priority="4">
      <formula>LEN(TRIM(S7))=0</formula>
    </cfRule>
    <cfRule type="expression" dxfId="2582"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defaultColWidth="11" defaultRowHeight="15.75" x14ac:dyDescent="0.25"/>
  <cols>
    <col min="1" max="1" width="2.875" customWidth="1"/>
    <col min="2" max="4" width="75.875" customWidth="1"/>
    <col min="5" max="5" width="125.875" customWidth="1"/>
  </cols>
  <sheetData>
    <row r="1" spans="1:10" s="2" customFormat="1" ht="15.95" customHeight="1" x14ac:dyDescent="0.2">
      <c r="A1" s="1"/>
      <c r="F1" s="8"/>
      <c r="G1" s="8"/>
      <c r="H1" s="8"/>
      <c r="I1" s="8"/>
      <c r="J1" s="8"/>
    </row>
    <row r="2" spans="1:10" s="2" customFormat="1" ht="54" customHeight="1" x14ac:dyDescent="0.2">
      <c r="B2" s="546" t="s">
        <v>3270</v>
      </c>
      <c r="C2" s="547"/>
      <c r="D2" s="547"/>
      <c r="E2" s="548"/>
      <c r="F2" s="8"/>
      <c r="G2" s="8"/>
      <c r="H2" s="8"/>
      <c r="I2" s="8"/>
      <c r="J2" s="8"/>
    </row>
    <row r="3" spans="1:10" s="2" customFormat="1" ht="20.100000000000001" customHeight="1" x14ac:dyDescent="0.2">
      <c r="B3" s="549" t="s">
        <v>1188</v>
      </c>
      <c r="C3" s="550"/>
      <c r="D3" s="550"/>
      <c r="E3" s="551"/>
      <c r="F3" s="8"/>
      <c r="G3" s="8"/>
      <c r="H3" s="8"/>
      <c r="I3" s="8"/>
      <c r="J3" s="8"/>
    </row>
    <row r="4" spans="1:10" s="2" customFormat="1" ht="15" x14ac:dyDescent="0.25">
      <c r="B4" s="2" t="s">
        <v>1413</v>
      </c>
      <c r="D4" s="10"/>
      <c r="E4" s="3"/>
      <c r="F4" s="3"/>
    </row>
    <row r="5" spans="1:10" s="8" customFormat="1" ht="15.95" customHeight="1" x14ac:dyDescent="0.2"/>
    <row r="6" spans="1:10" ht="33.950000000000003" customHeight="1" x14ac:dyDescent="0.25">
      <c r="B6" s="505" t="s">
        <v>3271</v>
      </c>
      <c r="C6" s="506"/>
      <c r="D6" s="506"/>
      <c r="E6" s="507"/>
    </row>
    <row r="7" spans="1:10" ht="20.100000000000001" customHeight="1" x14ac:dyDescent="0.25">
      <c r="B7" s="43" t="s">
        <v>259</v>
      </c>
      <c r="C7" s="43" t="s">
        <v>711</v>
      </c>
      <c r="D7" s="130" t="s">
        <v>277</v>
      </c>
      <c r="E7" s="43" t="s">
        <v>457</v>
      </c>
    </row>
    <row r="8" spans="1:10" ht="20.100000000000001" customHeight="1" x14ac:dyDescent="0.25">
      <c r="B8" s="405" t="s">
        <v>397</v>
      </c>
      <c r="C8" s="406"/>
      <c r="D8" s="406"/>
      <c r="E8" s="407"/>
    </row>
    <row r="9" spans="1:10" ht="20.100000000000001" customHeight="1" x14ac:dyDescent="0.25">
      <c r="B9" s="4" t="s">
        <v>398</v>
      </c>
      <c r="C9" s="80" t="str">
        <f>IF(cluster_wld_domain_chosen&lt;&gt;"MGMT Workload Domain",CONCATENATE(prefix_wld_az1_rack_vlan,"22"),CONCATENATE(prefix_mgmt_az1_vlan,"22"))</f>
        <v>1322</v>
      </c>
      <c r="D9" s="347"/>
      <c r="E9" s="93"/>
    </row>
    <row r="10" spans="1:10" ht="20.100000000000001" customHeight="1" x14ac:dyDescent="0.25">
      <c r="B10" s="4" t="s">
        <v>399</v>
      </c>
      <c r="C10" s="80" t="str">
        <f>IF(cluster_wld_domain_chosen&lt;&gt;"MGMT Workload Domain",CONCATENATE(prefix_wld_az1_rack_cidr,"22.1"),CONCATENATE(prefix_mgmt_az1_cidr,"22.1"))</f>
        <v>10.13.22.1</v>
      </c>
      <c r="D10" s="347"/>
      <c r="E10" s="32"/>
    </row>
    <row r="11" spans="1:10" ht="20.100000000000001" customHeight="1" x14ac:dyDescent="0.25">
      <c r="B11" s="4" t="s">
        <v>400</v>
      </c>
      <c r="C11" s="80" t="str">
        <f>IF(cluster_wld_domain_chosen&lt;&gt;"MGMT Workload Domain",CONCATENATE(prefix_wld_az1_rack_cidr,"22.0/24"),CONCATENATE(prefix_mgmt_az1_cidr,"22.0/24"))</f>
        <v>10.13.22.0/24</v>
      </c>
      <c r="D11" s="347"/>
      <c r="E11" s="32"/>
    </row>
    <row r="12" spans="1:10" ht="20.100000000000001" customHeight="1" x14ac:dyDescent="0.25">
      <c r="B12" s="4" t="s">
        <v>401</v>
      </c>
      <c r="C12" s="80">
        <v>1500</v>
      </c>
      <c r="D12" s="347"/>
      <c r="E12" s="32"/>
    </row>
    <row r="13" spans="1:10" ht="20.100000000000001" customHeight="1" x14ac:dyDescent="0.25">
      <c r="B13" s="508" t="s">
        <v>476</v>
      </c>
      <c r="C13" s="509"/>
      <c r="D13" s="509"/>
      <c r="E13" s="510"/>
    </row>
    <row r="14" spans="1:10" ht="20.100000000000001" customHeight="1" x14ac:dyDescent="0.25">
      <c r="B14" s="17" t="s">
        <v>686</v>
      </c>
      <c r="C14" s="80" t="str">
        <f>IF(cluster_wld_domain_chosen&lt;&gt;"MGMT Workload Domain",CONCATENATE(prefix_wld_az1_rack_cidr,"22.101"),CONCATENATE(prefix_mgmt_az1_cidr,"22.101"))</f>
        <v>10.13.22.101</v>
      </c>
      <c r="D14" s="347"/>
      <c r="E14" s="132" t="s">
        <v>477</v>
      </c>
    </row>
    <row r="15" spans="1:10" ht="20.100000000000001" customHeight="1" x14ac:dyDescent="0.25">
      <c r="B15" s="17" t="s">
        <v>687</v>
      </c>
      <c r="C15" s="80" t="str">
        <f>IF(cluster_wld_domain_chosen&lt;&gt;"MGMT Workload Domain",CONCATENATE(prefix_wld_az1_rack_cidr,"22.102"),CONCATENATE(prefix_mgmt_az1_cidr,"22.102"))</f>
        <v>10.13.22.102</v>
      </c>
      <c r="D15" s="347"/>
      <c r="E15" s="132" t="s">
        <v>478</v>
      </c>
    </row>
    <row r="16" spans="1:10" ht="20.100000000000001" customHeight="1" x14ac:dyDescent="0.25">
      <c r="B16" s="17" t="s">
        <v>688</v>
      </c>
      <c r="C16" s="80" t="str">
        <f>IF(cluster_wld_domain_chosen&lt;&gt;"MGMT Workload Domain",CONCATENATE(prefix_wld_az1_rack_cidr,"22.103"),CONCATENATE(prefix_mgmt_az1_cidr,"22.103"))</f>
        <v>10.13.22.103</v>
      </c>
      <c r="D16" s="347"/>
      <c r="E16" s="132" t="s">
        <v>479</v>
      </c>
    </row>
    <row r="17" spans="2:5" ht="20.100000000000001" customHeight="1" x14ac:dyDescent="0.25">
      <c r="B17" s="17" t="s">
        <v>689</v>
      </c>
      <c r="C17" s="80" t="str">
        <f>IF(cluster_wld_domain_chosen&lt;&gt;"MGMT Workload Domain",CONCATENATE(prefix_wld_az1_rack_cidr,"22.104"),CONCATENATE(prefix_mgmt_az1_cidr,"22.104"))</f>
        <v>10.13.22.104</v>
      </c>
      <c r="D17" s="347"/>
      <c r="E17" s="132" t="s">
        <v>480</v>
      </c>
    </row>
    <row r="18" spans="2:5" ht="20.100000000000001" customHeight="1" x14ac:dyDescent="0.25">
      <c r="B18" s="17" t="s">
        <v>690</v>
      </c>
      <c r="C18" s="80" t="str">
        <f>IF(cluster_wld_domain_chosen&lt;&gt;"MGMT Workload Domain",CONCATENATE(prefix_wld_az1_rack_cidr,"22.105"),CONCATENATE(prefix_mgmt_az1_cidr,"22.105"))</f>
        <v>10.13.22.105</v>
      </c>
      <c r="D18" s="347"/>
      <c r="E18" s="132" t="s">
        <v>481</v>
      </c>
    </row>
    <row r="19" spans="2:5" ht="20.100000000000001" customHeight="1" x14ac:dyDescent="0.25">
      <c r="B19" s="17" t="s">
        <v>691</v>
      </c>
      <c r="C19" s="80" t="str">
        <f>IF(cluster_wld_domain_chosen&lt;&gt;"MGMT Workload Domain",CONCATENATE(prefix_wld_az1_rack_cidr,"22.106"),CONCATENATE(prefix_mgmt_az1_cidr,"22.106"))</f>
        <v>10.13.22.106</v>
      </c>
      <c r="D19" s="347"/>
      <c r="E19" s="132" t="s">
        <v>482</v>
      </c>
    </row>
    <row r="20" spans="2:5" ht="20.100000000000001" customHeight="1" x14ac:dyDescent="0.25">
      <c r="B20" s="17" t="s">
        <v>692</v>
      </c>
      <c r="C20" s="80" t="str">
        <f>IF(cluster_wld_domain_chosen&lt;&gt;"MGMT Workload Domain",CONCATENATE(prefix_wld_az1_rack_cidr,"22.107"),CONCATENATE(prefix_mgmt_az1_cidr,"22.107"))</f>
        <v>10.13.22.107</v>
      </c>
      <c r="D20" s="347"/>
      <c r="E20" s="132" t="s">
        <v>483</v>
      </c>
    </row>
    <row r="21" spans="2:5" ht="20.100000000000001" customHeight="1" x14ac:dyDescent="0.25">
      <c r="B21" s="17" t="s">
        <v>693</v>
      </c>
      <c r="C21" s="80" t="str">
        <f>IF(cluster_wld_domain_chosen&lt;&gt;"MGMT Workload Domain",CONCATENATE(prefix_wld_az1_rack_cidr,"22.108"),CONCATENATE(prefix_mgmt_az1_cidr,"22.108"))</f>
        <v>10.13.22.108</v>
      </c>
      <c r="D21" s="347"/>
      <c r="E21" s="132" t="s">
        <v>484</v>
      </c>
    </row>
    <row r="22" spans="2:5" ht="20.100000000000001" customHeight="1" x14ac:dyDescent="0.25">
      <c r="B22" s="17" t="s">
        <v>694</v>
      </c>
      <c r="C22" s="80" t="str">
        <f>IF(cluster_wld_domain_chosen&lt;&gt;"MGMT Workload Domain",CONCATENATE(prefix_wld_az1_rack_cidr,"22.109"),CONCATENATE(prefix_mgmt_az1_cidr,"22.109"))</f>
        <v>10.13.22.109</v>
      </c>
      <c r="D22" s="347"/>
      <c r="E22" s="132" t="s">
        <v>485</v>
      </c>
    </row>
    <row r="23" spans="2:5" ht="20.100000000000001" customHeight="1" x14ac:dyDescent="0.25">
      <c r="B23" s="17" t="s">
        <v>695</v>
      </c>
      <c r="C23" s="80" t="str">
        <f>IF(cluster_wld_domain_chosen&lt;&gt;"MGMT Workload Domain",CONCATENATE(prefix_wld_az1_rack_cidr,"22.110"),CONCATENATE(prefix_mgmt_az1_cidr,"22.110"))</f>
        <v>10.13.22.110</v>
      </c>
      <c r="D23" s="347"/>
      <c r="E23" s="132" t="s">
        <v>486</v>
      </c>
    </row>
    <row r="24" spans="2:5" ht="20.100000000000001" customHeight="1" x14ac:dyDescent="0.25">
      <c r="B24" s="17" t="s">
        <v>696</v>
      </c>
      <c r="C24" s="80" t="str">
        <f>IF(cluster_wld_domain_chosen&lt;&gt;"MGMT Workload Domain",CONCATENATE(prefix_wld_az1_rack_cidr,"22.111"),CONCATENATE(prefix_mgmt_az1_cidr,"22.111"))</f>
        <v>10.13.22.111</v>
      </c>
      <c r="D24" s="347"/>
      <c r="E24" s="132" t="s">
        <v>487</v>
      </c>
    </row>
    <row r="25" spans="2:5" ht="20.100000000000001" customHeight="1" x14ac:dyDescent="0.25">
      <c r="B25" s="17" t="s">
        <v>697</v>
      </c>
      <c r="C25" s="80" t="str">
        <f>IF(cluster_wld_domain_chosen&lt;&gt;"MGMT Workload Domain",CONCATENATE(prefix_wld_az1_rack_cidr,"22.112"),CONCATENATE(prefix_mgmt_az1_cidr,"22.112"))</f>
        <v>10.13.22.112</v>
      </c>
      <c r="D25" s="347"/>
      <c r="E25" s="132" t="s">
        <v>488</v>
      </c>
    </row>
    <row r="26" spans="2:5" ht="20.100000000000001" customHeight="1" x14ac:dyDescent="0.25">
      <c r="B26" s="17" t="s">
        <v>698</v>
      </c>
      <c r="C26" s="80" t="str">
        <f>IF(cluster_wld_domain_chosen&lt;&gt;"MGMT Workload Domain",CONCATENATE(prefix_wld_az1_rack_cidr,"22.113"),CONCATENATE(prefix_mgmt_az1_cidr,"22.113"))</f>
        <v>10.13.22.113</v>
      </c>
      <c r="D26" s="347"/>
      <c r="E26" s="132" t="s">
        <v>489</v>
      </c>
    </row>
    <row r="27" spans="2:5" ht="20.100000000000001" customHeight="1" x14ac:dyDescent="0.25">
      <c r="B27" s="17" t="s">
        <v>699</v>
      </c>
      <c r="C27" s="80" t="str">
        <f>IF(cluster_wld_domain_chosen&lt;&gt;"MGMT Workload Domain",CONCATENATE(prefix_wld_az1_rack_cidr,"22.114"),CONCATENATE(prefix_mgmt_az1_cidr,"22.114"))</f>
        <v>10.13.22.114</v>
      </c>
      <c r="D27" s="347"/>
      <c r="E27" s="132" t="s">
        <v>490</v>
      </c>
    </row>
    <row r="28" spans="2:5" ht="20.100000000000001" customHeight="1" x14ac:dyDescent="0.25">
      <c r="B28" s="17" t="s">
        <v>700</v>
      </c>
      <c r="C28" s="80" t="str">
        <f>IF(cluster_wld_domain_chosen&lt;&gt;"MGMT Workload Domain",CONCATENATE(prefix_wld_az1_rack_cidr,"22.115"),CONCATENATE(prefix_mgmt_az1_cidr,"22.115"))</f>
        <v>10.13.22.115</v>
      </c>
      <c r="D28" s="347"/>
      <c r="E28" s="132" t="s">
        <v>491</v>
      </c>
    </row>
    <row r="29" spans="2:5" ht="20.100000000000001" customHeight="1" x14ac:dyDescent="0.25">
      <c r="B29" s="17" t="s">
        <v>701</v>
      </c>
      <c r="C29" s="80" t="str">
        <f>IF(cluster_wld_domain_chosen&lt;&gt;"MGMT Workload Domain",CONCATENATE(prefix_wld_az1_rack_cidr,"22.116"),CONCATENATE(prefix_mgmt_az1_cidr,"22.116"))</f>
        <v>10.13.22.116</v>
      </c>
      <c r="D29" s="347"/>
      <c r="E29" s="132" t="s">
        <v>492</v>
      </c>
    </row>
    <row r="30" spans="2:5" ht="15.95" customHeight="1" x14ac:dyDescent="0.25">
      <c r="B30" s="8"/>
      <c r="C30" s="8"/>
      <c r="D30" s="8"/>
      <c r="E30" s="8"/>
    </row>
    <row r="31" spans="2:5" ht="33.950000000000003" customHeight="1" x14ac:dyDescent="0.25">
      <c r="B31" s="505" t="s">
        <v>3272</v>
      </c>
      <c r="C31" s="506"/>
      <c r="D31" s="506"/>
      <c r="E31" s="507"/>
    </row>
    <row r="32" spans="2:5" ht="20.100000000000001" customHeight="1" x14ac:dyDescent="0.25">
      <c r="B32" s="43" t="s">
        <v>259</v>
      </c>
      <c r="C32" s="43" t="s">
        <v>711</v>
      </c>
      <c r="D32" s="130" t="s">
        <v>277</v>
      </c>
      <c r="E32" s="43" t="s">
        <v>457</v>
      </c>
    </row>
    <row r="33" spans="2:5" ht="20.100000000000001" customHeight="1" x14ac:dyDescent="0.25">
      <c r="B33" s="4" t="s">
        <v>3273</v>
      </c>
      <c r="C33" s="362" t="s">
        <v>704</v>
      </c>
      <c r="D33" s="127" t="s">
        <v>704</v>
      </c>
      <c r="E33" s="4" t="str">
        <f>IF(wld_az1_rack2_reuse_vcf_networkpool_chosen="Re-use an existing  VCF Network Pool","An exisiting VCF Network Pool will be reused for Host TEP assignment","A new VCF Network Pool will be created")</f>
        <v>A new VCF Network Pool will be created</v>
      </c>
    </row>
    <row r="34" spans="2:5" ht="20.100000000000001" customHeight="1" x14ac:dyDescent="0.25">
      <c r="B34" s="17" t="s">
        <v>705</v>
      </c>
      <c r="C34" s="89" t="str">
        <f>IF(cluster_wld_domain_chosen="VI Workload Domain",CONCATENATE(this_instance,"01-w0",wld_domain_number_chosen,"-r02-network-pool-01"),CONCATENATE(this_instance,"01-m01","-r02-network-pool-01"))</f>
        <v>sfo01-w01-r02-network-pool-01</v>
      </c>
      <c r="D34" s="140"/>
      <c r="E34" s="32"/>
    </row>
    <row r="35" spans="2:5" ht="20.100000000000001" customHeight="1" x14ac:dyDescent="0.25">
      <c r="B35" s="405" t="s">
        <v>404</v>
      </c>
      <c r="C35" s="406"/>
      <c r="D35" s="406"/>
      <c r="E35" s="407"/>
    </row>
    <row r="36" spans="2:5" ht="20.100000000000001" customHeight="1" x14ac:dyDescent="0.25">
      <c r="B36" s="4" t="s">
        <v>398</v>
      </c>
      <c r="C36" s="80" t="str">
        <f>IF(cluster_wld_domain_chosen&lt;&gt;"MGMT Workload Domain",CONCATENATE(prefix_wld_az1_rack_vlan,"23"),CONCATENATE(prefix_mgmt_az1_vlan,"23"))</f>
        <v>1323</v>
      </c>
      <c r="D36" s="347"/>
      <c r="E36" s="93"/>
    </row>
    <row r="37" spans="2:5" ht="20.100000000000001" customHeight="1" x14ac:dyDescent="0.25">
      <c r="B37" s="4" t="s">
        <v>401</v>
      </c>
      <c r="C37" s="80">
        <v>9000</v>
      </c>
      <c r="D37" s="347"/>
      <c r="E37" s="32"/>
    </row>
    <row r="38" spans="2:5" ht="20.100000000000001" customHeight="1" x14ac:dyDescent="0.25">
      <c r="B38" s="4" t="s">
        <v>400</v>
      </c>
      <c r="C38" s="80" t="str">
        <f>IF(cluster_wld_domain_chosen&lt;&gt;"MGMT Workload Domain",CONCATENATE(prefix_wld_az1_rack_cidr,"23.0"),CONCATENATE(prefix_mgmt_az1_cidr,"23.0"))</f>
        <v>10.13.23.0</v>
      </c>
      <c r="D38" s="347"/>
      <c r="E38" s="32"/>
    </row>
    <row r="39" spans="2:5" ht="20.100000000000001" customHeight="1" x14ac:dyDescent="0.25">
      <c r="B39" s="4" t="s">
        <v>732</v>
      </c>
      <c r="C39" s="80" t="s">
        <v>612</v>
      </c>
      <c r="D39" s="347"/>
      <c r="E39" s="32"/>
    </row>
    <row r="40" spans="2:5" ht="20.100000000000001" customHeight="1" x14ac:dyDescent="0.25">
      <c r="B40" s="4" t="s">
        <v>399</v>
      </c>
      <c r="C40" s="80" t="str">
        <f>IF(cluster_wld_domain_chosen&lt;&gt;"MGMT Workload Domain",CONCATENATE(prefix_wld_az1_rack_cidr,"23.1"),CONCATENATE(prefix_mgmt_az1_cidr,"23.1"))</f>
        <v>10.13.23.1</v>
      </c>
      <c r="D40" s="347"/>
      <c r="E40" s="32"/>
    </row>
    <row r="41" spans="2:5" ht="20.100000000000001" customHeight="1" x14ac:dyDescent="0.25">
      <c r="B41" s="17" t="s">
        <v>460</v>
      </c>
      <c r="C41" s="80" t="str">
        <f>IF(cluster_wld_domain_chosen&lt;&gt;"MGMT Workload Domain",CONCATENATE(prefix_wld_az1_rack_cidr,"23.101"),CONCATENATE(prefix_mgmt_az1_cidr,"23.101"))</f>
        <v>10.13.23.101</v>
      </c>
      <c r="D41" s="347"/>
      <c r="E41" s="100" t="s">
        <v>3274</v>
      </c>
    </row>
    <row r="42" spans="2:5" ht="20.100000000000001" customHeight="1" x14ac:dyDescent="0.25">
      <c r="B42" s="17" t="s">
        <v>461</v>
      </c>
      <c r="C42" s="80" t="str">
        <f>IF(cluster_wld_domain_chosen&lt;&gt;"MGMT Workload Domain",CONCATENATE(prefix_wld_az1_rack_cidr,"23.116"),CONCATENATE(prefix_mgmt_az1_cidr,"23.116"))</f>
        <v>10.13.23.116</v>
      </c>
      <c r="D42" s="347"/>
      <c r="E42" s="100" t="s">
        <v>3275</v>
      </c>
    </row>
    <row r="43" spans="2:5" ht="20.100000000000001" customHeight="1" x14ac:dyDescent="0.25">
      <c r="B43" s="405" t="s">
        <v>407</v>
      </c>
      <c r="C43" s="406"/>
      <c r="D43" s="406"/>
      <c r="E43" s="407"/>
    </row>
    <row r="44" spans="2:5" ht="20.100000000000001" customHeight="1" x14ac:dyDescent="0.25">
      <c r="B44" s="4" t="s">
        <v>398</v>
      </c>
      <c r="C44" s="80" t="str">
        <f>IF(cluster_wld_domain_chosen&lt;&gt;"MGMT Workload Domain",CONCATENATE(prefix_wld_az1_rack_vlan,"24"),CONCATENATE(prefix_mgmt_az1_vlan,"24"))</f>
        <v>1324</v>
      </c>
      <c r="D44" s="347"/>
      <c r="E44" s="32"/>
    </row>
    <row r="45" spans="2:5" ht="20.100000000000001" customHeight="1" x14ac:dyDescent="0.25">
      <c r="B45" s="4" t="s">
        <v>401</v>
      </c>
      <c r="C45" s="80">
        <v>9000</v>
      </c>
      <c r="D45" s="347"/>
      <c r="E45" s="32"/>
    </row>
    <row r="46" spans="2:5" ht="20.100000000000001" customHeight="1" x14ac:dyDescent="0.25">
      <c r="B46" s="4" t="s">
        <v>400</v>
      </c>
      <c r="C46" s="80" t="str">
        <f>IF(cluster_wld_domain_chosen&lt;&gt;"MGMT Workload Domain",CONCATENATE(prefix_wld_az1_rack_cidr,"24.0"),CONCATENATE(prefix_mgmt_az1_cidr,"24.0"))</f>
        <v>10.13.24.0</v>
      </c>
      <c r="D46" s="347"/>
      <c r="E46" s="56"/>
    </row>
    <row r="47" spans="2:5" ht="20.100000000000001" customHeight="1" x14ac:dyDescent="0.25">
      <c r="B47" s="4" t="s">
        <v>732</v>
      </c>
      <c r="C47" s="80" t="s">
        <v>612</v>
      </c>
      <c r="D47" s="347"/>
      <c r="E47" s="32"/>
    </row>
    <row r="48" spans="2:5" ht="20.100000000000001" customHeight="1" x14ac:dyDescent="0.25">
      <c r="B48" s="4" t="s">
        <v>399</v>
      </c>
      <c r="C48" s="80" t="str">
        <f>IF(cluster_wld_domain_chosen&lt;&gt;"MGMT Workload Domain",CONCATENATE(prefix_wld_az1_rack_cidr,"24.1"),CONCATENATE(prefix_mgmt_az1_cidr,"24.1"))</f>
        <v>10.13.24.1</v>
      </c>
      <c r="D48" s="347"/>
      <c r="E48" s="32" t="str">
        <f>IF(AND(mgmt_stretched_cluster_result="Included",mgmt_dpg_reuse_result="Excluded"),"Stretched L2","")</f>
        <v/>
      </c>
    </row>
    <row r="49" spans="2:5" ht="20.100000000000001" customHeight="1" x14ac:dyDescent="0.25">
      <c r="B49" s="17" t="s">
        <v>460</v>
      </c>
      <c r="C49" s="80" t="str">
        <f>IF(cluster_wld_domain_chosen&lt;&gt;"MGMT Workload Domain",CONCATENATE(prefix_wld_az1_rack_cidr,"24.101"),CONCATENATE(prefix_mgmt_az1_cidr,"24.101"))</f>
        <v>10.13.24.101</v>
      </c>
      <c r="D49" s="347"/>
      <c r="E49" s="100" t="s">
        <v>3276</v>
      </c>
    </row>
    <row r="50" spans="2:5" ht="20.100000000000001" customHeight="1" x14ac:dyDescent="0.25">
      <c r="B50" s="17" t="s">
        <v>461</v>
      </c>
      <c r="C50" s="80" t="str">
        <f>IF(cluster_wld_domain_chosen&lt;&gt;"MGMT Workload Domain",CONCATENATE(prefix_wld_az1_rack_cidr,"24.116"),CONCATENATE(prefix_mgmt_az1_cidr,"24.116"))</f>
        <v>10.13.24.116</v>
      </c>
      <c r="D50" s="347"/>
      <c r="E50" s="100" t="s">
        <v>3277</v>
      </c>
    </row>
    <row r="51" spans="2:5" ht="15.95" customHeight="1" x14ac:dyDescent="0.25">
      <c r="B51" s="8"/>
      <c r="C51" s="8"/>
      <c r="D51" s="8"/>
      <c r="E51" s="8"/>
    </row>
    <row r="52" spans="2:5" ht="33.950000000000003" customHeight="1" x14ac:dyDescent="0.25">
      <c r="B52" s="505" t="s">
        <v>3278</v>
      </c>
      <c r="C52" s="506"/>
      <c r="D52" s="506"/>
      <c r="E52" s="507"/>
    </row>
    <row r="53" spans="2:5" ht="20.100000000000001" customHeight="1" x14ac:dyDescent="0.25">
      <c r="B53" s="43" t="s">
        <v>259</v>
      </c>
      <c r="C53" s="43" t="s">
        <v>711</v>
      </c>
      <c r="D53" s="130" t="s">
        <v>277</v>
      </c>
      <c r="E53" s="43" t="s">
        <v>457</v>
      </c>
    </row>
    <row r="54" spans="2:5" ht="20.100000000000001" customHeight="1" x14ac:dyDescent="0.25">
      <c r="B54" s="17" t="s">
        <v>686</v>
      </c>
      <c r="C54" s="78" t="str">
        <f>IF(cluster_wld_domain_chosen&lt;&gt;"MGMT Workload Domain",CONCATENATE(this_instance,"01-w0",wld_domain_number_chosen,"-r02-esx01",".",sample_child_dns_zone),CONCATENATE(this_instance,"01-m01-r02-esx01",".",sample_child_dns_zone))</f>
        <v>sfo01-w01-r02-esx01.sfo.rainpole.io</v>
      </c>
      <c r="D54" s="347"/>
      <c r="E54" s="32"/>
    </row>
    <row r="55" spans="2:5" ht="20.100000000000001" customHeight="1" x14ac:dyDescent="0.25">
      <c r="B55" s="17" t="s">
        <v>687</v>
      </c>
      <c r="C55" s="78" t="str">
        <f>IF(cluster_wld_domain_chosen&lt;&gt;"MGMT Workload Domain",CONCATENATE(this_instance,"01-w0",wld_domain_number_chosen,"-r02-esx02",".",sample_child_dns_zone),CONCATENATE(this_instance,"01-m01-r02-esx02",".",sample_child_dns_zone))</f>
        <v>sfo01-w01-r02-esx02.sfo.rainpole.io</v>
      </c>
      <c r="D55" s="347"/>
      <c r="E55" s="32"/>
    </row>
    <row r="56" spans="2:5" ht="20.100000000000001" customHeight="1" x14ac:dyDescent="0.25">
      <c r="B56" s="17" t="s">
        <v>688</v>
      </c>
      <c r="C56" s="78" t="str">
        <f>IF(cluster_wld_domain_chosen&lt;&gt;"MGMT Workload Domain",CONCATENATE(this_instance,"01-w0",wld_domain_number_chosen,"-r02-esx03",".",sample_child_dns_zone),CONCATENATE(this_instance,"01-m01-r02-esx03",".",sample_child_dns_zone))</f>
        <v>sfo01-w01-r02-esx03.sfo.rainpole.io</v>
      </c>
      <c r="D56" s="347"/>
      <c r="E56" s="32"/>
    </row>
    <row r="57" spans="2:5" ht="20.100000000000001" customHeight="1" x14ac:dyDescent="0.25">
      <c r="B57" s="17" t="s">
        <v>689</v>
      </c>
      <c r="C57" s="78" t="str">
        <f>IF(cluster_wld_domain_chosen&lt;&gt;"MGMT Workload Domain",CONCATENATE(this_instance,"01-w0",wld_domain_number_chosen,"-r02-esx04",".",sample_child_dns_zone),CONCATENATE(this_instance,"01-m01-r02-esx04",".",sample_child_dns_zone))</f>
        <v>sfo01-w01-r02-esx04.sfo.rainpole.io</v>
      </c>
      <c r="D57" s="347"/>
      <c r="E57" s="32"/>
    </row>
    <row r="58" spans="2:5" ht="20.100000000000001" customHeight="1" x14ac:dyDescent="0.25">
      <c r="B58" s="17" t="s">
        <v>690</v>
      </c>
      <c r="C58" s="78" t="str">
        <f>IF(cluster_wld_domain_chosen&lt;&gt;"MGMT Workload Domain",CONCATENATE(this_instance,"01-w0",wld_domain_number_chosen,"-r02-esx05",".",sample_child_dns_zone),CONCATENATE(this_instance,"01-m01-r02-esx05",".",sample_child_dns_zone))</f>
        <v>sfo01-w01-r02-esx05.sfo.rainpole.io</v>
      </c>
      <c r="D58" s="347"/>
      <c r="E58" s="32"/>
    </row>
    <row r="59" spans="2:5" ht="20.100000000000001" customHeight="1" x14ac:dyDescent="0.25">
      <c r="B59" s="17" t="s">
        <v>691</v>
      </c>
      <c r="C59" s="78" t="str">
        <f>IF(cluster_wld_domain_chosen&lt;&gt;"MGMT Workload Domain",CONCATENATE(this_instance,"01-w0",wld_domain_number_chosen,"-r02-esx06",".",sample_child_dns_zone),CONCATENATE(this_instance,"01-m01-r02-esx06",".",sample_child_dns_zone))</f>
        <v>sfo01-w01-r02-esx06.sfo.rainpole.io</v>
      </c>
      <c r="D59" s="347"/>
      <c r="E59" s="32"/>
    </row>
    <row r="60" spans="2:5" ht="20.100000000000001" customHeight="1" x14ac:dyDescent="0.25">
      <c r="B60" s="17" t="s">
        <v>692</v>
      </c>
      <c r="C60" s="78" t="str">
        <f>IF(cluster_wld_domain_chosen&lt;&gt;"MGMT Workload Domain",CONCATENATE(this_instance,"01-w0",wld_domain_number_chosen,"-r02-esx07",".",sample_child_dns_zone),CONCATENATE(this_instance,"01-m01-r02-esx07",".",sample_child_dns_zone))</f>
        <v>sfo01-w01-r02-esx07.sfo.rainpole.io</v>
      </c>
      <c r="D60" s="347"/>
      <c r="E60" s="32"/>
    </row>
    <row r="61" spans="2:5" ht="20.100000000000001" customHeight="1" x14ac:dyDescent="0.25">
      <c r="B61" s="17" t="s">
        <v>693</v>
      </c>
      <c r="C61" s="78" t="str">
        <f>IF(cluster_wld_domain_chosen&lt;&gt;"MGMT Workload Domain",CONCATENATE(this_instance,"01-w0",wld_domain_number_chosen,"-r02-esx08",".",sample_child_dns_zone),CONCATENATE(this_instance,"01-m01-r02-esx08",".",sample_child_dns_zone))</f>
        <v>sfo01-w01-r02-esx08.sfo.rainpole.io</v>
      </c>
      <c r="D61" s="347"/>
      <c r="E61" s="32"/>
    </row>
    <row r="62" spans="2:5" ht="20.100000000000001" customHeight="1" x14ac:dyDescent="0.25">
      <c r="B62" s="17" t="s">
        <v>694</v>
      </c>
      <c r="C62" s="78" t="str">
        <f>IF(cluster_wld_domain_chosen&lt;&gt;"MGMT Workload Domain",CONCATENATE(this_instance,"01-w0",wld_domain_number_chosen,"-r02-esx09",".",sample_child_dns_zone),CONCATENATE(this_instance,"01-m01-r02-esx09",".",sample_child_dns_zone))</f>
        <v>sfo01-w01-r02-esx09.sfo.rainpole.io</v>
      </c>
      <c r="D62" s="347"/>
      <c r="E62" s="32"/>
    </row>
    <row r="63" spans="2:5" ht="20.100000000000001" customHeight="1" x14ac:dyDescent="0.25">
      <c r="B63" s="17" t="s">
        <v>695</v>
      </c>
      <c r="C63" s="78" t="str">
        <f>IF(cluster_wld_domain_chosen&lt;&gt;"MGMT Workload Domain",CONCATENATE(this_instance,"01-w0",wld_domain_number_chosen,"-r02-esx10",".",sample_child_dns_zone),CONCATENATE(this_instance,"01-m01-r02-esx10",".",sample_child_dns_zone))</f>
        <v>sfo01-w01-r02-esx10.sfo.rainpole.io</v>
      </c>
      <c r="D63" s="347"/>
      <c r="E63" s="32"/>
    </row>
    <row r="64" spans="2:5" ht="20.100000000000001" customHeight="1" x14ac:dyDescent="0.25">
      <c r="B64" s="17" t="s">
        <v>696</v>
      </c>
      <c r="C64" s="78" t="str">
        <f>IF(cluster_wld_domain_chosen&lt;&gt;"MGMT Workload Domain",CONCATENATE(this_instance,"01-w0",wld_domain_number_chosen,"-r02-esx11",".",sample_child_dns_zone),CONCATENATE(this_instance,"01-m01-r02-esx11",".",sample_child_dns_zone))</f>
        <v>sfo01-w01-r02-esx11.sfo.rainpole.io</v>
      </c>
      <c r="D64" s="347"/>
      <c r="E64" s="32"/>
    </row>
    <row r="65" spans="2:5" ht="20.100000000000001" customHeight="1" x14ac:dyDescent="0.25">
      <c r="B65" s="17" t="s">
        <v>697</v>
      </c>
      <c r="C65" s="78" t="str">
        <f>IF(cluster_wld_domain_chosen&lt;&gt;"MGMT Workload Domain",CONCATENATE(this_instance,"01-w0",wld_domain_number_chosen,"-r02-esx12",".",sample_child_dns_zone),CONCATENATE(this_instance,"01-m01-r02-esx12",".",sample_child_dns_zone))</f>
        <v>sfo01-w01-r02-esx12.sfo.rainpole.io</v>
      </c>
      <c r="D65" s="347"/>
      <c r="E65" s="32"/>
    </row>
    <row r="66" spans="2:5" ht="20.100000000000001" customHeight="1" x14ac:dyDescent="0.25">
      <c r="B66" s="17" t="s">
        <v>698</v>
      </c>
      <c r="C66" s="78" t="str">
        <f>IF(cluster_wld_domain_chosen&lt;&gt;"MGMT Workload Domain",CONCATENATE(this_instance,"01-w0",wld_domain_number_chosen,"-r02-esx13",".",sample_child_dns_zone),CONCATENATE(this_instance,"01-m01-r02-esx13",".",sample_child_dns_zone))</f>
        <v>sfo01-w01-r02-esx13.sfo.rainpole.io</v>
      </c>
      <c r="D66" s="347"/>
      <c r="E66" s="32"/>
    </row>
    <row r="67" spans="2:5" ht="20.100000000000001" customHeight="1" x14ac:dyDescent="0.25">
      <c r="B67" s="17" t="s">
        <v>699</v>
      </c>
      <c r="C67" s="78" t="str">
        <f>IF(cluster_wld_domain_chosen&lt;&gt;"MGMT Workload Domain",CONCATENATE(this_instance,"01-w0",wld_domain_number_chosen,"-r02-esx14",".",sample_child_dns_zone),CONCATENATE(this_instance,"01-m01-r02-esx14",".",sample_child_dns_zone))</f>
        <v>sfo01-w01-r02-esx14.sfo.rainpole.io</v>
      </c>
      <c r="D67" s="347"/>
      <c r="E67" s="32"/>
    </row>
    <row r="68" spans="2:5" ht="20.100000000000001" customHeight="1" x14ac:dyDescent="0.25">
      <c r="B68" s="17" t="s">
        <v>700</v>
      </c>
      <c r="C68" s="78" t="str">
        <f>IF(cluster_wld_domain_chosen&lt;&gt;"MGMT Workload Domain",CONCATENATE(this_instance,"01-w0",wld_domain_number_chosen,"-r02-esx14",".",sample_child_dns_zone),CONCATENATE(this_instance,"01-m01-r02-esx15",".",sample_child_dns_zone))</f>
        <v>sfo01-w01-r02-esx14.sfo.rainpole.io</v>
      </c>
      <c r="D68" s="347"/>
      <c r="E68" s="32"/>
    </row>
    <row r="69" spans="2:5" ht="20.100000000000001" customHeight="1" x14ac:dyDescent="0.25">
      <c r="B69" s="17" t="s">
        <v>701</v>
      </c>
      <c r="C69" s="78" t="str">
        <f>IF(cluster_wld_domain_chosen&lt;&gt;"MGMT Workload Domain",CONCATENATE(this_instance,"01-w0",wld_domain_number_chosen,"-r02-esx16",".",sample_child_dns_zone),CONCATENATE(this_instance,"01-m01-r02-esx16",".",sample_child_dns_zone))</f>
        <v>sfo01-w01-r02-esx16.sfo.rainpole.io</v>
      </c>
      <c r="D69" s="347"/>
      <c r="E69" s="32"/>
    </row>
    <row r="70" spans="2:5" ht="20.100000000000001" customHeight="1" x14ac:dyDescent="0.25">
      <c r="B70" s="17" t="s">
        <v>712</v>
      </c>
      <c r="C70" s="78" t="s">
        <v>713</v>
      </c>
      <c r="D70" s="337" t="s">
        <v>713</v>
      </c>
      <c r="E70" s="32"/>
    </row>
    <row r="71" spans="2:5" ht="20.100000000000001" customHeight="1" x14ac:dyDescent="0.25">
      <c r="B71" s="17" t="s">
        <v>714</v>
      </c>
      <c r="C71" s="78" t="s">
        <v>715</v>
      </c>
      <c r="D71"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100000000000001" customHeight="1" x14ac:dyDescent="0.25">
      <c r="B72" s="17" t="s">
        <v>716</v>
      </c>
      <c r="C72" s="78" t="s">
        <v>323</v>
      </c>
      <c r="D72" s="337" t="str">
        <f>IF(AND(vcf_granular_option_chosen="Create Cluster",cluster_principal_storage_chosen="vSAN-ESA"),"Selected",
IF(AND(vcf_granular_option_chosen="Create VI Workload Domain",wld_principal_storage_chosen="vSAN-ESA"),"Selected","Unselected"))</f>
        <v>Unselected</v>
      </c>
      <c r="E72" s="32"/>
    </row>
    <row r="73" spans="2:5" ht="20.100000000000001" customHeight="1" x14ac:dyDescent="0.25">
      <c r="B73" s="17" t="s">
        <v>705</v>
      </c>
      <c r="C73" s="78" t="str">
        <f>sample_wld_az1_rack2_pool_name</f>
        <v>sfo01-w01-r02-network-pool-01</v>
      </c>
      <c r="D73" s="337" t="str">
        <f>wld_az1_rack2_pool_name</f>
        <v>Value Missing</v>
      </c>
      <c r="E73" s="32"/>
    </row>
    <row r="74" spans="2:5" ht="20.100000000000001" customHeight="1" x14ac:dyDescent="0.25">
      <c r="B74" s="17" t="s">
        <v>535</v>
      </c>
      <c r="C74" s="78" t="s">
        <v>717</v>
      </c>
      <c r="D74"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32"/>
    </row>
    <row r="75" spans="2:5" ht="20.100000000000001" customHeight="1" x14ac:dyDescent="0.25">
      <c r="B75" s="17" t="s">
        <v>296</v>
      </c>
      <c r="C75" s="78" t="s">
        <v>379</v>
      </c>
      <c r="D75"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32"/>
    </row>
    <row r="76" spans="2:5" ht="15.95" customHeight="1" x14ac:dyDescent="0.25"/>
    <row r="77" spans="2:5" ht="33.950000000000003" customHeight="1" x14ac:dyDescent="0.25">
      <c r="B77" s="505" t="s">
        <v>3279</v>
      </c>
      <c r="C77" s="506"/>
      <c r="D77" s="506"/>
      <c r="E77" s="507"/>
    </row>
    <row r="78" spans="2:5" ht="20.100000000000001" customHeight="1" x14ac:dyDescent="0.25">
      <c r="B78" s="4" t="s">
        <v>784</v>
      </c>
      <c r="C78" s="89"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sfo01-sfo-w01-cl01-r02-network-profile</v>
      </c>
      <c r="D78" s="127"/>
      <c r="E78" s="80"/>
    </row>
    <row r="79" spans="2:5" ht="20.100000000000001" customHeight="1" x14ac:dyDescent="0.25">
      <c r="B79" s="4" t="s">
        <v>3280</v>
      </c>
      <c r="C79" s="362" t="s">
        <v>786</v>
      </c>
      <c r="D79" s="127" t="s">
        <v>786</v>
      </c>
      <c r="E79" s="279" t="str">
        <f>IF(wld_az1_rack2_host_overlay_new_pool_chosen="Re-use an existing Pool","An exisitng Pool will be reused for Host TEP assignment","A new Pool will be created for Host TEP assignment")</f>
        <v>A new Pool will be created for Host TEP assignment</v>
      </c>
    </row>
    <row r="80" spans="2:5" ht="20.100000000000001" customHeight="1" x14ac:dyDescent="0.25">
      <c r="B80" s="4" t="s">
        <v>787</v>
      </c>
      <c r="C80" s="89" t="str">
        <f>IF(cluster_wld_domain_chosen="VI Workload Domain",CONCATENATE(this_instance,"01-w0",wld_domain_number_chosen,"-r02-ip-pool01-host"),CONCATENATE(this_instance,"01-m01","-r02-ip-pool01-host"))</f>
        <v>sfo01-w01-r02-ip-pool01-host</v>
      </c>
      <c r="D80" s="127"/>
      <c r="E80" s="80"/>
    </row>
    <row r="81" spans="2:5" ht="20.100000000000001" customHeight="1" x14ac:dyDescent="0.25">
      <c r="B81" s="4" t="s">
        <v>788</v>
      </c>
      <c r="C81" s="89" t="str">
        <f>IF(cluster_wld_domain_chosen="VI Workload Domain",CONCATENATE(this_instance,"01-w0",wld_domain_number_chosen,"-r02-uplink-profile01"),CONCATENATE(this_instance,"01-m01","-r02-uplink-profile01"))</f>
        <v>sfo01-w01-r02-uplink-profile01</v>
      </c>
      <c r="D81" s="127"/>
      <c r="E81" s="80"/>
    </row>
    <row r="82" spans="2:5" ht="20.100000000000001" customHeight="1" x14ac:dyDescent="0.25">
      <c r="B82" s="4" t="s">
        <v>3281</v>
      </c>
      <c r="C82" s="89" t="str">
        <f>IF(cluster_wld_domain_chosen="VI Workload Domain",CONCATENATE(this_instance,"01-w0",wld_domain_number_chosen,"-r02-ip-pool02-edge"),CONCATENATE(this_instance,"01-m01","-r02-ip-pool02-edge"))</f>
        <v>sfo01-w01-r02-ip-pool02-edge</v>
      </c>
      <c r="D82" s="127"/>
      <c r="E82" s="80"/>
    </row>
    <row r="83" spans="2:5" ht="20.100000000000001" customHeight="1" x14ac:dyDescent="0.25">
      <c r="B83" s="4" t="s">
        <v>3282</v>
      </c>
      <c r="C83" s="89" t="str">
        <f>IF(cluster_wld_domain_chosen="VI Workload Domain",CONCATENATE(this_instance,"01-w0",wld_domain_number_chosen,"-r02-ip-pool03-rtep"),CONCATENATE(this_instance,"01-m01","-r02-ip-pool03-rtep"))</f>
        <v>sfo01-w01-r02-ip-pool03-rtep</v>
      </c>
      <c r="D83" s="127"/>
      <c r="E83" s="80"/>
    </row>
    <row r="84" spans="2:5" ht="20.100000000000001" customHeight="1" x14ac:dyDescent="0.25">
      <c r="B84" s="405" t="s">
        <v>365</v>
      </c>
      <c r="C84" s="406"/>
      <c r="D84" s="406"/>
      <c r="E84" s="407"/>
    </row>
    <row r="85" spans="2:5" ht="20.100000000000001" customHeight="1" x14ac:dyDescent="0.25">
      <c r="B85" s="207" t="s">
        <v>259</v>
      </c>
      <c r="C85" s="207" t="s">
        <v>711</v>
      </c>
      <c r="D85" s="239" t="s">
        <v>277</v>
      </c>
      <c r="E85" s="207" t="s">
        <v>5</v>
      </c>
    </row>
    <row r="86" spans="2:5" ht="20.100000000000001" customHeight="1" x14ac:dyDescent="0.25">
      <c r="B86" s="4" t="s">
        <v>1818</v>
      </c>
      <c r="C86" s="80" t="str">
        <f>IF(cluster_wld_domain_chosen&lt;&gt;"MGMT Workload Domain",CONCATENATE(this_instance,"-w0",wld_domain_number_chosen,"-r02","-vsan-fault-domain"),CONCATENATE(this_instance,"-m01","-r02","-vsan-fault-domain"))</f>
        <v>sfo-w01-r02-vsan-fault-domain</v>
      </c>
      <c r="D86" s="347"/>
      <c r="E86" s="337"/>
    </row>
    <row r="87" spans="2:5" ht="15.95" customHeight="1" x14ac:dyDescent="0.25"/>
    <row r="88" spans="2:5" ht="33.950000000000003" customHeight="1" x14ac:dyDescent="0.25">
      <c r="B88" s="505" t="s">
        <v>3283</v>
      </c>
      <c r="C88" s="506"/>
      <c r="D88" s="506"/>
      <c r="E88" s="507"/>
    </row>
    <row r="89" spans="2:5" ht="20.100000000000001" customHeight="1" x14ac:dyDescent="0.25">
      <c r="B89" s="43" t="s">
        <v>259</v>
      </c>
      <c r="C89" s="43" t="s">
        <v>711</v>
      </c>
      <c r="D89" s="130" t="s">
        <v>277</v>
      </c>
      <c r="E89" s="43" t="s">
        <v>5</v>
      </c>
    </row>
    <row r="90" spans="2:5" ht="20.100000000000001" customHeight="1" x14ac:dyDescent="0.25">
      <c r="B90" s="405" t="s">
        <v>467</v>
      </c>
      <c r="C90" s="406"/>
      <c r="D90" s="406"/>
      <c r="E90" s="407"/>
    </row>
    <row r="91" spans="2:5" ht="20.100000000000001" customHeight="1" x14ac:dyDescent="0.25">
      <c r="B91" s="4" t="s">
        <v>398</v>
      </c>
      <c r="C91" s="362" t="str">
        <f>IF(cluster_wld_domain_chosen&lt;&gt;"MGMT Workload Domain",CONCATENATE(prefix_wld_az1_rack_vlan,"25"),CONCATENATE(prefix_mgmt_az1_vlan,"25"))</f>
        <v>1325</v>
      </c>
      <c r="D91" s="347"/>
      <c r="E91" s="93"/>
    </row>
    <row r="92" spans="2:5" ht="20.100000000000001" customHeight="1" x14ac:dyDescent="0.25">
      <c r="B92" s="4" t="s">
        <v>401</v>
      </c>
      <c r="C92" s="362">
        <v>9000</v>
      </c>
      <c r="D92" s="347"/>
      <c r="E92" s="32"/>
    </row>
    <row r="93" spans="2:5" ht="20.100000000000001" customHeight="1" x14ac:dyDescent="0.25">
      <c r="B93" s="4" t="s">
        <v>400</v>
      </c>
      <c r="C93" s="362" t="str">
        <f>IF(cluster_wld_domain_chosen&lt;&gt;"MGMT Workload Domain",CONCATENATE(prefix_wld_az1_rack_cidr,"25.0"),CONCATENATE(prefix_mgmt_az1_cidr,"25.0"))</f>
        <v>10.13.25.0</v>
      </c>
      <c r="D93" s="347"/>
      <c r="E93" s="32"/>
    </row>
    <row r="94" spans="2:5" ht="20.100000000000001" customHeight="1" x14ac:dyDescent="0.25">
      <c r="B94" s="4" t="s">
        <v>732</v>
      </c>
      <c r="C94" s="126" t="s">
        <v>612</v>
      </c>
      <c r="D94" s="347"/>
      <c r="E94" s="32"/>
    </row>
    <row r="95" spans="2:5" ht="20.100000000000001" customHeight="1" x14ac:dyDescent="0.25">
      <c r="B95" s="4" t="s">
        <v>399</v>
      </c>
      <c r="C95" s="362" t="str">
        <f>IF(cluster_wld_domain_chosen&lt;&gt;"MGMT Workload Domain",CONCATENATE(prefix_wld_az1_rack_cidr,"25.1"),CONCATENATE(prefix_mgmt_az1_cidr,"25.1"))</f>
        <v>10.13.25.1</v>
      </c>
      <c r="D95" s="347"/>
      <c r="E95" s="32"/>
    </row>
    <row r="96" spans="2:5" ht="20.100000000000001" customHeight="1" x14ac:dyDescent="0.25">
      <c r="B96" s="17" t="s">
        <v>460</v>
      </c>
      <c r="C96" s="362" t="str">
        <f>IF(cluster_wld_domain_chosen&lt;&gt;"MGMT Workload Domain",CONCATENATE(prefix_wld_az1_rack_cidr,"25.101"),CONCATENATE(prefix_mgmt_az1_cidr,"25.101"))</f>
        <v>10.13.25.101</v>
      </c>
      <c r="D96" s="347"/>
      <c r="E96" s="100" t="s">
        <v>3284</v>
      </c>
    </row>
    <row r="97" spans="2:5" ht="20.100000000000001" customHeight="1" x14ac:dyDescent="0.25">
      <c r="B97" s="17" t="s">
        <v>461</v>
      </c>
      <c r="C97" s="362" t="str">
        <f>IF(cluster_wld_domain_chosen&lt;&gt;"MGMT Workload Domain",CONCATENATE(prefix_wld_az1_rack_cidr,"25.116"),CONCATENATE(prefix_mgmt_az1_cidr,"25.116"))</f>
        <v>10.13.25.116</v>
      </c>
      <c r="D97" s="347"/>
      <c r="E97" s="100" t="s">
        <v>3285</v>
      </c>
    </row>
    <row r="98" spans="2:5" ht="15.95" customHeight="1" x14ac:dyDescent="0.25">
      <c r="B98" s="6"/>
      <c r="C98" s="7"/>
      <c r="D98" s="1"/>
      <c r="E98" s="2"/>
    </row>
    <row r="99" spans="2:5" ht="33.950000000000003" customHeight="1" x14ac:dyDescent="0.25">
      <c r="B99" s="505" t="s">
        <v>3286</v>
      </c>
      <c r="C99" s="506"/>
      <c r="D99" s="506"/>
      <c r="E99" s="507"/>
    </row>
    <row r="100" spans="2:5" ht="20.100000000000001" customHeight="1" x14ac:dyDescent="0.25">
      <c r="B100" s="43" t="s">
        <v>259</v>
      </c>
      <c r="C100" s="43" t="s">
        <v>711</v>
      </c>
      <c r="D100" s="130" t="s">
        <v>277</v>
      </c>
      <c r="E100" s="43" t="s">
        <v>457</v>
      </c>
    </row>
    <row r="101" spans="2:5" ht="20.100000000000001" customHeight="1" x14ac:dyDescent="0.25">
      <c r="B101" s="405" t="s">
        <v>397</v>
      </c>
      <c r="C101" s="406"/>
      <c r="D101" s="406"/>
      <c r="E101" s="407"/>
    </row>
    <row r="102" spans="2:5" ht="20.100000000000001" customHeight="1" x14ac:dyDescent="0.25">
      <c r="B102" s="4" t="s">
        <v>398</v>
      </c>
      <c r="C102" s="89" t="str">
        <f>IF(cluster_wld_domain_chosen&lt;&gt;"MGMT Workload Domain",CONCATENATE(prefix_wld_az1_rack_vlan,"33"),CONCATENATE(prefix_mgmt_az1_vlan,"33"))</f>
        <v>1333</v>
      </c>
      <c r="D102" s="347"/>
      <c r="E102" s="93"/>
    </row>
    <row r="103" spans="2:5" ht="20.100000000000001" customHeight="1" x14ac:dyDescent="0.25">
      <c r="B103" s="4" t="s">
        <v>399</v>
      </c>
      <c r="C103" s="89" t="str">
        <f>IF(cluster_wld_domain_chosen&lt;&gt;"MGMT Workload Domain",CONCATENATE(prefix_wld_az1_rack_cidr,"33.1"),CONCATENATE(prefix_mgmt_az1_cidr,"33.1"))</f>
        <v>10.13.33.1</v>
      </c>
      <c r="D103" s="347"/>
      <c r="E103" s="32"/>
    </row>
    <row r="104" spans="2:5" ht="20.100000000000001" customHeight="1" x14ac:dyDescent="0.25">
      <c r="B104" s="4" t="s">
        <v>400</v>
      </c>
      <c r="C104" s="89" t="str">
        <f>IF(cluster_wld_domain_chosen&lt;&gt;"MGMT Workload Domain",CONCATENATE(prefix_wld_az1_rack_cidr,"33.0/24"),CONCATENATE(prefix_mgmt_az1_cidr,"33.0/24"))</f>
        <v>10.13.33.0/24</v>
      </c>
      <c r="D104" s="347"/>
      <c r="E104" s="32"/>
    </row>
    <row r="105" spans="2:5" ht="20.100000000000001" customHeight="1" x14ac:dyDescent="0.25">
      <c r="B105" s="4" t="s">
        <v>401</v>
      </c>
      <c r="C105" s="89">
        <v>1500</v>
      </c>
      <c r="D105" s="347"/>
      <c r="E105" s="32"/>
    </row>
    <row r="106" spans="2:5" ht="20.100000000000001" customHeight="1" x14ac:dyDescent="0.25">
      <c r="B106" s="508" t="s">
        <v>476</v>
      </c>
      <c r="C106" s="509"/>
      <c r="D106" s="509"/>
      <c r="E106" s="510"/>
    </row>
    <row r="107" spans="2:5" ht="20.100000000000001" customHeight="1" x14ac:dyDescent="0.25">
      <c r="B107" s="17" t="s">
        <v>686</v>
      </c>
      <c r="C107" s="89" t="str">
        <f>IF(cluster_wld_domain_chosen&lt;&gt;"MGMT Workload Domain",CONCATENATE(prefix_wld_az1_rack_cidr,"33.101"),CONCATENATE(prefix_mgmt_az1_cidr,"33.101"))</f>
        <v>10.13.33.101</v>
      </c>
      <c r="D107" s="347"/>
      <c r="E107" s="100" t="s">
        <v>477</v>
      </c>
    </row>
    <row r="108" spans="2:5" ht="20.100000000000001" customHeight="1" x14ac:dyDescent="0.25">
      <c r="B108" s="17" t="s">
        <v>687</v>
      </c>
      <c r="C108" s="89" t="str">
        <f>IF(cluster_wld_domain_chosen&lt;&gt;"MGMT Workload Domain",CONCATENATE(prefix_wld_az1_rack_cidr,"33.102"),CONCATENATE(prefix_mgmt_az1_cidr,"33.102"))</f>
        <v>10.13.33.102</v>
      </c>
      <c r="D108" s="347"/>
      <c r="E108" s="100" t="s">
        <v>478</v>
      </c>
    </row>
    <row r="109" spans="2:5" ht="20.100000000000001" customHeight="1" x14ac:dyDescent="0.25">
      <c r="B109" s="17" t="s">
        <v>688</v>
      </c>
      <c r="C109" s="89" t="str">
        <f>IF(cluster_wld_domain_chosen&lt;&gt;"MGMT Workload Domain",CONCATENATE(prefix_wld_az1_rack_cidr,"33.103"),CONCATENATE(prefix_mgmt_az1_cidr,"33.103"))</f>
        <v>10.13.33.103</v>
      </c>
      <c r="D109" s="347"/>
      <c r="E109" s="100" t="s">
        <v>479</v>
      </c>
    </row>
    <row r="110" spans="2:5" ht="20.100000000000001" customHeight="1" x14ac:dyDescent="0.25">
      <c r="B110" s="17" t="s">
        <v>689</v>
      </c>
      <c r="C110" s="89" t="str">
        <f>IF(cluster_wld_domain_chosen&lt;&gt;"MGMT Workload Domain",CONCATENATE(prefix_wld_az1_rack_cidr,"33.104"),CONCATENATE(prefix_mgmt_az1_cidr,"33.104"))</f>
        <v>10.13.33.104</v>
      </c>
      <c r="D110" s="347"/>
      <c r="E110" s="100" t="s">
        <v>480</v>
      </c>
    </row>
    <row r="111" spans="2:5" ht="20.100000000000001" customHeight="1" x14ac:dyDescent="0.25">
      <c r="B111" s="17" t="s">
        <v>690</v>
      </c>
      <c r="C111" s="89" t="str">
        <f>IF(cluster_wld_domain_chosen&lt;&gt;"MGMT Workload Domain",CONCATENATE(prefix_wld_az1_rack_cidr,"33.105"),CONCATENATE(prefix_mgmt_az1_cidr,"33.105"))</f>
        <v>10.13.33.105</v>
      </c>
      <c r="D111" s="347"/>
      <c r="E111" s="100" t="s">
        <v>481</v>
      </c>
    </row>
    <row r="112" spans="2:5" ht="20.100000000000001" customHeight="1" x14ac:dyDescent="0.25">
      <c r="B112" s="17" t="s">
        <v>691</v>
      </c>
      <c r="C112" s="89" t="str">
        <f>IF(cluster_wld_domain_chosen&lt;&gt;"MGMT Workload Domain",CONCATENATE(prefix_wld_az1_rack_cidr,"33.106"),CONCATENATE(prefix_mgmt_az1_cidr,"33.106"))</f>
        <v>10.13.33.106</v>
      </c>
      <c r="D112" s="347"/>
      <c r="E112" s="100" t="s">
        <v>482</v>
      </c>
    </row>
    <row r="113" spans="2:5" ht="20.100000000000001" customHeight="1" x14ac:dyDescent="0.25">
      <c r="B113" s="17" t="s">
        <v>692</v>
      </c>
      <c r="C113" s="89" t="str">
        <f>IF(cluster_wld_domain_chosen&lt;&gt;"MGMT Workload Domain",CONCATENATE(prefix_wld_az1_rack_cidr,"33.107"),CONCATENATE(prefix_mgmt_az1_cidr,"33.107"))</f>
        <v>10.13.33.107</v>
      </c>
      <c r="D113" s="347"/>
      <c r="E113" s="100" t="s">
        <v>483</v>
      </c>
    </row>
    <row r="114" spans="2:5" ht="20.100000000000001" customHeight="1" x14ac:dyDescent="0.25">
      <c r="B114" s="17" t="s">
        <v>693</v>
      </c>
      <c r="C114" s="89" t="str">
        <f>IF(cluster_wld_domain_chosen&lt;&gt;"MGMT Workload Domain",CONCATENATE(prefix_wld_az1_rack_cidr,"33.108"),CONCATENATE(prefix_mgmt_az1_cidr,"33.108"))</f>
        <v>10.13.33.108</v>
      </c>
      <c r="D114" s="347"/>
      <c r="E114" s="100" t="s">
        <v>484</v>
      </c>
    </row>
    <row r="115" spans="2:5" ht="20.100000000000001" customHeight="1" x14ac:dyDescent="0.25">
      <c r="B115" s="17" t="s">
        <v>694</v>
      </c>
      <c r="C115" s="89" t="str">
        <f>IF(cluster_wld_domain_chosen&lt;&gt;"MGMT Workload Domain",CONCATENATE(prefix_wld_az1_rack_cidr,"33.109"),CONCATENATE(prefix_mgmt_az1_cidr,"33.109"))</f>
        <v>10.13.33.109</v>
      </c>
      <c r="D115" s="347"/>
      <c r="E115" s="100" t="s">
        <v>485</v>
      </c>
    </row>
    <row r="116" spans="2:5" ht="20.100000000000001" customHeight="1" x14ac:dyDescent="0.25">
      <c r="B116" s="17" t="s">
        <v>695</v>
      </c>
      <c r="C116" s="89" t="str">
        <f>IF(cluster_wld_domain_chosen&lt;&gt;"MGMT Workload Domain",CONCATENATE(prefix_wld_az1_rack_cidr,"33.110"),CONCATENATE(prefix_mgmt_az1_cidr,"33.110"))</f>
        <v>10.13.33.110</v>
      </c>
      <c r="D116" s="347"/>
      <c r="E116" s="100" t="s">
        <v>486</v>
      </c>
    </row>
    <row r="117" spans="2:5" ht="20.100000000000001" customHeight="1" x14ac:dyDescent="0.25">
      <c r="B117" s="17" t="s">
        <v>696</v>
      </c>
      <c r="C117" s="89" t="str">
        <f>IF(cluster_wld_domain_chosen&lt;&gt;"MGMT Workload Domain",CONCATENATE(prefix_wld_az1_rack_cidr,"33.111"),CONCATENATE(prefix_mgmt_az1_cidr,"33.111"))</f>
        <v>10.13.33.111</v>
      </c>
      <c r="D117" s="347"/>
      <c r="E117" s="100" t="s">
        <v>487</v>
      </c>
    </row>
    <row r="118" spans="2:5" ht="20.100000000000001" customHeight="1" x14ac:dyDescent="0.25">
      <c r="B118" s="17" t="s">
        <v>697</v>
      </c>
      <c r="C118" s="89" t="str">
        <f>IF(cluster_wld_domain_chosen&lt;&gt;"MGMT Workload Domain",CONCATENATE(prefix_wld_az1_rack_cidr,"33.112"),CONCATENATE(prefix_mgmt_az1_cidr,"33.112"))</f>
        <v>10.13.33.112</v>
      </c>
      <c r="D118" s="347"/>
      <c r="E118" s="100" t="s">
        <v>488</v>
      </c>
    </row>
    <row r="119" spans="2:5" ht="20.100000000000001" customHeight="1" x14ac:dyDescent="0.25">
      <c r="B119" s="17" t="s">
        <v>698</v>
      </c>
      <c r="C119" s="89" t="str">
        <f>IF(cluster_wld_domain_chosen&lt;&gt;"MGMT Workload Domain",CONCATENATE(prefix_wld_az1_rack_cidr,"33.113"),CONCATENATE(prefix_mgmt_az1_cidr,"33.113"))</f>
        <v>10.13.33.113</v>
      </c>
      <c r="D119" s="347"/>
      <c r="E119" s="100" t="s">
        <v>489</v>
      </c>
    </row>
    <row r="120" spans="2:5" ht="20.100000000000001" customHeight="1" x14ac:dyDescent="0.25">
      <c r="B120" s="17" t="s">
        <v>699</v>
      </c>
      <c r="C120" s="89" t="str">
        <f>IF(cluster_wld_domain_chosen&lt;&gt;"MGMT Workload Domain",CONCATENATE(prefix_wld_az1_rack_cidr,"33.114"),CONCATENATE(prefix_mgmt_az1_cidr,"33.114"))</f>
        <v>10.13.33.114</v>
      </c>
      <c r="D120" s="347"/>
      <c r="E120" s="100" t="s">
        <v>490</v>
      </c>
    </row>
    <row r="121" spans="2:5" ht="20.100000000000001" customHeight="1" x14ac:dyDescent="0.25">
      <c r="B121" s="17" t="s">
        <v>700</v>
      </c>
      <c r="C121" s="89" t="str">
        <f>IF(cluster_wld_domain_chosen&lt;&gt;"MGMT Workload Domain",CONCATENATE(prefix_wld_az1_rack_cidr,"33.115"),CONCATENATE(prefix_mgmt_az1_cidr,"33.115"))</f>
        <v>10.13.33.115</v>
      </c>
      <c r="D121" s="347"/>
      <c r="E121" s="100" t="s">
        <v>491</v>
      </c>
    </row>
    <row r="122" spans="2:5" ht="20.100000000000001" customHeight="1" x14ac:dyDescent="0.25">
      <c r="B122" s="17" t="s">
        <v>701</v>
      </c>
      <c r="C122" s="89" t="str">
        <f>IF(cluster_wld_domain_chosen&lt;&gt;"MGMT Workload Domain",CONCATENATE(prefix_wld_az1_rack_cidr,"33.116"),CONCATENATE(prefix_mgmt_az1_cidr,"33.116"))</f>
        <v>10.13.33.116</v>
      </c>
      <c r="D122" s="347"/>
      <c r="E122" s="100" t="s">
        <v>492</v>
      </c>
    </row>
    <row r="123" spans="2:5" ht="15.95" customHeight="1" x14ac:dyDescent="0.25">
      <c r="B123" s="8"/>
      <c r="C123" s="8"/>
      <c r="D123" s="8"/>
      <c r="E123" s="8"/>
    </row>
    <row r="124" spans="2:5" ht="33.950000000000003" customHeight="1" x14ac:dyDescent="0.25">
      <c r="B124" s="505" t="s">
        <v>3287</v>
      </c>
      <c r="C124" s="506"/>
      <c r="D124" s="506"/>
      <c r="E124" s="507"/>
    </row>
    <row r="125" spans="2:5" ht="20.100000000000001" customHeight="1" x14ac:dyDescent="0.25">
      <c r="B125" s="43" t="s">
        <v>259</v>
      </c>
      <c r="C125" s="43" t="s">
        <v>711</v>
      </c>
      <c r="D125" s="130" t="s">
        <v>277</v>
      </c>
      <c r="E125" s="43" t="s">
        <v>457</v>
      </c>
    </row>
    <row r="126" spans="2:5" ht="20.100000000000001" customHeight="1" x14ac:dyDescent="0.25">
      <c r="B126" s="4" t="s">
        <v>3273</v>
      </c>
      <c r="C126" s="362" t="s">
        <v>704</v>
      </c>
      <c r="D126" s="127" t="s">
        <v>704</v>
      </c>
      <c r="E126" s="4" t="str">
        <f>IF(wld_az1_rack3_reuse_vcf_networkpool_chosen="Re-use an existing  VCF Network Pool","An exisiting VCF Network Pool will be reused for Host TEP assignment","A new VCF Network Pool will be created")</f>
        <v>A new VCF Network Pool will be created</v>
      </c>
    </row>
    <row r="127" spans="2:5" ht="20.100000000000001" customHeight="1" x14ac:dyDescent="0.25">
      <c r="B127" s="17" t="s">
        <v>705</v>
      </c>
      <c r="C127" s="89" t="str">
        <f>IF(cluster_wld_domain_chosen="VI Workload Domain",CONCATENATE(this_instance,"01-w0",wld_domain_number_chosen,"-r03-network-pool-01"),CONCATENATE(this_instance,"01-m01","-r03-network-pool-01"))</f>
        <v>sfo01-w01-r03-network-pool-01</v>
      </c>
      <c r="D127" s="347"/>
      <c r="E127" s="32"/>
    </row>
    <row r="128" spans="2:5" ht="20.100000000000001" customHeight="1" x14ac:dyDescent="0.25">
      <c r="B128" s="405" t="s">
        <v>404</v>
      </c>
      <c r="C128" s="406"/>
      <c r="D128" s="406"/>
      <c r="E128" s="407"/>
    </row>
    <row r="129" spans="2:5" ht="20.100000000000001" customHeight="1" x14ac:dyDescent="0.25">
      <c r="B129" s="4" t="s">
        <v>398</v>
      </c>
      <c r="C129" s="89" t="str">
        <f>IF(cluster_wld_domain_chosen&lt;&gt;"MGMT Workload Domain",CONCATENATE(prefix_wld_az1_rack_vlan,"34"),CONCATENATE(prefix_mgmt_az1_vlan,"34"))</f>
        <v>1334</v>
      </c>
      <c r="D129" s="347"/>
      <c r="E129" s="93"/>
    </row>
    <row r="130" spans="2:5" ht="20.100000000000001" customHeight="1" x14ac:dyDescent="0.25">
      <c r="B130" s="4" t="s">
        <v>401</v>
      </c>
      <c r="C130" s="89">
        <v>9000</v>
      </c>
      <c r="D130" s="347"/>
      <c r="E130" s="32"/>
    </row>
    <row r="131" spans="2:5" ht="20.100000000000001" customHeight="1" x14ac:dyDescent="0.25">
      <c r="B131" s="4" t="s">
        <v>400</v>
      </c>
      <c r="C131" s="89" t="str">
        <f>IF(cluster_wld_domain_chosen&lt;&gt;"MGMT Workload Domain",CONCATENATE(prefix_wld_az1_rack_cidr,"34.0"),CONCATENATE(prefix_mgmt_az1_cidr,"34.0"))</f>
        <v>10.13.34.0</v>
      </c>
      <c r="D131" s="347"/>
      <c r="E131" s="32"/>
    </row>
    <row r="132" spans="2:5" ht="20.100000000000001" customHeight="1" x14ac:dyDescent="0.25">
      <c r="B132" s="4" t="s">
        <v>732</v>
      </c>
      <c r="C132" s="89" t="s">
        <v>612</v>
      </c>
      <c r="D132" s="347"/>
      <c r="E132" s="32"/>
    </row>
    <row r="133" spans="2:5" ht="20.100000000000001" customHeight="1" x14ac:dyDescent="0.25">
      <c r="B133" s="4" t="s">
        <v>399</v>
      </c>
      <c r="C133" s="89" t="str">
        <f>IF(cluster_wld_domain_chosen&lt;&gt;"MGMT Workload Domain",CONCATENATE(prefix_wld_az1_rack_cidr,"34.1"),CONCATENATE(prefix_mgmt_az1_cidr,"34.1"))</f>
        <v>10.13.34.1</v>
      </c>
      <c r="D133" s="347"/>
      <c r="E133" s="32"/>
    </row>
    <row r="134" spans="2:5" ht="20.100000000000001" customHeight="1" x14ac:dyDescent="0.25">
      <c r="B134" s="17" t="s">
        <v>460</v>
      </c>
      <c r="C134" s="89" t="str">
        <f>IF(cluster_wld_domain_chosen&lt;&gt;"MGMT Workload Domain",CONCATENATE(prefix_wld_az1_rack_cidr,"34.101"),CONCATENATE(prefix_mgmt_az1_cidr,"34.101"))</f>
        <v>10.13.34.101</v>
      </c>
      <c r="D134" s="347"/>
      <c r="E134" s="100" t="s">
        <v>3274</v>
      </c>
    </row>
    <row r="135" spans="2:5" ht="20.100000000000001" customHeight="1" x14ac:dyDescent="0.25">
      <c r="B135" s="17" t="s">
        <v>461</v>
      </c>
      <c r="C135" s="89" t="str">
        <f>IF(cluster_wld_domain_chosen&lt;&gt;"MGMT Workload Domain",CONCATENATE(prefix_wld_az1_rack_cidr,"34.116"),CONCATENATE(prefix_mgmt_az1_cidr,"34.116"))</f>
        <v>10.13.34.116</v>
      </c>
      <c r="D135" s="347"/>
      <c r="E135" s="100" t="s">
        <v>3275</v>
      </c>
    </row>
    <row r="136" spans="2:5" ht="20.100000000000001" customHeight="1" x14ac:dyDescent="0.25">
      <c r="B136" s="405" t="s">
        <v>407</v>
      </c>
      <c r="C136" s="406"/>
      <c r="D136" s="406"/>
      <c r="E136" s="407"/>
    </row>
    <row r="137" spans="2:5" ht="20.100000000000001" customHeight="1" x14ac:dyDescent="0.25">
      <c r="B137" s="4" t="s">
        <v>398</v>
      </c>
      <c r="C137" s="89" t="str">
        <f>IF(cluster_wld_domain_chosen&lt;&gt;"MGMT Workload Domain",CONCATENATE(prefix_wld_az1_rack_vlan,"35"),CONCATENATE(prefix_mgmt_az1_vlan,"35"))</f>
        <v>1335</v>
      </c>
      <c r="D137" s="347"/>
      <c r="E137" s="32"/>
    </row>
    <row r="138" spans="2:5" ht="20.100000000000001" customHeight="1" x14ac:dyDescent="0.25">
      <c r="B138" s="4" t="s">
        <v>401</v>
      </c>
      <c r="C138" s="89">
        <v>9000</v>
      </c>
      <c r="D138" s="347"/>
      <c r="E138" s="32"/>
    </row>
    <row r="139" spans="2:5" ht="20.100000000000001" customHeight="1" x14ac:dyDescent="0.25">
      <c r="B139" s="4" t="s">
        <v>400</v>
      </c>
      <c r="C139" s="89" t="str">
        <f>IF(cluster_wld_domain_chosen&lt;&gt;"MGMT Workload Domain",CONCATENATE(prefix_wld_az1_rack_cidr,"35.0"),CONCATENATE(prefix_mgmt_az1_cidr,"35.0"))</f>
        <v>10.13.35.0</v>
      </c>
      <c r="D139" s="347"/>
      <c r="E139" s="56"/>
    </row>
    <row r="140" spans="2:5" ht="20.100000000000001" customHeight="1" x14ac:dyDescent="0.25">
      <c r="B140" s="4" t="s">
        <v>732</v>
      </c>
      <c r="C140" s="89" t="s">
        <v>612</v>
      </c>
      <c r="D140" s="347"/>
      <c r="E140" s="32"/>
    </row>
    <row r="141" spans="2:5" ht="20.100000000000001" customHeight="1" x14ac:dyDescent="0.25">
      <c r="B141" s="4" t="s">
        <v>399</v>
      </c>
      <c r="C141" s="89" t="str">
        <f>IF(cluster_wld_domain_chosen&lt;&gt;"MGMT Workload Domain",CONCATENATE(prefix_wld_az1_rack_cidr,"35.1"),CONCATENATE(prefix_mgmt_az1_cidr,"35.1"))</f>
        <v>10.13.35.1</v>
      </c>
      <c r="D141" s="347"/>
      <c r="E141" s="32" t="str">
        <f>IF(AND(mgmt_stretched_cluster_result="Included",mgmt_dpg_reuse_result="Excluded"),"Stretched L2","")</f>
        <v/>
      </c>
    </row>
    <row r="142" spans="2:5" ht="20.100000000000001" customHeight="1" x14ac:dyDescent="0.25">
      <c r="B142" s="17" t="s">
        <v>460</v>
      </c>
      <c r="C142" s="89" t="str">
        <f>IF(cluster_wld_domain_chosen&lt;&gt;"MGMT Workload Domain",CONCATENATE(prefix_wld_az1_rack_cidr,"35.101"),CONCATENATE(prefix_mgmt_az1_cidr,"35.101"))</f>
        <v>10.13.35.101</v>
      </c>
      <c r="D142" s="347"/>
      <c r="E142" s="100" t="s">
        <v>3276</v>
      </c>
    </row>
    <row r="143" spans="2:5" ht="20.100000000000001" customHeight="1" x14ac:dyDescent="0.25">
      <c r="B143" s="17" t="s">
        <v>461</v>
      </c>
      <c r="C143" s="89" t="str">
        <f>IF(cluster_wld_domain_chosen&lt;&gt;"MGMT Workload Domain",CONCATENATE(prefix_wld_az1_rack_cidr,"35.116"),CONCATENATE(prefix_mgmt_az1_cidr,"35.116"))</f>
        <v>10.13.35.116</v>
      </c>
      <c r="D143" s="347"/>
      <c r="E143" s="100" t="s">
        <v>3277</v>
      </c>
    </row>
    <row r="144" spans="2:5" ht="15.95" customHeight="1" x14ac:dyDescent="0.25">
      <c r="B144" s="8"/>
      <c r="C144" s="8"/>
      <c r="D144" s="8"/>
      <c r="E144" s="8"/>
    </row>
    <row r="145" spans="2:5" ht="33.950000000000003" customHeight="1" x14ac:dyDescent="0.25">
      <c r="B145" s="505" t="s">
        <v>3288</v>
      </c>
      <c r="C145" s="506"/>
      <c r="D145" s="506"/>
      <c r="E145" s="507"/>
    </row>
    <row r="146" spans="2:5" ht="20.100000000000001" customHeight="1" x14ac:dyDescent="0.25">
      <c r="B146" s="43" t="s">
        <v>259</v>
      </c>
      <c r="C146" s="43" t="s">
        <v>711</v>
      </c>
      <c r="D146" s="130" t="s">
        <v>277</v>
      </c>
      <c r="E146" s="43" t="s">
        <v>457</v>
      </c>
    </row>
    <row r="147" spans="2:5" ht="20.100000000000001" customHeight="1" x14ac:dyDescent="0.25">
      <c r="B147" s="17" t="s">
        <v>686</v>
      </c>
      <c r="C147" s="89" t="str">
        <f>IF(cluster_wld_domain_chosen&lt;&gt;"MGMT Workload Domain",CONCATENATE(this_instance,"01-w0",wld_domain_number_chosen,"-r03-esx01",".",sample_child_dns_zone),CONCATENATE(this_instance,"01-m01-r03-esx01",".",sample_child_dns_zone))</f>
        <v>sfo01-w01-r03-esx01.sfo.rainpole.io</v>
      </c>
      <c r="D147" s="347"/>
      <c r="E147" s="32"/>
    </row>
    <row r="148" spans="2:5" ht="20.100000000000001" customHeight="1" x14ac:dyDescent="0.25">
      <c r="B148" s="17" t="s">
        <v>687</v>
      </c>
      <c r="C148" s="89" t="str">
        <f>IF(cluster_wld_domain_chosen&lt;&gt;"MGMT Workload Domain",CONCATENATE(this_instance,"01-w0",wld_domain_number_chosen,"-r03-esx02",".",sample_child_dns_zone),CONCATENATE(this_instance,"01-m01-r03-esx02",".",sample_child_dns_zone))</f>
        <v>sfo01-w01-r03-esx02.sfo.rainpole.io</v>
      </c>
      <c r="D148" s="347"/>
      <c r="E148" s="32"/>
    </row>
    <row r="149" spans="2:5" ht="20.100000000000001" customHeight="1" x14ac:dyDescent="0.25">
      <c r="B149" s="17" t="s">
        <v>688</v>
      </c>
      <c r="C149" s="89" t="str">
        <f>IF(cluster_wld_domain_chosen&lt;&gt;"MGMT Workload Domain",CONCATENATE(this_instance,"01-w0",wld_domain_number_chosen,"-r03-esx03",".",sample_child_dns_zone),CONCATENATE(this_instance,"01-m01-r03-esx03",".",sample_child_dns_zone))</f>
        <v>sfo01-w01-r03-esx03.sfo.rainpole.io</v>
      </c>
      <c r="D149" s="347"/>
      <c r="E149" s="32"/>
    </row>
    <row r="150" spans="2:5" ht="20.100000000000001" customHeight="1" x14ac:dyDescent="0.25">
      <c r="B150" s="17" t="s">
        <v>689</v>
      </c>
      <c r="C150" s="89" t="str">
        <f>IF(cluster_wld_domain_chosen&lt;&gt;"MGMT Workload Domain",CONCATENATE(this_instance,"01-w0",wld_domain_number_chosen,"-r03-esx04",".",sample_child_dns_zone),CONCATENATE(this_instance,"01-m01-r03-esx04",".",sample_child_dns_zone))</f>
        <v>sfo01-w01-r03-esx04.sfo.rainpole.io</v>
      </c>
      <c r="D150" s="347"/>
      <c r="E150" s="32"/>
    </row>
    <row r="151" spans="2:5" ht="20.100000000000001" customHeight="1" x14ac:dyDescent="0.25">
      <c r="B151" s="17" t="s">
        <v>690</v>
      </c>
      <c r="C151" s="89" t="str">
        <f>IF(cluster_wld_domain_chosen&lt;&gt;"MGMT Workload Domain",CONCATENATE(this_instance,"01-w0",wld_domain_number_chosen,"-r03-esx05",".",sample_child_dns_zone),CONCATENATE(this_instance,"01-m01-r03-esx05",".",sample_child_dns_zone))</f>
        <v>sfo01-w01-r03-esx05.sfo.rainpole.io</v>
      </c>
      <c r="D151" s="347"/>
      <c r="E151" s="32"/>
    </row>
    <row r="152" spans="2:5" ht="20.100000000000001" customHeight="1" x14ac:dyDescent="0.25">
      <c r="B152" s="17" t="s">
        <v>691</v>
      </c>
      <c r="C152" s="89" t="str">
        <f>IF(cluster_wld_domain_chosen&lt;&gt;"MGMT Workload Domain",CONCATENATE(this_instance,"01-w0",wld_domain_number_chosen,"-r03-esx06",".",sample_child_dns_zone),CONCATENATE(this_instance,"01-m01-r03-esx06",".",sample_child_dns_zone))</f>
        <v>sfo01-w01-r03-esx06.sfo.rainpole.io</v>
      </c>
      <c r="D152" s="347"/>
      <c r="E152" s="32"/>
    </row>
    <row r="153" spans="2:5" ht="20.100000000000001" customHeight="1" x14ac:dyDescent="0.25">
      <c r="B153" s="17" t="s">
        <v>692</v>
      </c>
      <c r="C153" s="89" t="str">
        <f>IF(cluster_wld_domain_chosen&lt;&gt;"MGMT Workload Domain",CONCATENATE(this_instance,"01-w0",wld_domain_number_chosen,"-r03-esx07",".",sample_child_dns_zone),CONCATENATE(this_instance,"01-m01-r03-esx07",".",sample_child_dns_zone))</f>
        <v>sfo01-w01-r03-esx07.sfo.rainpole.io</v>
      </c>
      <c r="D153" s="347"/>
      <c r="E153" s="32"/>
    </row>
    <row r="154" spans="2:5" ht="20.100000000000001" customHeight="1" x14ac:dyDescent="0.25">
      <c r="B154" s="17" t="s">
        <v>693</v>
      </c>
      <c r="C154" s="89" t="str">
        <f>IF(cluster_wld_domain_chosen&lt;&gt;"MGMT Workload Domain",CONCATENATE(this_instance,"01-w0",wld_domain_number_chosen,"-r03-esx08",".",sample_child_dns_zone),CONCATENATE(this_instance,"01-m01-r03-esx08",".",sample_child_dns_zone))</f>
        <v>sfo01-w01-r03-esx08.sfo.rainpole.io</v>
      </c>
      <c r="D154" s="347"/>
      <c r="E154" s="32"/>
    </row>
    <row r="155" spans="2:5" ht="20.100000000000001" customHeight="1" x14ac:dyDescent="0.25">
      <c r="B155" s="17" t="s">
        <v>694</v>
      </c>
      <c r="C155" s="89" t="str">
        <f>IF(cluster_wld_domain_chosen&lt;&gt;"MGMT Workload Domain",CONCATENATE(this_instance,"01-w0",wld_domain_number_chosen,"-r03-esx09",".",sample_child_dns_zone),CONCATENATE(this_instance,"01-m01-r03-esx09",".",sample_child_dns_zone))</f>
        <v>sfo01-w01-r03-esx09.sfo.rainpole.io</v>
      </c>
      <c r="D155" s="347"/>
      <c r="E155" s="32"/>
    </row>
    <row r="156" spans="2:5" ht="20.100000000000001" customHeight="1" x14ac:dyDescent="0.25">
      <c r="B156" s="17" t="s">
        <v>695</v>
      </c>
      <c r="C156" s="89" t="str">
        <f>IF(cluster_wld_domain_chosen&lt;&gt;"MGMT Workload Domain",CONCATENATE(this_instance,"01-w0",wld_domain_number_chosen,"-r03-esx10",".",sample_child_dns_zone),CONCATENATE(this_instance,"01-m01-r03-esx10",".",sample_child_dns_zone))</f>
        <v>sfo01-w01-r03-esx10.sfo.rainpole.io</v>
      </c>
      <c r="D156" s="347"/>
      <c r="E156" s="32"/>
    </row>
    <row r="157" spans="2:5" ht="20.100000000000001" customHeight="1" x14ac:dyDescent="0.25">
      <c r="B157" s="17" t="s">
        <v>696</v>
      </c>
      <c r="C157" s="89" t="str">
        <f>IF(cluster_wld_domain_chosen&lt;&gt;"MGMT Workload Domain",CONCATENATE(this_instance,"01-w0",wld_domain_number_chosen,"-r03-esx11",".",sample_child_dns_zone),CONCATENATE(this_instance,"01-m01-r03-esx11",".",sample_child_dns_zone))</f>
        <v>sfo01-w01-r03-esx11.sfo.rainpole.io</v>
      </c>
      <c r="D157" s="347"/>
      <c r="E157" s="32"/>
    </row>
    <row r="158" spans="2:5" ht="20.100000000000001" customHeight="1" x14ac:dyDescent="0.25">
      <c r="B158" s="17" t="s">
        <v>697</v>
      </c>
      <c r="C158" s="89" t="str">
        <f>IF(cluster_wld_domain_chosen&lt;&gt;"MGMT Workload Domain",CONCATENATE(this_instance,"01-w0",wld_domain_number_chosen,"-r03-esx12",".",sample_child_dns_zone),CONCATENATE(this_instance,"01-m01-r03-esx12",".",sample_child_dns_zone))</f>
        <v>sfo01-w01-r03-esx12.sfo.rainpole.io</v>
      </c>
      <c r="D158" s="347"/>
      <c r="E158" s="32"/>
    </row>
    <row r="159" spans="2:5" ht="20.100000000000001" customHeight="1" x14ac:dyDescent="0.25">
      <c r="B159" s="17" t="s">
        <v>698</v>
      </c>
      <c r="C159" s="89" t="str">
        <f>IF(cluster_wld_domain_chosen&lt;&gt;"MGMT Workload Domain",CONCATENATE(this_instance,"01-w0",wld_domain_number_chosen,"-r03-esx13",".",sample_child_dns_zone),CONCATENATE(this_instance,"01-m01-r03-esx13",".",sample_child_dns_zone))</f>
        <v>sfo01-w01-r03-esx13.sfo.rainpole.io</v>
      </c>
      <c r="D159" s="347"/>
      <c r="E159" s="32"/>
    </row>
    <row r="160" spans="2:5" ht="20.100000000000001" customHeight="1" x14ac:dyDescent="0.25">
      <c r="B160" s="17" t="s">
        <v>699</v>
      </c>
      <c r="C160" s="89" t="str">
        <f>IF(cluster_wld_domain_chosen&lt;&gt;"MGMT Workload Domain",CONCATENATE(this_instance,"01-w0",wld_domain_number_chosen,"-r03-esx14",".",sample_child_dns_zone),CONCATENATE(this_instance,"01-m01-r03-esx14",".",sample_child_dns_zone))</f>
        <v>sfo01-w01-r03-esx14.sfo.rainpole.io</v>
      </c>
      <c r="D160" s="347"/>
      <c r="E160" s="32"/>
    </row>
    <row r="161" spans="2:5" ht="20.100000000000001" customHeight="1" x14ac:dyDescent="0.25">
      <c r="B161" s="17" t="s">
        <v>700</v>
      </c>
      <c r="C161" s="89" t="str">
        <f>IF(cluster_wld_domain_chosen&lt;&gt;"MGMT Workload Domain",CONCATENATE(this_instance,"01-w0",wld_domain_number_chosen,"-r03-esx14",".",sample_child_dns_zone),CONCATENATE(this_instance,"01-m01-r03-esx15",".",sample_child_dns_zone))</f>
        <v>sfo01-w01-r03-esx14.sfo.rainpole.io</v>
      </c>
      <c r="D161" s="347"/>
      <c r="E161" s="32"/>
    </row>
    <row r="162" spans="2:5" ht="20.100000000000001" customHeight="1" x14ac:dyDescent="0.25">
      <c r="B162" s="17" t="s">
        <v>701</v>
      </c>
      <c r="C162" s="89" t="str">
        <f>IF(cluster_wld_domain_chosen&lt;&gt;"MGMT Workload Domain",CONCATENATE(this_instance,"01-w0",wld_domain_number_chosen,"-r03-esx16",".",sample_child_dns_zone),CONCATENATE(this_instance,"01-m01-r03-esx16",".",sample_child_dns_zone))</f>
        <v>sfo01-w01-r03-esx16.sfo.rainpole.io</v>
      </c>
      <c r="D162" s="347"/>
      <c r="E162" s="32"/>
    </row>
    <row r="163" spans="2:5" ht="20.100000000000001" customHeight="1" x14ac:dyDescent="0.25">
      <c r="B163" s="17" t="s">
        <v>712</v>
      </c>
      <c r="C163" s="89" t="s">
        <v>368</v>
      </c>
      <c r="D163" s="337" t="s">
        <v>713</v>
      </c>
      <c r="E163" s="32"/>
    </row>
    <row r="164" spans="2:5" ht="20.100000000000001" customHeight="1" x14ac:dyDescent="0.25">
      <c r="B164" s="17" t="s">
        <v>714</v>
      </c>
      <c r="C164" s="89" t="s">
        <v>715</v>
      </c>
      <c r="D164"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100000000000001" customHeight="1" x14ac:dyDescent="0.25">
      <c r="B165" s="17" t="s">
        <v>716</v>
      </c>
      <c r="C165" s="89" t="s">
        <v>323</v>
      </c>
      <c r="D165" s="337" t="str">
        <f>IF(AND(vcf_granular_option_chosen="Create Cluster",cluster_principal_storage_chosen="vSAN-ESA"),"Selected",
IF(AND(vcf_granular_option_chosen="Create VI Workload Domain",wld_principal_storage_chosen="vSAN-ESA"),"Selected","Unselected"))</f>
        <v>Unselected</v>
      </c>
      <c r="E165" s="32"/>
    </row>
    <row r="166" spans="2:5" ht="20.100000000000001" customHeight="1" x14ac:dyDescent="0.25">
      <c r="B166" s="17" t="s">
        <v>705</v>
      </c>
      <c r="C166" s="89" t="str">
        <f>sample_wld_az1_rack3_pool_name</f>
        <v>sfo01-w01-r03-network-pool-01</v>
      </c>
      <c r="D166" s="337" t="str">
        <f>wld_az1_rack3_pool_name</f>
        <v>Value Missing</v>
      </c>
      <c r="E166" s="32"/>
    </row>
    <row r="167" spans="2:5" ht="20.100000000000001" customHeight="1" x14ac:dyDescent="0.25">
      <c r="B167" s="17" t="s">
        <v>535</v>
      </c>
      <c r="C167" s="89" t="s">
        <v>717</v>
      </c>
      <c r="D167"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32"/>
    </row>
    <row r="168" spans="2:5" ht="20.100000000000001" customHeight="1" x14ac:dyDescent="0.25">
      <c r="B168" s="17" t="s">
        <v>296</v>
      </c>
      <c r="C168" s="89" t="s">
        <v>379</v>
      </c>
      <c r="D168"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32"/>
    </row>
    <row r="169" spans="2:5" ht="15.95" customHeight="1" x14ac:dyDescent="0.25"/>
    <row r="170" spans="2:5" ht="33.950000000000003" customHeight="1" x14ac:dyDescent="0.25">
      <c r="B170" s="505" t="s">
        <v>3289</v>
      </c>
      <c r="C170" s="506"/>
      <c r="D170" s="506"/>
      <c r="E170" s="507"/>
    </row>
    <row r="171" spans="2:5" ht="20.100000000000001" customHeight="1" x14ac:dyDescent="0.25">
      <c r="B171" s="4" t="s">
        <v>784</v>
      </c>
      <c r="C171" s="89"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sfo01-sfo-w01-cl01-r03-network-profile</v>
      </c>
      <c r="D171" s="240"/>
      <c r="E171" s="80"/>
    </row>
    <row r="172" spans="2:5" ht="20.100000000000001" customHeight="1" x14ac:dyDescent="0.25">
      <c r="B172" s="4" t="s">
        <v>3280</v>
      </c>
      <c r="C172" s="362" t="s">
        <v>786</v>
      </c>
      <c r="D172" s="127" t="s">
        <v>786</v>
      </c>
      <c r="E172" s="280" t="str">
        <f>IF(wld_az1_rack3_host_overlay_new_pool_chosen="Re-use an existing Pool","An exisitng Pool will be reused for Host TEP assignment","A new Pool will be created for Host TEP assignment")</f>
        <v>A new Pool will be created for Host TEP assignment</v>
      </c>
    </row>
    <row r="173" spans="2:5" ht="20.100000000000001" customHeight="1" x14ac:dyDescent="0.25">
      <c r="B173" s="4" t="s">
        <v>787</v>
      </c>
      <c r="C173" s="89" t="str">
        <f>IF(cluster_wld_domain_chosen="VI Workload Domain",CONCATENATE(this_instance,"01-w0",wld_domain_number_chosen,"-r03-ip-pool01-host"),CONCATENATE(this_instance,"01-m01","-r03-ip-pool01-host"))</f>
        <v>sfo01-w01-r03-ip-pool01-host</v>
      </c>
      <c r="D173" s="240"/>
      <c r="E173" s="80"/>
    </row>
    <row r="174" spans="2:5" ht="20.100000000000001" customHeight="1" x14ac:dyDescent="0.25">
      <c r="B174" s="4" t="s">
        <v>788</v>
      </c>
      <c r="C174" s="89" t="str">
        <f>IF(cluster_wld_domain_chosen="VI Workload Domain",CONCATENATE(this_instance,"01-w0",wld_domain_number_chosen,"-r03-uplink-profile01"),CONCATENATE(this_instance,"01-m01","-r03-uplink-profile01"))</f>
        <v>sfo01-w01-r03-uplink-profile01</v>
      </c>
      <c r="D174" s="240"/>
      <c r="E174" s="80"/>
    </row>
    <row r="175" spans="2:5" ht="20.100000000000001" customHeight="1" x14ac:dyDescent="0.25">
      <c r="B175" s="4" t="s">
        <v>3281</v>
      </c>
      <c r="C175" s="89" t="str">
        <f>IF(cluster_wld_domain_chosen="VI Workload Domain",CONCATENATE(this_instance,"01-w0",wld_domain_number_chosen,"-r03-ip-pool02-edge"),CONCATENATE(this_instance,"01-m01","-r03-ip-pool02-edge"))</f>
        <v>sfo01-w01-r03-ip-pool02-edge</v>
      </c>
      <c r="D175" s="240"/>
      <c r="E175" s="80"/>
    </row>
    <row r="176" spans="2:5" ht="20.100000000000001" customHeight="1" x14ac:dyDescent="0.25">
      <c r="B176" s="4" t="s">
        <v>3282</v>
      </c>
      <c r="C176" s="89" t="str">
        <f>IF(cluster_wld_domain_chosen="VI Workload Domain",CONCATENATE(this_instance,"01-w0",wld_domain_number_chosen,"-r03-ip-pool03-rtep"),CONCATENATE(this_instance,"01-m01","-r03-ip-pool03-rtep"))</f>
        <v>sfo01-w01-r03-ip-pool03-rtep</v>
      </c>
      <c r="D176" s="347"/>
      <c r="E176" s="80"/>
    </row>
    <row r="177" spans="2:5" ht="20.100000000000001" customHeight="1" x14ac:dyDescent="0.25">
      <c r="B177" s="405" t="s">
        <v>365</v>
      </c>
      <c r="C177" s="406"/>
      <c r="D177" s="406"/>
      <c r="E177" s="407"/>
    </row>
    <row r="178" spans="2:5" ht="20.100000000000001" customHeight="1" x14ac:dyDescent="0.25">
      <c r="B178" s="207" t="s">
        <v>259</v>
      </c>
      <c r="C178" s="207" t="s">
        <v>711</v>
      </c>
      <c r="D178" s="239" t="s">
        <v>277</v>
      </c>
      <c r="E178" s="207" t="s">
        <v>5</v>
      </c>
    </row>
    <row r="179" spans="2:5" ht="20.100000000000001" customHeight="1" x14ac:dyDescent="0.25">
      <c r="B179" s="4" t="s">
        <v>1818</v>
      </c>
      <c r="C179" s="80" t="str">
        <f>IF(cluster_wld_domain_chosen&lt;&gt;"MGMT Workload Domain",CONCATENATE(this_instance,"-w0",wld_domain_number_chosen,"-r03","-vsan-fault-domain"),CONCATENATE(this_instance,"-m01","-r03","-vsan-fault-domain"))</f>
        <v>sfo-w01-r03-vsan-fault-domain</v>
      </c>
      <c r="D179" s="347"/>
      <c r="E179" s="337"/>
    </row>
    <row r="180" spans="2:5" ht="15.95" customHeight="1" x14ac:dyDescent="0.25"/>
    <row r="181" spans="2:5" ht="33.950000000000003" customHeight="1" x14ac:dyDescent="0.25">
      <c r="B181" s="505" t="s">
        <v>3290</v>
      </c>
      <c r="C181" s="506"/>
      <c r="D181" s="506"/>
      <c r="E181" s="507"/>
    </row>
    <row r="182" spans="2:5" ht="20.100000000000001" customHeight="1" x14ac:dyDescent="0.25">
      <c r="B182" s="43" t="s">
        <v>259</v>
      </c>
      <c r="C182" s="43" t="s">
        <v>711</v>
      </c>
      <c r="D182" s="130" t="s">
        <v>277</v>
      </c>
      <c r="E182" s="43" t="s">
        <v>5</v>
      </c>
    </row>
    <row r="183" spans="2:5" ht="20.100000000000001" customHeight="1" x14ac:dyDescent="0.25">
      <c r="B183" s="405" t="s">
        <v>467</v>
      </c>
      <c r="C183" s="406"/>
      <c r="D183" s="406"/>
      <c r="E183" s="407"/>
    </row>
    <row r="184" spans="2:5" ht="20.100000000000001" customHeight="1" x14ac:dyDescent="0.25">
      <c r="B184" s="4" t="s">
        <v>398</v>
      </c>
      <c r="C184" s="362" t="str">
        <f>IF(cluster_wld_domain_chosen&lt;&gt;"MGMT Workload Domain",CONCATENATE(prefix_wld_az1_rack_vlan,"36"),CONCATENATE(prefix_mgmt_az1_vlan,"36"))</f>
        <v>1336</v>
      </c>
      <c r="D184" s="347"/>
      <c r="E184" s="93"/>
    </row>
    <row r="185" spans="2:5" ht="20.100000000000001" customHeight="1" x14ac:dyDescent="0.25">
      <c r="B185" s="4" t="s">
        <v>401</v>
      </c>
      <c r="C185" s="362">
        <v>9000</v>
      </c>
      <c r="D185" s="347"/>
      <c r="E185" s="32"/>
    </row>
    <row r="186" spans="2:5" ht="20.100000000000001" customHeight="1" x14ac:dyDescent="0.25">
      <c r="B186" s="4" t="s">
        <v>400</v>
      </c>
      <c r="C186" s="362" t="str">
        <f>IF(cluster_wld_domain_chosen&lt;&gt;"MGMT Workload Domain",CONCATENATE(prefix_wld_az1_rack_cidr,"36.0"),CONCATENATE(prefix_mgmt_az1_cidr,"36.0"))</f>
        <v>10.13.36.0</v>
      </c>
      <c r="D186" s="347"/>
      <c r="E186" s="32"/>
    </row>
    <row r="187" spans="2:5" ht="20.100000000000001" customHeight="1" x14ac:dyDescent="0.25">
      <c r="B187" s="4" t="s">
        <v>732</v>
      </c>
      <c r="C187" s="126" t="s">
        <v>612</v>
      </c>
      <c r="D187" s="347"/>
      <c r="E187" s="32"/>
    </row>
    <row r="188" spans="2:5" ht="20.100000000000001" customHeight="1" x14ac:dyDescent="0.25">
      <c r="B188" s="4" t="s">
        <v>399</v>
      </c>
      <c r="C188" s="362" t="str">
        <f>IF(cluster_wld_domain_chosen&lt;&gt;"MGMT Workload Domain",CONCATENATE(prefix_wld_az1_rack_cidr,"36.1"),CONCATENATE(prefix_mgmt_az1_cidr,"36.1"))</f>
        <v>10.13.36.1</v>
      </c>
      <c r="D188" s="347"/>
      <c r="E188" s="32"/>
    </row>
    <row r="189" spans="2:5" ht="20.100000000000001" customHeight="1" x14ac:dyDescent="0.25">
      <c r="B189" s="17" t="s">
        <v>460</v>
      </c>
      <c r="C189" s="362" t="str">
        <f>IF(cluster_wld_domain_chosen&lt;&gt;"MGMT Workload Domain",CONCATENATE(prefix_wld_az1_rack_cidr,"36.101"),CONCATENATE(prefix_mgmt_az1_cidr,"36.101"))</f>
        <v>10.13.36.101</v>
      </c>
      <c r="D189" s="347"/>
      <c r="E189" s="100" t="s">
        <v>3284</v>
      </c>
    </row>
    <row r="190" spans="2:5" ht="20.100000000000001" customHeight="1" x14ac:dyDescent="0.25">
      <c r="B190" s="17" t="s">
        <v>461</v>
      </c>
      <c r="C190" s="362" t="str">
        <f>IF(cluster_wld_domain_chosen&lt;&gt;"MGMT Workload Domain",CONCATENATE(prefix_wld_az1_rack_cidr,"36.116"),CONCATENATE(prefix_mgmt_az1_cidr,"36.116"))</f>
        <v>10.13.36.116</v>
      </c>
      <c r="D190" s="347"/>
      <c r="E190" s="100" t="s">
        <v>3285</v>
      </c>
    </row>
    <row r="191" spans="2:5" ht="15.95" customHeight="1" x14ac:dyDescent="0.25"/>
    <row r="192" spans="2:5" ht="33.950000000000003" customHeight="1" x14ac:dyDescent="0.25">
      <c r="B192" s="505" t="s">
        <v>3291</v>
      </c>
      <c r="C192" s="506"/>
      <c r="D192" s="506"/>
      <c r="E192" s="507"/>
    </row>
    <row r="193" spans="2:5" ht="20.100000000000001" customHeight="1" x14ac:dyDescent="0.25">
      <c r="B193" s="43" t="s">
        <v>259</v>
      </c>
      <c r="C193" s="43" t="s">
        <v>711</v>
      </c>
      <c r="D193" s="130" t="s">
        <v>277</v>
      </c>
      <c r="E193" s="43" t="s">
        <v>457</v>
      </c>
    </row>
    <row r="194" spans="2:5" ht="20.100000000000001" customHeight="1" x14ac:dyDescent="0.25">
      <c r="B194" s="405" t="s">
        <v>397</v>
      </c>
      <c r="C194" s="406"/>
      <c r="D194" s="406"/>
      <c r="E194" s="407"/>
    </row>
    <row r="195" spans="2:5" ht="20.100000000000001" customHeight="1" x14ac:dyDescent="0.25">
      <c r="B195" s="4" t="s">
        <v>398</v>
      </c>
      <c r="C195" s="362" t="str">
        <f>IF(cluster_wld_domain_chosen&lt;&gt;"MGMT Workload Domain",CONCATENATE(prefix_wld_az1_rack_vlan,"44"),CONCATENATE(prefix_mgmt_az1_vlan,"44"))</f>
        <v>1344</v>
      </c>
      <c r="D195" s="347"/>
      <c r="E195" s="93"/>
    </row>
    <row r="196" spans="2:5" ht="20.100000000000001" customHeight="1" x14ac:dyDescent="0.25">
      <c r="B196" s="4" t="s">
        <v>399</v>
      </c>
      <c r="C196" s="362" t="str">
        <f>IF(cluster_wld_domain_chosen&lt;&gt;"MGMT Workload Domain",CONCATENATE(prefix_wld_az1_rack_cidr,"44.1"),CONCATENATE(prefix_mgmt_az1_cidr,"44.1"))</f>
        <v>10.13.44.1</v>
      </c>
      <c r="D196" s="347"/>
      <c r="E196" s="32"/>
    </row>
    <row r="197" spans="2:5" ht="20.100000000000001" customHeight="1" x14ac:dyDescent="0.25">
      <c r="B197" s="4" t="s">
        <v>400</v>
      </c>
      <c r="C197" s="362" t="str">
        <f>IF(cluster_wld_domain_chosen&lt;&gt;"MGMT Workload Domain",CONCATENATE(prefix_wld_az1_rack_cidr,"44.0/24"),CONCATENATE(prefix_mgmt_az1_cidr,"44.0/24"))</f>
        <v>10.13.44.0/24</v>
      </c>
      <c r="D197" s="347"/>
      <c r="E197" s="32"/>
    </row>
    <row r="198" spans="2:5" ht="20.100000000000001" customHeight="1" x14ac:dyDescent="0.25">
      <c r="B198" s="4" t="s">
        <v>401</v>
      </c>
      <c r="C198" s="362">
        <v>1500</v>
      </c>
      <c r="D198" s="347"/>
      <c r="E198" s="32"/>
    </row>
    <row r="199" spans="2:5" ht="20.100000000000001" customHeight="1" x14ac:dyDescent="0.25">
      <c r="B199" s="508" t="s">
        <v>476</v>
      </c>
      <c r="C199" s="509"/>
      <c r="D199" s="509"/>
      <c r="E199" s="510"/>
    </row>
    <row r="200" spans="2:5" ht="20.100000000000001" customHeight="1" x14ac:dyDescent="0.25">
      <c r="B200" s="17" t="s">
        <v>686</v>
      </c>
      <c r="C200" s="126" t="str">
        <f>IF(cluster_wld_domain_chosen&lt;&gt;"MGMT Workload Domain",CONCATENATE(prefix_wld_az1_rack_cidr,"44.101"),CONCATENATE(prefix_mgmt_az1_cidr,"44.101"))</f>
        <v>10.13.44.101</v>
      </c>
      <c r="D200" s="347"/>
      <c r="E200" s="100" t="s">
        <v>477</v>
      </c>
    </row>
    <row r="201" spans="2:5" ht="20.100000000000001" customHeight="1" x14ac:dyDescent="0.25">
      <c r="B201" s="17" t="s">
        <v>687</v>
      </c>
      <c r="C201" s="126" t="str">
        <f>IF(cluster_wld_domain_chosen&lt;&gt;"MGMT Workload Domain",CONCATENATE(prefix_wld_az1_rack_cidr,"44.102"),CONCATENATE(prefix_mgmt_az1_cidr,"44.102"))</f>
        <v>10.13.44.102</v>
      </c>
      <c r="D201" s="347"/>
      <c r="E201" s="100" t="s">
        <v>478</v>
      </c>
    </row>
    <row r="202" spans="2:5" ht="20.100000000000001" customHeight="1" x14ac:dyDescent="0.25">
      <c r="B202" s="17" t="s">
        <v>688</v>
      </c>
      <c r="C202" s="126" t="str">
        <f>IF(cluster_wld_domain_chosen&lt;&gt;"MGMT Workload Domain",CONCATENATE(prefix_wld_az1_rack_cidr,"44.103"),CONCATENATE(prefix_mgmt_az1_cidr,"44.103"))</f>
        <v>10.13.44.103</v>
      </c>
      <c r="D202" s="347"/>
      <c r="E202" s="100" t="s">
        <v>479</v>
      </c>
    </row>
    <row r="203" spans="2:5" ht="20.100000000000001" customHeight="1" x14ac:dyDescent="0.25">
      <c r="B203" s="17" t="s">
        <v>689</v>
      </c>
      <c r="C203" s="126" t="str">
        <f>IF(cluster_wld_domain_chosen&lt;&gt;"MGMT Workload Domain",CONCATENATE(prefix_wld_az1_rack_cidr,"44.104"),CONCATENATE(prefix_mgmt_az1_cidr,"44.104"))</f>
        <v>10.13.44.104</v>
      </c>
      <c r="D203" s="347"/>
      <c r="E203" s="100" t="s">
        <v>480</v>
      </c>
    </row>
    <row r="204" spans="2:5" ht="20.100000000000001" customHeight="1" x14ac:dyDescent="0.25">
      <c r="B204" s="17" t="s">
        <v>690</v>
      </c>
      <c r="C204" s="126" t="str">
        <f>IF(cluster_wld_domain_chosen&lt;&gt;"MGMT Workload Domain",CONCATENATE(prefix_wld_az1_rack_cidr,"44.105"),CONCATENATE(prefix_mgmt_az1_cidr,"44.105"))</f>
        <v>10.13.44.105</v>
      </c>
      <c r="D204" s="347"/>
      <c r="E204" s="100" t="s">
        <v>481</v>
      </c>
    </row>
    <row r="205" spans="2:5" ht="20.100000000000001" customHeight="1" x14ac:dyDescent="0.25">
      <c r="B205" s="17" t="s">
        <v>691</v>
      </c>
      <c r="C205" s="126" t="str">
        <f>IF(cluster_wld_domain_chosen&lt;&gt;"MGMT Workload Domain",CONCATENATE(prefix_wld_az1_rack_cidr,"44.106"),CONCATENATE(prefix_mgmt_az1_cidr,"44.106"))</f>
        <v>10.13.44.106</v>
      </c>
      <c r="D205" s="347"/>
      <c r="E205" s="100" t="s">
        <v>482</v>
      </c>
    </row>
    <row r="206" spans="2:5" ht="20.100000000000001" customHeight="1" x14ac:dyDescent="0.25">
      <c r="B206" s="17" t="s">
        <v>692</v>
      </c>
      <c r="C206" s="126" t="str">
        <f>IF(cluster_wld_domain_chosen&lt;&gt;"MGMT Workload Domain",CONCATENATE(prefix_wld_az1_rack_cidr,"44.107"),CONCATENATE(prefix_mgmt_az1_cidr,"44.107"))</f>
        <v>10.13.44.107</v>
      </c>
      <c r="D206" s="347"/>
      <c r="E206" s="100" t="s">
        <v>483</v>
      </c>
    </row>
    <row r="207" spans="2:5" ht="20.100000000000001" customHeight="1" x14ac:dyDescent="0.25">
      <c r="B207" s="17" t="s">
        <v>693</v>
      </c>
      <c r="C207" s="126" t="str">
        <f>IF(cluster_wld_domain_chosen&lt;&gt;"MGMT Workload Domain",CONCATENATE(prefix_wld_az1_rack_cidr,"44.108"),CONCATENATE(prefix_mgmt_az1_cidr,"44.108"))</f>
        <v>10.13.44.108</v>
      </c>
      <c r="D207" s="347"/>
      <c r="E207" s="100" t="s">
        <v>484</v>
      </c>
    </row>
    <row r="208" spans="2:5" ht="20.100000000000001" customHeight="1" x14ac:dyDescent="0.25">
      <c r="B208" s="17" t="s">
        <v>694</v>
      </c>
      <c r="C208" s="126" t="str">
        <f>IF(cluster_wld_domain_chosen&lt;&gt;"MGMT Workload Domain",CONCATENATE(prefix_wld_az1_rack_cidr,"44.109"),CONCATENATE(prefix_mgmt_az1_cidr,"44.109"))</f>
        <v>10.13.44.109</v>
      </c>
      <c r="D208" s="347"/>
      <c r="E208" s="100" t="s">
        <v>485</v>
      </c>
    </row>
    <row r="209" spans="2:5" ht="20.100000000000001" customHeight="1" x14ac:dyDescent="0.25">
      <c r="B209" s="17" t="s">
        <v>695</v>
      </c>
      <c r="C209" s="126" t="str">
        <f>IF(cluster_wld_domain_chosen&lt;&gt;"MGMT Workload Domain",CONCATENATE(prefix_wld_az1_rack_cidr,"44.110"),CONCATENATE(prefix_mgmt_az1_cidr,"44.110"))</f>
        <v>10.13.44.110</v>
      </c>
      <c r="D209" s="347"/>
      <c r="E209" s="100" t="s">
        <v>486</v>
      </c>
    </row>
    <row r="210" spans="2:5" ht="20.100000000000001" customHeight="1" x14ac:dyDescent="0.25">
      <c r="B210" s="17" t="s">
        <v>696</v>
      </c>
      <c r="C210" s="126" t="str">
        <f>IF(cluster_wld_domain_chosen&lt;&gt;"MGMT Workload Domain",CONCATENATE(prefix_wld_az1_rack_cidr,"44.111"),CONCATENATE(prefix_mgmt_az1_cidr,"44.111"))</f>
        <v>10.13.44.111</v>
      </c>
      <c r="D210" s="347"/>
      <c r="E210" s="100" t="s">
        <v>487</v>
      </c>
    </row>
    <row r="211" spans="2:5" ht="20.100000000000001" customHeight="1" x14ac:dyDescent="0.25">
      <c r="B211" s="17" t="s">
        <v>697</v>
      </c>
      <c r="C211" s="126" t="str">
        <f>IF(cluster_wld_domain_chosen&lt;&gt;"MGMT Workload Domain",CONCATENATE(prefix_wld_az1_rack_cidr,"44.112"),CONCATENATE(prefix_mgmt_az1_cidr,"44.112"))</f>
        <v>10.13.44.112</v>
      </c>
      <c r="D211" s="347"/>
      <c r="E211" s="100" t="s">
        <v>488</v>
      </c>
    </row>
    <row r="212" spans="2:5" ht="20.100000000000001" customHeight="1" x14ac:dyDescent="0.25">
      <c r="B212" s="17" t="s">
        <v>698</v>
      </c>
      <c r="C212" s="126" t="str">
        <f>IF(cluster_wld_domain_chosen&lt;&gt;"MGMT Workload Domain",CONCATENATE(prefix_wld_az1_rack_cidr,"44.113"),CONCATENATE(prefix_mgmt_az1_cidr,"44.113"))</f>
        <v>10.13.44.113</v>
      </c>
      <c r="D212" s="347"/>
      <c r="E212" s="100" t="s">
        <v>489</v>
      </c>
    </row>
    <row r="213" spans="2:5" ht="20.100000000000001" customHeight="1" x14ac:dyDescent="0.25">
      <c r="B213" s="17" t="s">
        <v>699</v>
      </c>
      <c r="C213" s="126" t="str">
        <f>IF(cluster_wld_domain_chosen&lt;&gt;"MGMT Workload Domain",CONCATENATE(prefix_wld_az1_rack_cidr,"44.114"),CONCATENATE(prefix_mgmt_az1_cidr,"44.114"))</f>
        <v>10.13.44.114</v>
      </c>
      <c r="D213" s="347"/>
      <c r="E213" s="100" t="s">
        <v>490</v>
      </c>
    </row>
    <row r="214" spans="2:5" ht="20.100000000000001" customHeight="1" x14ac:dyDescent="0.25">
      <c r="B214" s="17" t="s">
        <v>700</v>
      </c>
      <c r="C214" s="126" t="str">
        <f>IF(cluster_wld_domain_chosen&lt;&gt;"MGMT Workload Domain",CONCATENATE(prefix_wld_az1_rack_cidr,"44.115"),CONCATENATE(prefix_mgmt_az1_cidr,"44.115"))</f>
        <v>10.13.44.115</v>
      </c>
      <c r="D214" s="347"/>
      <c r="E214" s="100" t="s">
        <v>491</v>
      </c>
    </row>
    <row r="215" spans="2:5" ht="20.100000000000001" customHeight="1" x14ac:dyDescent="0.25">
      <c r="B215" s="17" t="s">
        <v>701</v>
      </c>
      <c r="C215" s="126" t="str">
        <f>IF(cluster_wld_domain_chosen&lt;&gt;"MGMT Workload Domain",CONCATENATE(prefix_wld_az1_rack_cidr,"44.116"),CONCATENATE(prefix_mgmt_az1_cidr,"44.116"))</f>
        <v>10.13.44.116</v>
      </c>
      <c r="D215" s="347"/>
      <c r="E215" s="100" t="s">
        <v>492</v>
      </c>
    </row>
    <row r="216" spans="2:5" ht="15.95" customHeight="1" x14ac:dyDescent="0.25">
      <c r="B216" s="8"/>
      <c r="C216" s="8"/>
      <c r="D216" s="8"/>
      <c r="E216" s="8"/>
    </row>
    <row r="217" spans="2:5" ht="33.950000000000003" customHeight="1" x14ac:dyDescent="0.25">
      <c r="B217" s="505" t="s">
        <v>3292</v>
      </c>
      <c r="C217" s="506"/>
      <c r="D217" s="506"/>
      <c r="E217" s="507"/>
    </row>
    <row r="218" spans="2:5" ht="20.100000000000001" customHeight="1" x14ac:dyDescent="0.25">
      <c r="B218" s="43" t="s">
        <v>259</v>
      </c>
      <c r="C218" s="43" t="s">
        <v>711</v>
      </c>
      <c r="D218" s="130" t="s">
        <v>277</v>
      </c>
      <c r="E218" s="43" t="s">
        <v>457</v>
      </c>
    </row>
    <row r="219" spans="2:5" ht="20.100000000000001" customHeight="1" x14ac:dyDescent="0.25">
      <c r="B219" s="4" t="s">
        <v>3273</v>
      </c>
      <c r="C219" s="362" t="s">
        <v>704</v>
      </c>
      <c r="D219" s="127" t="s">
        <v>704</v>
      </c>
      <c r="E219" s="4" t="str">
        <f>IF(wld_az1_rack4_reuse_vcf_networkpool_chosen="Re-use an existing  VCF Network Pool","An exisiting VCF Network Pool will be reused for Host TEP assignment","A new VCF Network Pool will be created")</f>
        <v>A new VCF Network Pool will be created</v>
      </c>
    </row>
    <row r="220" spans="2:5" ht="20.100000000000001" customHeight="1" x14ac:dyDescent="0.25">
      <c r="B220" s="17" t="s">
        <v>705</v>
      </c>
      <c r="C220" s="89" t="str">
        <f>IF(cluster_wld_domain_chosen="VI Workload Domain",CONCATENATE(this_instance,"01-w0",wld_domain_number_chosen,"-r04-network-pool-01"),CONCATENATE(this_instance,"01-m01","-r04-network-pool-01"))</f>
        <v>sfo01-w01-r04-network-pool-01</v>
      </c>
      <c r="D220" s="347"/>
      <c r="E220" s="32"/>
    </row>
    <row r="221" spans="2:5" ht="20.100000000000001" customHeight="1" x14ac:dyDescent="0.25">
      <c r="B221" s="405" t="s">
        <v>404</v>
      </c>
      <c r="C221" s="406"/>
      <c r="D221" s="406"/>
      <c r="E221" s="407"/>
    </row>
    <row r="222" spans="2:5" ht="20.100000000000001" customHeight="1" x14ac:dyDescent="0.25">
      <c r="B222" s="4" t="s">
        <v>398</v>
      </c>
      <c r="C222" s="362" t="str">
        <f>IF(cluster_wld_domain_chosen&lt;&gt;"MGMT Workload Domain",CONCATENATE(prefix_wld_az1_rack_vlan,"45"),CONCATENATE(prefix_mgmt_az1_vlan,"45"))</f>
        <v>1345</v>
      </c>
      <c r="D222" s="347"/>
      <c r="E222" s="93"/>
    </row>
    <row r="223" spans="2:5" ht="20.100000000000001" customHeight="1" x14ac:dyDescent="0.25">
      <c r="B223" s="4" t="s">
        <v>401</v>
      </c>
      <c r="C223" s="362">
        <v>9000</v>
      </c>
      <c r="D223" s="347"/>
      <c r="E223" s="32"/>
    </row>
    <row r="224" spans="2:5" ht="20.100000000000001" customHeight="1" x14ac:dyDescent="0.25">
      <c r="B224" s="4" t="s">
        <v>400</v>
      </c>
      <c r="C224" s="126" t="str">
        <f>IF(cluster_wld_domain_chosen&lt;&gt;"MGMT Workload Domain",CONCATENATE(prefix_wld_az1_rack_cidr,"45.0"),CONCATENATE(prefix_mgmt_az1_cidr,"45.0"))</f>
        <v>10.13.45.0</v>
      </c>
      <c r="D224" s="347"/>
      <c r="E224" s="32"/>
    </row>
    <row r="225" spans="2:5" ht="20.100000000000001" customHeight="1" x14ac:dyDescent="0.25">
      <c r="B225" s="4" t="s">
        <v>732</v>
      </c>
      <c r="C225" s="126" t="s">
        <v>612</v>
      </c>
      <c r="D225" s="347"/>
      <c r="E225" s="32"/>
    </row>
    <row r="226" spans="2:5" ht="20.100000000000001" customHeight="1" x14ac:dyDescent="0.25">
      <c r="B226" s="4" t="s">
        <v>399</v>
      </c>
      <c r="C226" s="362" t="str">
        <f>IF(cluster_wld_domain_chosen&lt;&gt;"MGMT Workload Domain",CONCATENATE(prefix_wld_az1_rack_cidr,"45.1"),CONCATENATE(prefix_mgmt_az1_cidr,"45.1"))</f>
        <v>10.13.45.1</v>
      </c>
      <c r="D226" s="347"/>
      <c r="E226" s="32"/>
    </row>
    <row r="227" spans="2:5" ht="20.100000000000001" customHeight="1" x14ac:dyDescent="0.25">
      <c r="B227" s="17" t="s">
        <v>460</v>
      </c>
      <c r="C227" s="362" t="str">
        <f>IF(cluster_wld_domain_chosen&lt;&gt;"MGMT Workload Domain",CONCATENATE(prefix_wld_az1_rack_cidr,"45.101"),CONCATENATE(prefix_mgmt_az1_cidr,"45.101"))</f>
        <v>10.13.45.101</v>
      </c>
      <c r="D227" s="347"/>
      <c r="E227" s="100" t="s">
        <v>3293</v>
      </c>
    </row>
    <row r="228" spans="2:5" ht="20.100000000000001" customHeight="1" x14ac:dyDescent="0.25">
      <c r="B228" s="17" t="s">
        <v>461</v>
      </c>
      <c r="C228" s="362" t="str">
        <f>IF(cluster_wld_domain_chosen&lt;&gt;"MGMT Workload Domain",CONCATENATE(prefix_wld_az1_rack_cidr,"45.116"),CONCATENATE(prefix_mgmt_az1_cidr,"45.116"))</f>
        <v>10.13.45.116</v>
      </c>
      <c r="D228" s="347"/>
      <c r="E228" s="100" t="s">
        <v>3294</v>
      </c>
    </row>
    <row r="229" spans="2:5" ht="20.100000000000001" customHeight="1" x14ac:dyDescent="0.25">
      <c r="B229" s="405" t="s">
        <v>407</v>
      </c>
      <c r="C229" s="406"/>
      <c r="D229" s="406"/>
      <c r="E229" s="407"/>
    </row>
    <row r="230" spans="2:5" ht="20.100000000000001" customHeight="1" x14ac:dyDescent="0.25">
      <c r="B230" s="4" t="s">
        <v>398</v>
      </c>
      <c r="C230" s="362" t="str">
        <f>IF(cluster_wld_domain_chosen&lt;&gt;"MGMT Workload Domain",CONCATENATE(prefix_wld_az1_rack_vlan,"46"),CONCATENATE(prefix_mgmt_az1_vlan,"46"))</f>
        <v>1346</v>
      </c>
      <c r="D230" s="347"/>
      <c r="E230" s="32"/>
    </row>
    <row r="231" spans="2:5" ht="20.100000000000001" customHeight="1" x14ac:dyDescent="0.25">
      <c r="B231" s="4" t="s">
        <v>401</v>
      </c>
      <c r="C231" s="362">
        <v>9000</v>
      </c>
      <c r="D231" s="347"/>
      <c r="E231" s="32"/>
    </row>
    <row r="232" spans="2:5" ht="20.100000000000001" customHeight="1" x14ac:dyDescent="0.25">
      <c r="B232" s="4" t="s">
        <v>400</v>
      </c>
      <c r="C232" s="126" t="str">
        <f>IF(cluster_wld_domain_chosen&lt;&gt;"MGMT Workload Domain",CONCATENATE(prefix_wld_az1_rack_cidr,"46.0"),CONCATENATE(prefix_mgmt_az1_cidr,"46.0"))</f>
        <v>10.13.46.0</v>
      </c>
      <c r="D232" s="347"/>
      <c r="E232" s="56"/>
    </row>
    <row r="233" spans="2:5" ht="20.100000000000001" customHeight="1" x14ac:dyDescent="0.25">
      <c r="B233" s="4" t="s">
        <v>732</v>
      </c>
      <c r="C233" s="126" t="s">
        <v>612</v>
      </c>
      <c r="D233" s="347"/>
      <c r="E233" s="32"/>
    </row>
    <row r="234" spans="2:5" ht="20.100000000000001" customHeight="1" x14ac:dyDescent="0.25">
      <c r="B234" s="4" t="s">
        <v>399</v>
      </c>
      <c r="C234" s="362" t="str">
        <f>IF(cluster_wld_domain_chosen&lt;&gt;"MGMT Workload Domain",CONCATENATE(prefix_wld_az1_rack_cidr,"46.1"),CONCATENATE(prefix_mgmt_az1_cidr,"46.1"))</f>
        <v>10.13.46.1</v>
      </c>
      <c r="D234" s="347"/>
      <c r="E234" s="32" t="str">
        <f>IF(AND(mgmt_stretched_cluster_result="Included",mgmt_dpg_reuse_result="Excluded"),"Stretched L2","")</f>
        <v/>
      </c>
    </row>
    <row r="235" spans="2:5" ht="20.100000000000001" customHeight="1" x14ac:dyDescent="0.25">
      <c r="B235" s="17" t="s">
        <v>460</v>
      </c>
      <c r="C235" s="362" t="str">
        <f>IF(cluster_wld_domain_chosen&lt;&gt;"MGMT Workload Domain",CONCATENATE(prefix_wld_az1_rack_cidr,"46.101"),CONCATENATE(prefix_mgmt_az1_cidr,"46.101"))</f>
        <v>10.13.46.101</v>
      </c>
      <c r="D235" s="347"/>
      <c r="E235" s="100" t="s">
        <v>3276</v>
      </c>
    </row>
    <row r="236" spans="2:5" ht="20.100000000000001" customHeight="1" x14ac:dyDescent="0.25">
      <c r="B236" s="17" t="s">
        <v>461</v>
      </c>
      <c r="C236" s="362" t="str">
        <f>IF(cluster_wld_domain_chosen&lt;&gt;"MGMT Workload Domain",CONCATENATE(prefix_wld_az1_rack_cidr,"46.116"),CONCATENATE(prefix_mgmt_az1_cidr,"46.116"))</f>
        <v>10.13.46.116</v>
      </c>
      <c r="D236" s="347"/>
      <c r="E236" s="100" t="s">
        <v>3277</v>
      </c>
    </row>
    <row r="237" spans="2:5" ht="15.95" customHeight="1" x14ac:dyDescent="0.25">
      <c r="B237" s="8"/>
      <c r="C237" s="8"/>
      <c r="D237" s="8"/>
      <c r="E237" s="8"/>
    </row>
    <row r="238" spans="2:5" ht="33.950000000000003" customHeight="1" x14ac:dyDescent="0.25">
      <c r="B238" s="505" t="s">
        <v>3295</v>
      </c>
      <c r="C238" s="506"/>
      <c r="D238" s="506"/>
      <c r="E238" s="507"/>
    </row>
    <row r="239" spans="2:5" ht="20.100000000000001" customHeight="1" x14ac:dyDescent="0.25">
      <c r="B239" s="43" t="s">
        <v>259</v>
      </c>
      <c r="C239" s="43" t="s">
        <v>711</v>
      </c>
      <c r="D239" s="130" t="s">
        <v>277</v>
      </c>
      <c r="E239" s="43" t="s">
        <v>457</v>
      </c>
    </row>
    <row r="240" spans="2:5" ht="20.100000000000001" customHeight="1" x14ac:dyDescent="0.25">
      <c r="B240" s="17" t="s">
        <v>686</v>
      </c>
      <c r="C240" s="126" t="str">
        <f>IF(cluster_wld_domain_chosen&lt;&gt;"MGMT Workload Domain",CONCATENATE(this_instance,"01-w0",wld_domain_number_chosen,"-r04-esx01",".",sample_child_dns_zone),CONCATENATE(this_instance,"01-m01-r04-esx01",".",sample_child_dns_zone))</f>
        <v>sfo01-w01-r04-esx01.sfo.rainpole.io</v>
      </c>
      <c r="D240" s="347"/>
      <c r="E240" s="32"/>
    </row>
    <row r="241" spans="2:5" ht="20.100000000000001" customHeight="1" x14ac:dyDescent="0.25">
      <c r="B241" s="17" t="s">
        <v>687</v>
      </c>
      <c r="C241" s="126" t="str">
        <f>IF(cluster_wld_domain_chosen&lt;&gt;"MGMT Workload Domain",CONCATENATE(this_instance,"01-w0",wld_domain_number_chosen,"-r04-esx02",".",sample_child_dns_zone),CONCATENATE(this_instance,"01-m01-r04-esx02",".",sample_child_dns_zone))</f>
        <v>sfo01-w01-r04-esx02.sfo.rainpole.io</v>
      </c>
      <c r="D241" s="347"/>
      <c r="E241" s="32"/>
    </row>
    <row r="242" spans="2:5" ht="20.100000000000001" customHeight="1" x14ac:dyDescent="0.25">
      <c r="B242" s="17" t="s">
        <v>688</v>
      </c>
      <c r="C242" s="126" t="str">
        <f>IF(cluster_wld_domain_chosen&lt;&gt;"MGMT Workload Domain",CONCATENATE(this_instance,"01-w0",wld_domain_number_chosen,"-r04-esx03",".",sample_child_dns_zone),CONCATENATE(this_instance,"01-m01-r04-esx03",".",sample_child_dns_zone))</f>
        <v>sfo01-w01-r04-esx03.sfo.rainpole.io</v>
      </c>
      <c r="D242" s="347"/>
      <c r="E242" s="32"/>
    </row>
    <row r="243" spans="2:5" ht="20.100000000000001" customHeight="1" x14ac:dyDescent="0.25">
      <c r="B243" s="17" t="s">
        <v>689</v>
      </c>
      <c r="C243" s="126" t="str">
        <f>IF(cluster_wld_domain_chosen&lt;&gt;"MGMT Workload Domain",CONCATENATE(this_instance,"01-w0",wld_domain_number_chosen,"-r04-esx04",".",sample_child_dns_zone),CONCATENATE(this_instance,"01-m01-r04-esx04",".",sample_child_dns_zone))</f>
        <v>sfo01-w01-r04-esx04.sfo.rainpole.io</v>
      </c>
      <c r="D243" s="347"/>
      <c r="E243" s="32"/>
    </row>
    <row r="244" spans="2:5" ht="20.100000000000001" customHeight="1" x14ac:dyDescent="0.25">
      <c r="B244" s="17" t="s">
        <v>690</v>
      </c>
      <c r="C244" s="126" t="str">
        <f>IF(cluster_wld_domain_chosen&lt;&gt;"MGMT Workload Domain",CONCATENATE(this_instance,"01-w0",wld_domain_number_chosen,"-r04-esx05",".",sample_child_dns_zone),CONCATENATE(this_instance,"01-m01-r04-esx05",".",sample_child_dns_zone))</f>
        <v>sfo01-w01-r04-esx05.sfo.rainpole.io</v>
      </c>
      <c r="D244" s="347"/>
      <c r="E244" s="32"/>
    </row>
    <row r="245" spans="2:5" ht="20.100000000000001" customHeight="1" x14ac:dyDescent="0.25">
      <c r="B245" s="17" t="s">
        <v>691</v>
      </c>
      <c r="C245" s="126" t="str">
        <f>IF(cluster_wld_domain_chosen&lt;&gt;"MGMT Workload Domain",CONCATENATE(this_instance,"01-w0",wld_domain_number_chosen,"-r04-esx06",".",sample_child_dns_zone),CONCATENATE(this_instance,"01-m01-r04-esx06",".",sample_child_dns_zone))</f>
        <v>sfo01-w01-r04-esx06.sfo.rainpole.io</v>
      </c>
      <c r="D245" s="347"/>
      <c r="E245" s="32"/>
    </row>
    <row r="246" spans="2:5" ht="20.100000000000001" customHeight="1" x14ac:dyDescent="0.25">
      <c r="B246" s="17" t="s">
        <v>692</v>
      </c>
      <c r="C246" s="126" t="str">
        <f>IF(cluster_wld_domain_chosen&lt;&gt;"MGMT Workload Domain",CONCATENATE(this_instance,"01-w0",wld_domain_number_chosen,"-r04-esx07",".",sample_child_dns_zone),CONCATENATE(this_instance,"01-m01-r04-esx07",".",sample_child_dns_zone))</f>
        <v>sfo01-w01-r04-esx07.sfo.rainpole.io</v>
      </c>
      <c r="D246" s="347"/>
      <c r="E246" s="32"/>
    </row>
    <row r="247" spans="2:5" ht="20.100000000000001" customHeight="1" x14ac:dyDescent="0.25">
      <c r="B247" s="17" t="s">
        <v>693</v>
      </c>
      <c r="C247" s="126" t="str">
        <f>IF(cluster_wld_domain_chosen&lt;&gt;"MGMT Workload Domain",CONCATENATE(this_instance,"01-w0",wld_domain_number_chosen,"-r04-esx08",".",sample_child_dns_zone),CONCATENATE(this_instance,"01-m01-r04-esx08",".",sample_child_dns_zone))</f>
        <v>sfo01-w01-r04-esx08.sfo.rainpole.io</v>
      </c>
      <c r="D247" s="347"/>
      <c r="E247" s="32"/>
    </row>
    <row r="248" spans="2:5" ht="20.100000000000001" customHeight="1" x14ac:dyDescent="0.25">
      <c r="B248" s="17" t="s">
        <v>694</v>
      </c>
      <c r="C248" s="126" t="str">
        <f>IF(cluster_wld_domain_chosen&lt;&gt;"MGMT Workload Domain",CONCATENATE(this_instance,"01-w0",wld_domain_number_chosen,"-r04-esx09",".",sample_child_dns_zone),CONCATENATE(this_instance,"01-m01-r04-esx09",".",sample_child_dns_zone))</f>
        <v>sfo01-w01-r04-esx09.sfo.rainpole.io</v>
      </c>
      <c r="D248" s="347"/>
      <c r="E248" s="32"/>
    </row>
    <row r="249" spans="2:5" ht="20.100000000000001" customHeight="1" x14ac:dyDescent="0.25">
      <c r="B249" s="17" t="s">
        <v>695</v>
      </c>
      <c r="C249" s="126" t="str">
        <f>IF(cluster_wld_domain_chosen&lt;&gt;"MGMT Workload Domain",CONCATENATE(this_instance,"01-w0",wld_domain_number_chosen,"-r04-esx10",".",sample_child_dns_zone),CONCATENATE(this_instance,"01-m01-r04-esx10",".",sample_child_dns_zone))</f>
        <v>sfo01-w01-r04-esx10.sfo.rainpole.io</v>
      </c>
      <c r="D249" s="347"/>
      <c r="E249" s="32"/>
    </row>
    <row r="250" spans="2:5" ht="20.100000000000001" customHeight="1" x14ac:dyDescent="0.25">
      <c r="B250" s="17" t="s">
        <v>696</v>
      </c>
      <c r="C250" s="126" t="str">
        <f>IF(cluster_wld_domain_chosen&lt;&gt;"MGMT Workload Domain",CONCATENATE(this_instance,"01-w0",wld_domain_number_chosen,"-r04-esx11",".",sample_child_dns_zone),CONCATENATE(this_instance,"01-m01-r04-esx11",".",sample_child_dns_zone))</f>
        <v>sfo01-w01-r04-esx11.sfo.rainpole.io</v>
      </c>
      <c r="D250" s="347"/>
      <c r="E250" s="32"/>
    </row>
    <row r="251" spans="2:5" ht="20.100000000000001" customHeight="1" x14ac:dyDescent="0.25">
      <c r="B251" s="17" t="s">
        <v>697</v>
      </c>
      <c r="C251" s="126" t="str">
        <f>IF(cluster_wld_domain_chosen&lt;&gt;"MGMT Workload Domain",CONCATENATE(this_instance,"01-w0",wld_domain_number_chosen,"-r04-esx12",".",sample_child_dns_zone),CONCATENATE(this_instance,"01-m01-r04-esx12",".",sample_child_dns_zone))</f>
        <v>sfo01-w01-r04-esx12.sfo.rainpole.io</v>
      </c>
      <c r="D251" s="347"/>
      <c r="E251" s="32"/>
    </row>
    <row r="252" spans="2:5" ht="20.100000000000001" customHeight="1" x14ac:dyDescent="0.25">
      <c r="B252" s="17" t="s">
        <v>698</v>
      </c>
      <c r="C252" s="126" t="str">
        <f>IF(cluster_wld_domain_chosen&lt;&gt;"MGMT Workload Domain",CONCATENATE(this_instance,"01-w0",wld_domain_number_chosen,"-r04-esx13",".",sample_child_dns_zone),CONCATENATE(this_instance,"01-m01-r04-esx13",".",sample_child_dns_zone))</f>
        <v>sfo01-w01-r04-esx13.sfo.rainpole.io</v>
      </c>
      <c r="D252" s="347"/>
      <c r="E252" s="32"/>
    </row>
    <row r="253" spans="2:5" ht="20.100000000000001" customHeight="1" x14ac:dyDescent="0.25">
      <c r="B253" s="17" t="s">
        <v>699</v>
      </c>
      <c r="C253" s="126" t="str">
        <f>IF(cluster_wld_domain_chosen&lt;&gt;"MGMT Workload Domain",CONCATENATE(this_instance,"01-w0",wld_domain_number_chosen,"-r04-esx14",".",sample_child_dns_zone),CONCATENATE(this_instance,"01-m01-r04-esx14",".",sample_child_dns_zone))</f>
        <v>sfo01-w01-r04-esx14.sfo.rainpole.io</v>
      </c>
      <c r="D253" s="347"/>
      <c r="E253" s="32"/>
    </row>
    <row r="254" spans="2:5" ht="20.100000000000001" customHeight="1" x14ac:dyDescent="0.25">
      <c r="B254" s="17" t="s">
        <v>700</v>
      </c>
      <c r="C254" s="126" t="str">
        <f>IF(cluster_wld_domain_chosen&lt;&gt;"MGMT Workload Domain",CONCATENATE(this_instance,"01-w0",wld_domain_number_chosen,"-r04-esx14",".",sample_child_dns_zone),CONCATENATE(this_instance,"01-m01-r04-esx15",".",sample_child_dns_zone))</f>
        <v>sfo01-w01-r04-esx14.sfo.rainpole.io</v>
      </c>
      <c r="D254" s="347"/>
      <c r="E254" s="32"/>
    </row>
    <row r="255" spans="2:5" ht="20.100000000000001" customHeight="1" x14ac:dyDescent="0.25">
      <c r="B255" s="17" t="s">
        <v>701</v>
      </c>
      <c r="C255" s="126" t="str">
        <f>IF(cluster_wld_domain_chosen&lt;&gt;"MGMT Workload Domain",CONCATENATE(this_instance,"01-w0",wld_domain_number_chosen,"-r04-esx16",".",sample_child_dns_zone),CONCATENATE(this_instance,"01-m01-r04-esx16",".",sample_child_dns_zone))</f>
        <v>sfo01-w01-r04-esx16.sfo.rainpole.io</v>
      </c>
      <c r="D255" s="347"/>
      <c r="E255" s="32"/>
    </row>
    <row r="256" spans="2:5" ht="20.100000000000001" customHeight="1" x14ac:dyDescent="0.25">
      <c r="B256" s="17" t="s">
        <v>712</v>
      </c>
      <c r="C256" s="126" t="s">
        <v>368</v>
      </c>
      <c r="D256" s="337" t="s">
        <v>713</v>
      </c>
      <c r="E256" s="32"/>
    </row>
    <row r="257" spans="2:5" ht="20.100000000000001" customHeight="1" x14ac:dyDescent="0.25">
      <c r="B257" s="17" t="s">
        <v>714</v>
      </c>
      <c r="C257" s="126" t="s">
        <v>715</v>
      </c>
      <c r="D257"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100000000000001" customHeight="1" x14ac:dyDescent="0.25">
      <c r="B258" s="17" t="s">
        <v>716</v>
      </c>
      <c r="C258" s="126" t="s">
        <v>323</v>
      </c>
      <c r="D258" s="337" t="str">
        <f>IF(AND(vcf_granular_option_chosen="Create Cluster",cluster_principal_storage_chosen="vSAN-ESA"),"Selected",
IF(AND(vcf_granular_option_chosen="Create VI Workload Domain",wld_principal_storage_chosen="vSAN-ESA"),"Selected","Unselected"))</f>
        <v>Unselected</v>
      </c>
      <c r="E258" s="32"/>
    </row>
    <row r="259" spans="2:5" ht="20.100000000000001" customHeight="1" x14ac:dyDescent="0.25">
      <c r="B259" s="17" t="s">
        <v>705</v>
      </c>
      <c r="C259" s="126" t="str">
        <f>sample_wld_az1_rack4_pool_name</f>
        <v>sfo01-w01-r04-network-pool-01</v>
      </c>
      <c r="D259" s="337" t="str">
        <f>wld_az1_rack4_pool_name</f>
        <v>Value Missing</v>
      </c>
      <c r="E259" s="32"/>
    </row>
    <row r="260" spans="2:5" ht="20.100000000000001" customHeight="1" x14ac:dyDescent="0.25">
      <c r="B260" s="17" t="s">
        <v>535</v>
      </c>
      <c r="C260" s="126" t="s">
        <v>717</v>
      </c>
      <c r="D260"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32"/>
    </row>
    <row r="261" spans="2:5" ht="20.100000000000001" customHeight="1" x14ac:dyDescent="0.25">
      <c r="B261" s="17" t="s">
        <v>296</v>
      </c>
      <c r="C261" s="126" t="s">
        <v>379</v>
      </c>
      <c r="D261"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32"/>
    </row>
    <row r="262" spans="2:5" ht="15.95" customHeight="1" x14ac:dyDescent="0.25"/>
    <row r="263" spans="2:5" ht="33.950000000000003" customHeight="1" x14ac:dyDescent="0.25">
      <c r="B263" s="505" t="s">
        <v>3296</v>
      </c>
      <c r="C263" s="506"/>
      <c r="D263" s="506"/>
      <c r="E263" s="507"/>
    </row>
    <row r="264" spans="2:5" ht="20.100000000000001" customHeight="1" x14ac:dyDescent="0.25">
      <c r="B264" s="4" t="s">
        <v>784</v>
      </c>
      <c r="C264" s="89"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sfo01-sfo-w01-cl01-r04-network-profile</v>
      </c>
      <c r="D264" s="347"/>
      <c r="E264" s="80"/>
    </row>
    <row r="265" spans="2:5" ht="20.100000000000001" customHeight="1" x14ac:dyDescent="0.25">
      <c r="B265" s="4" t="s">
        <v>3280</v>
      </c>
      <c r="C265" s="362" t="s">
        <v>786</v>
      </c>
      <c r="D265" s="127" t="s">
        <v>786</v>
      </c>
      <c r="E265" s="4" t="str">
        <f>IF(wld_az1_rack4_host_overlay_new_pool_chosen="Re-use an existing Pool","An exisitng Pool will be reused for Host TEP assignment","A new Pool will be created for Host TEP assignment")</f>
        <v>A new Pool will be created for Host TEP assignment</v>
      </c>
    </row>
    <row r="266" spans="2:5" ht="20.100000000000001" customHeight="1" x14ac:dyDescent="0.25">
      <c r="B266" s="4" t="s">
        <v>787</v>
      </c>
      <c r="C266" s="89" t="str">
        <f>IF(cluster_wld_domain_chosen="VI Workload Domain",CONCATENATE(this_instance,"01-w0",wld_domain_number_chosen,"-r04-ip-pool01-host"),CONCATENATE(this_instance,"01-m01","-r04-ip-pool01-host"))</f>
        <v>sfo01-w01-r04-ip-pool01-host</v>
      </c>
      <c r="D266" s="347"/>
      <c r="E266" s="80"/>
    </row>
    <row r="267" spans="2:5" ht="20.100000000000001" customHeight="1" x14ac:dyDescent="0.25">
      <c r="B267" s="4" t="s">
        <v>788</v>
      </c>
      <c r="C267" s="89" t="str">
        <f>IF(cluster_wld_domain_chosen="VI Workload Domain",CONCATENATE(this_instance,"01-w0",wld_domain_number_chosen,"-r04-uplink-profile01"),CONCATENATE(this_instance,"01-m01","-r04-uplink-profile01"))</f>
        <v>sfo01-w01-r04-uplink-profile01</v>
      </c>
      <c r="D267" s="347"/>
      <c r="E267" s="80"/>
    </row>
    <row r="268" spans="2:5" ht="20.100000000000001" customHeight="1" x14ac:dyDescent="0.25">
      <c r="B268" s="4" t="s">
        <v>3281</v>
      </c>
      <c r="C268" s="89" t="str">
        <f>IF(cluster_wld_domain_chosen="VI Workload Domain",CONCATENATE(this_instance,"01-w0",wld_domain_number_chosen,"-r04-ip-pool02-edge"),CONCATENATE(this_instance,"01-m01","-r04-ip-pool02-edge"))</f>
        <v>sfo01-w01-r04-ip-pool02-edge</v>
      </c>
      <c r="D268" s="347"/>
      <c r="E268" s="80"/>
    </row>
    <row r="269" spans="2:5" ht="20.100000000000001" customHeight="1" x14ac:dyDescent="0.25">
      <c r="B269" s="4" t="s">
        <v>3282</v>
      </c>
      <c r="C269" s="89" t="str">
        <f>IF(cluster_wld_domain_chosen="VI Workload Domain",CONCATENATE(this_instance,"01-w0",wld_domain_number_chosen,"-r02-ip-pool04-rtep"),CONCATENATE(this_instance,"01-m01","-r04-ip-pool03-rtep"))</f>
        <v>sfo01-w01-r02-ip-pool04-rtep</v>
      </c>
      <c r="D269" s="347"/>
      <c r="E269" s="80"/>
    </row>
    <row r="270" spans="2:5" ht="20.100000000000001" customHeight="1" x14ac:dyDescent="0.25">
      <c r="B270" s="405" t="s">
        <v>365</v>
      </c>
      <c r="C270" s="406"/>
      <c r="D270" s="406"/>
      <c r="E270" s="407"/>
    </row>
    <row r="271" spans="2:5" ht="20.100000000000001" customHeight="1" x14ac:dyDescent="0.25">
      <c r="B271" s="207" t="s">
        <v>259</v>
      </c>
      <c r="C271" s="207" t="s">
        <v>711</v>
      </c>
      <c r="D271" s="239" t="s">
        <v>277</v>
      </c>
      <c r="E271" s="207" t="s">
        <v>5</v>
      </c>
    </row>
    <row r="272" spans="2:5" ht="20.100000000000001" customHeight="1" x14ac:dyDescent="0.25">
      <c r="B272" s="4" t="s">
        <v>1818</v>
      </c>
      <c r="C272" s="80" t="str">
        <f>IF(cluster_wld_domain_chosen&lt;&gt;"MGMT Workload Domain",CONCATENATE(this_instance,"-w0",wld_domain_number_chosen,"-r04","-vsan-fault-domain"),CONCATENATE(this_instance,"-m01","-r04","-vsan-fault-domain"))</f>
        <v>sfo-w01-r04-vsan-fault-domain</v>
      </c>
      <c r="D272" s="347"/>
      <c r="E272" s="337"/>
    </row>
    <row r="273" spans="2:5" ht="15.95" customHeight="1" x14ac:dyDescent="0.25"/>
    <row r="274" spans="2:5" ht="33.950000000000003" customHeight="1" x14ac:dyDescent="0.25">
      <c r="B274" s="505" t="s">
        <v>3297</v>
      </c>
      <c r="C274" s="506"/>
      <c r="D274" s="506"/>
      <c r="E274" s="507"/>
    </row>
    <row r="275" spans="2:5" ht="20.100000000000001" customHeight="1" x14ac:dyDescent="0.25">
      <c r="B275" s="43" t="s">
        <v>259</v>
      </c>
      <c r="C275" s="43" t="s">
        <v>711</v>
      </c>
      <c r="D275" s="130" t="s">
        <v>277</v>
      </c>
      <c r="E275" s="43" t="s">
        <v>5</v>
      </c>
    </row>
    <row r="276" spans="2:5" ht="20.100000000000001" customHeight="1" x14ac:dyDescent="0.25">
      <c r="B276" s="405" t="s">
        <v>467</v>
      </c>
      <c r="C276" s="406"/>
      <c r="D276" s="406"/>
      <c r="E276" s="407"/>
    </row>
    <row r="277" spans="2:5" ht="20.100000000000001" customHeight="1" x14ac:dyDescent="0.25">
      <c r="B277" s="4" t="s">
        <v>398</v>
      </c>
      <c r="C277" s="362" t="str">
        <f>IF(cluster_wld_domain_chosen&lt;&gt;"MGMT Workload Domain",CONCATENATE(prefix_wld_az1_rack_vlan,"47"),CONCATENATE(prefix_mgmt_az1_vlan,"47"))</f>
        <v>1347</v>
      </c>
      <c r="D277" s="347"/>
      <c r="E277" s="93"/>
    </row>
    <row r="278" spans="2:5" ht="20.100000000000001" customHeight="1" x14ac:dyDescent="0.25">
      <c r="B278" s="4" t="s">
        <v>401</v>
      </c>
      <c r="C278" s="362">
        <v>9000</v>
      </c>
      <c r="D278" s="347"/>
      <c r="E278" s="32"/>
    </row>
    <row r="279" spans="2:5" ht="20.100000000000001" customHeight="1" x14ac:dyDescent="0.25">
      <c r="B279" s="4" t="s">
        <v>400</v>
      </c>
      <c r="C279" s="362" t="str">
        <f>IF(cluster_wld_domain_chosen&lt;&gt;"MGMT Workload Domain",CONCATENATE(prefix_wld_az1_rack_cidr,"47.0"),CONCATENATE(prefix_mgmt_az1_cidr,"47.0"))</f>
        <v>10.13.47.0</v>
      </c>
      <c r="D279" s="347"/>
      <c r="E279" s="32"/>
    </row>
    <row r="280" spans="2:5" ht="20.100000000000001" customHeight="1" x14ac:dyDescent="0.25">
      <c r="B280" s="4" t="s">
        <v>732</v>
      </c>
      <c r="C280" s="126" t="s">
        <v>612</v>
      </c>
      <c r="D280" s="347"/>
      <c r="E280" s="32"/>
    </row>
    <row r="281" spans="2:5" ht="20.100000000000001" customHeight="1" x14ac:dyDescent="0.25">
      <c r="B281" s="4" t="s">
        <v>399</v>
      </c>
      <c r="C281" s="362" t="str">
        <f>IF(cluster_wld_domain_chosen&lt;&gt;"MGMT Workload Domain",CONCATENATE(prefix_wld_az1_rack_cidr,"47.1"),CONCATENATE(prefix_mgmt_az1_cidr,"47.1"))</f>
        <v>10.13.47.1</v>
      </c>
      <c r="D281" s="347"/>
      <c r="E281" s="32"/>
    </row>
    <row r="282" spans="2:5" ht="20.100000000000001" customHeight="1" x14ac:dyDescent="0.25">
      <c r="B282" s="17" t="s">
        <v>460</v>
      </c>
      <c r="C282" s="362" t="str">
        <f>IF(cluster_wld_domain_chosen&lt;&gt;"MGMT Workload Domain",CONCATENATE(prefix_wld_az1_rack_cidr,"47.101"),CONCATENATE(prefix_mgmt_az1_cidr,"47.101"))</f>
        <v>10.13.47.101</v>
      </c>
      <c r="D282" s="347"/>
      <c r="E282" s="100" t="s">
        <v>3284</v>
      </c>
    </row>
    <row r="283" spans="2:5" ht="20.100000000000001" customHeight="1" x14ac:dyDescent="0.25">
      <c r="B283" s="17" t="s">
        <v>461</v>
      </c>
      <c r="C283" s="362" t="str">
        <f>IF(cluster_wld_domain_chosen&lt;&gt;"MGMT Workload Domain",CONCATENATE(prefix_wld_az1_rack_cidr,"47.132"),CONCATENATE(prefix_mgmt_az1_cidr,"47.132"))</f>
        <v>10.13.47.132</v>
      </c>
      <c r="D283" s="347"/>
      <c r="E283" s="100" t="s">
        <v>3298</v>
      </c>
    </row>
    <row r="284" spans="2:5" ht="15.95" customHeight="1" x14ac:dyDescent="0.25"/>
    <row r="285" spans="2:5" ht="33.950000000000003" customHeight="1" x14ac:dyDescent="0.25">
      <c r="B285" s="505" t="s">
        <v>3299</v>
      </c>
      <c r="C285" s="506"/>
      <c r="D285" s="506"/>
      <c r="E285" s="507"/>
    </row>
    <row r="286" spans="2:5" ht="20.100000000000001" customHeight="1" x14ac:dyDescent="0.25">
      <c r="B286" s="43" t="s">
        <v>259</v>
      </c>
      <c r="C286" s="43" t="s">
        <v>711</v>
      </c>
      <c r="D286" s="130" t="s">
        <v>277</v>
      </c>
      <c r="E286" s="43" t="s">
        <v>457</v>
      </c>
    </row>
    <row r="287" spans="2:5" ht="20.100000000000001" customHeight="1" x14ac:dyDescent="0.25">
      <c r="B287" s="405" t="s">
        <v>397</v>
      </c>
      <c r="C287" s="406"/>
      <c r="D287" s="406"/>
      <c r="E287" s="407"/>
    </row>
    <row r="288" spans="2:5" ht="20.100000000000001" customHeight="1" x14ac:dyDescent="0.25">
      <c r="B288" s="4" t="s">
        <v>398</v>
      </c>
      <c r="C288" s="362" t="str">
        <f>IF(cluster_wld_domain_chosen&lt;&gt;"MGMT Workload Domain",CONCATENATE(prefix_wld_az1_rack_vlan,"55"),CONCATENATE(prefix_mgmt_az1_vlan,"55"))</f>
        <v>1355</v>
      </c>
      <c r="D288" s="347"/>
      <c r="E288" s="93"/>
    </row>
    <row r="289" spans="2:5" ht="20.100000000000001" customHeight="1" x14ac:dyDescent="0.25">
      <c r="B289" s="4" t="s">
        <v>399</v>
      </c>
      <c r="C289" s="362" t="str">
        <f>IF(cluster_wld_domain_chosen&lt;&gt;"MGMT Workload Domain",CONCATENATE(prefix_wld_az1_rack_cidr,"55.1"),CONCATENATE(prefix_mgmt_az1_cidr,"55.1"))</f>
        <v>10.13.55.1</v>
      </c>
      <c r="D289" s="347"/>
      <c r="E289" s="32"/>
    </row>
    <row r="290" spans="2:5" ht="20.100000000000001" customHeight="1" x14ac:dyDescent="0.25">
      <c r="B290" s="4" t="s">
        <v>400</v>
      </c>
      <c r="C290" s="362" t="str">
        <f>IF(cluster_wld_domain_chosen&lt;&gt;"MGMT Workload Domain",CONCATENATE(prefix_wld_az1_rack_cidr,"55.0/24"),CONCATENATE(prefix_mgmt_az1_cidr,"55.0/24"))</f>
        <v>10.13.55.0/24</v>
      </c>
      <c r="D290" s="347"/>
      <c r="E290" s="32"/>
    </row>
    <row r="291" spans="2:5" ht="20.100000000000001" customHeight="1" x14ac:dyDescent="0.25">
      <c r="B291" s="4" t="s">
        <v>401</v>
      </c>
      <c r="C291" s="362">
        <v>1500</v>
      </c>
      <c r="D291" s="347"/>
      <c r="E291" s="32"/>
    </row>
    <row r="292" spans="2:5" ht="20.100000000000001" customHeight="1" x14ac:dyDescent="0.25">
      <c r="B292" s="508" t="s">
        <v>476</v>
      </c>
      <c r="C292" s="509"/>
      <c r="D292" s="509"/>
      <c r="E292" s="510"/>
    </row>
    <row r="293" spans="2:5" ht="20.100000000000001" customHeight="1" x14ac:dyDescent="0.25">
      <c r="B293" s="17" t="s">
        <v>686</v>
      </c>
      <c r="C293" s="126" t="str">
        <f>IF(cluster_wld_domain_chosen&lt;&gt;"MGMT Workload Domain",CONCATENATE(prefix_wld_az1_rack_cidr,"55.101"),CONCATENATE(prefix_mgmt_az1_cidr,"55.101"))</f>
        <v>10.13.55.101</v>
      </c>
      <c r="D293" s="347"/>
      <c r="E293" s="100" t="s">
        <v>477</v>
      </c>
    </row>
    <row r="294" spans="2:5" ht="20.100000000000001" customHeight="1" x14ac:dyDescent="0.25">
      <c r="B294" s="17" t="s">
        <v>687</v>
      </c>
      <c r="C294" s="126" t="str">
        <f>IF(cluster_wld_domain_chosen&lt;&gt;"MGMT Workload Domain",CONCATENATE(prefix_wld_az1_rack_cidr,"55.102"),CONCATENATE(prefix_mgmt_az1_cidr,"55.102"))</f>
        <v>10.13.55.102</v>
      </c>
      <c r="D294" s="347"/>
      <c r="E294" s="100" t="s">
        <v>478</v>
      </c>
    </row>
    <row r="295" spans="2:5" ht="20.100000000000001" customHeight="1" x14ac:dyDescent="0.25">
      <c r="B295" s="17" t="s">
        <v>688</v>
      </c>
      <c r="C295" s="126" t="str">
        <f>IF(cluster_wld_domain_chosen&lt;&gt;"MGMT Workload Domain",CONCATENATE(prefix_wld_az1_rack_cidr,"55.103"),CONCATENATE(prefix_mgmt_az1_cidr,"55.103"))</f>
        <v>10.13.55.103</v>
      </c>
      <c r="D295" s="347"/>
      <c r="E295" s="100" t="s">
        <v>479</v>
      </c>
    </row>
    <row r="296" spans="2:5" ht="20.100000000000001" customHeight="1" x14ac:dyDescent="0.25">
      <c r="B296" s="17" t="s">
        <v>689</v>
      </c>
      <c r="C296" s="126" t="str">
        <f>IF(cluster_wld_domain_chosen&lt;&gt;"MGMT Workload Domain",CONCATENATE(prefix_wld_az1_rack_cidr,"55.104"),CONCATENATE(prefix_mgmt_az1_cidr,"55.104"))</f>
        <v>10.13.55.104</v>
      </c>
      <c r="D296" s="347"/>
      <c r="E296" s="100" t="s">
        <v>480</v>
      </c>
    </row>
    <row r="297" spans="2:5" ht="20.100000000000001" customHeight="1" x14ac:dyDescent="0.25">
      <c r="B297" s="17" t="s">
        <v>690</v>
      </c>
      <c r="C297" s="126" t="str">
        <f>IF(cluster_wld_domain_chosen&lt;&gt;"MGMT Workload Domain",CONCATENATE(prefix_wld_az1_rack_cidr,"55.105"),CONCATENATE(prefix_mgmt_az1_cidr,"55.105"))</f>
        <v>10.13.55.105</v>
      </c>
      <c r="D297" s="347"/>
      <c r="E297" s="100" t="s">
        <v>481</v>
      </c>
    </row>
    <row r="298" spans="2:5" ht="20.100000000000001" customHeight="1" x14ac:dyDescent="0.25">
      <c r="B298" s="17" t="s">
        <v>691</v>
      </c>
      <c r="C298" s="126" t="str">
        <f>IF(cluster_wld_domain_chosen&lt;&gt;"MGMT Workload Domain",CONCATENATE(prefix_wld_az1_rack_cidr,"55.106"),CONCATENATE(prefix_mgmt_az1_cidr,"55.106"))</f>
        <v>10.13.55.106</v>
      </c>
      <c r="D298" s="347"/>
      <c r="E298" s="100" t="s">
        <v>482</v>
      </c>
    </row>
    <row r="299" spans="2:5" ht="20.100000000000001" customHeight="1" x14ac:dyDescent="0.25">
      <c r="B299" s="17" t="s">
        <v>692</v>
      </c>
      <c r="C299" s="126" t="str">
        <f>IF(cluster_wld_domain_chosen&lt;&gt;"MGMT Workload Domain",CONCATENATE(prefix_wld_az1_rack_cidr,"55.107"),CONCATENATE(prefix_mgmt_az1_cidr,"55.107"))</f>
        <v>10.13.55.107</v>
      </c>
      <c r="D299" s="347"/>
      <c r="E299" s="100" t="s">
        <v>483</v>
      </c>
    </row>
    <row r="300" spans="2:5" ht="20.100000000000001" customHeight="1" x14ac:dyDescent="0.25">
      <c r="B300" s="17" t="s">
        <v>693</v>
      </c>
      <c r="C300" s="126" t="str">
        <f>IF(cluster_wld_domain_chosen&lt;&gt;"MGMT Workload Domain",CONCATENATE(prefix_wld_az1_rack_cidr,"55.108"),CONCATENATE(prefix_mgmt_az1_cidr,"55.108"))</f>
        <v>10.13.55.108</v>
      </c>
      <c r="D300" s="347"/>
      <c r="E300" s="100" t="s">
        <v>484</v>
      </c>
    </row>
    <row r="301" spans="2:5" ht="20.100000000000001" customHeight="1" x14ac:dyDescent="0.25">
      <c r="B301" s="17" t="s">
        <v>694</v>
      </c>
      <c r="C301" s="126" t="str">
        <f>IF(cluster_wld_domain_chosen&lt;&gt;"MGMT Workload Domain",CONCATENATE(prefix_wld_az1_rack_cidr,"55.109"),CONCATENATE(prefix_mgmt_az1_cidr,"55.109"))</f>
        <v>10.13.55.109</v>
      </c>
      <c r="D301" s="347"/>
      <c r="E301" s="100" t="s">
        <v>485</v>
      </c>
    </row>
    <row r="302" spans="2:5" ht="20.100000000000001" customHeight="1" x14ac:dyDescent="0.25">
      <c r="B302" s="17" t="s">
        <v>695</v>
      </c>
      <c r="C302" s="126" t="str">
        <f>IF(cluster_wld_domain_chosen&lt;&gt;"MGMT Workload Domain",CONCATENATE(prefix_wld_az1_rack_cidr,"55.110"),CONCATENATE(prefix_mgmt_az1_cidr,"55.110"))</f>
        <v>10.13.55.110</v>
      </c>
      <c r="D302" s="347"/>
      <c r="E302" s="100" t="s">
        <v>486</v>
      </c>
    </row>
    <row r="303" spans="2:5" ht="20.100000000000001" customHeight="1" x14ac:dyDescent="0.25">
      <c r="B303" s="17" t="s">
        <v>696</v>
      </c>
      <c r="C303" s="126" t="str">
        <f>IF(cluster_wld_domain_chosen&lt;&gt;"MGMT Workload Domain",CONCATENATE(prefix_wld_az1_rack_cidr,"55.111"),CONCATENATE(prefix_mgmt_az1_cidr,"55.111"))</f>
        <v>10.13.55.111</v>
      </c>
      <c r="D303" s="347"/>
      <c r="E303" s="100" t="s">
        <v>487</v>
      </c>
    </row>
    <row r="304" spans="2:5" ht="20.100000000000001" customHeight="1" x14ac:dyDescent="0.25">
      <c r="B304" s="17" t="s">
        <v>697</v>
      </c>
      <c r="C304" s="126" t="str">
        <f>IF(cluster_wld_domain_chosen&lt;&gt;"MGMT Workload Domain",CONCATENATE(prefix_wld_az1_rack_cidr,"55.112"),CONCATENATE(prefix_mgmt_az1_cidr,"55.112"))</f>
        <v>10.13.55.112</v>
      </c>
      <c r="D304" s="347"/>
      <c r="E304" s="100" t="s">
        <v>488</v>
      </c>
    </row>
    <row r="305" spans="2:5" ht="20.100000000000001" customHeight="1" x14ac:dyDescent="0.25">
      <c r="B305" s="17" t="s">
        <v>698</v>
      </c>
      <c r="C305" s="126" t="str">
        <f>IF(cluster_wld_domain_chosen&lt;&gt;"MGMT Workload Domain",CONCATENATE(prefix_wld_az1_rack_cidr,"55.113"),CONCATENATE(prefix_mgmt_az1_cidr,"55.113"))</f>
        <v>10.13.55.113</v>
      </c>
      <c r="D305" s="347"/>
      <c r="E305" s="100" t="s">
        <v>489</v>
      </c>
    </row>
    <row r="306" spans="2:5" ht="20.100000000000001" customHeight="1" x14ac:dyDescent="0.25">
      <c r="B306" s="17" t="s">
        <v>699</v>
      </c>
      <c r="C306" s="126" t="str">
        <f>IF(cluster_wld_domain_chosen&lt;&gt;"MGMT Workload Domain",CONCATENATE(prefix_wld_az1_rack_cidr,"55.114"),CONCATENATE(prefix_mgmt_az1_cidr,"55.114"))</f>
        <v>10.13.55.114</v>
      </c>
      <c r="D306" s="347"/>
      <c r="E306" s="100" t="s">
        <v>490</v>
      </c>
    </row>
    <row r="307" spans="2:5" ht="20.100000000000001" customHeight="1" x14ac:dyDescent="0.25">
      <c r="B307" s="17" t="s">
        <v>700</v>
      </c>
      <c r="C307" s="126" t="str">
        <f>IF(cluster_wld_domain_chosen&lt;&gt;"MGMT Workload Domain",CONCATENATE(prefix_wld_az1_rack_cidr,"55.115"),CONCATENATE(prefix_mgmt_az1_cidr,"55.115"))</f>
        <v>10.13.55.115</v>
      </c>
      <c r="D307" s="347"/>
      <c r="E307" s="100" t="s">
        <v>491</v>
      </c>
    </row>
    <row r="308" spans="2:5" ht="20.100000000000001" customHeight="1" x14ac:dyDescent="0.25">
      <c r="B308" s="17" t="s">
        <v>701</v>
      </c>
      <c r="C308" s="126" t="str">
        <f>IF(cluster_wld_domain_chosen&lt;&gt;"MGMT Workload Domain",CONCATENATE(prefix_wld_az1_rack_cidr,"55.116"),CONCATENATE(prefix_mgmt_az1_cidr,"55.116"))</f>
        <v>10.13.55.116</v>
      </c>
      <c r="D308" s="347"/>
      <c r="E308" s="100" t="s">
        <v>492</v>
      </c>
    </row>
    <row r="309" spans="2:5" ht="15.95" customHeight="1" x14ac:dyDescent="0.25">
      <c r="B309" s="8"/>
      <c r="C309" s="8"/>
      <c r="D309" s="8"/>
      <c r="E309" s="8"/>
    </row>
    <row r="310" spans="2:5" ht="33.950000000000003" customHeight="1" x14ac:dyDescent="0.25">
      <c r="B310" s="505" t="s">
        <v>3300</v>
      </c>
      <c r="C310" s="506"/>
      <c r="D310" s="506"/>
      <c r="E310" s="507"/>
    </row>
    <row r="311" spans="2:5" ht="20.100000000000001" customHeight="1" x14ac:dyDescent="0.25">
      <c r="B311" s="43" t="s">
        <v>259</v>
      </c>
      <c r="C311" s="43" t="s">
        <v>711</v>
      </c>
      <c r="D311" s="130" t="s">
        <v>277</v>
      </c>
      <c r="E311" s="43" t="s">
        <v>457</v>
      </c>
    </row>
    <row r="312" spans="2:5" ht="20.100000000000001" customHeight="1" x14ac:dyDescent="0.25">
      <c r="B312" s="4" t="s">
        <v>3273</v>
      </c>
      <c r="C312" s="362" t="s">
        <v>704</v>
      </c>
      <c r="D312" s="127" t="s">
        <v>704</v>
      </c>
      <c r="E312" s="4" t="str">
        <f>IF(wld_az1_rack5_reuse_vcf_networkpool_chosen="Re-use an existing  VCF Network Pool","An exisiting VCF Network Pool will be reused for Host TEP assignment","A new VCF Network Pool will be created")</f>
        <v>A new VCF Network Pool will be created</v>
      </c>
    </row>
    <row r="313" spans="2:5" ht="20.100000000000001" customHeight="1" x14ac:dyDescent="0.25">
      <c r="B313" s="17" t="s">
        <v>705</v>
      </c>
      <c r="C313" s="89" t="str">
        <f>IF(cluster_wld_domain_chosen="VI Workload Domain",CONCATENATE(this_instance,"01-w0",wld_domain_number_chosen,"-r05-network-pool-01"),CONCATENATE(this_instance,"01-m01","-r05-network-pool-01"))</f>
        <v>sfo01-w01-r05-network-pool-01</v>
      </c>
      <c r="D313" s="347"/>
      <c r="E313" s="32"/>
    </row>
    <row r="314" spans="2:5" ht="20.100000000000001" customHeight="1" x14ac:dyDescent="0.25">
      <c r="B314" s="405" t="s">
        <v>404</v>
      </c>
      <c r="C314" s="406"/>
      <c r="D314" s="406"/>
      <c r="E314" s="407"/>
    </row>
    <row r="315" spans="2:5" ht="20.100000000000001" customHeight="1" x14ac:dyDescent="0.25">
      <c r="B315" s="4" t="s">
        <v>398</v>
      </c>
      <c r="C315" s="362" t="str">
        <f>IF(cluster_wld_domain_chosen&lt;&gt;"MGMT Workload Domain",CONCATENATE(prefix_wld_az1_rack_vlan,"56"),CONCATENATE(prefix_mgmt_az1_vlan,"56"))</f>
        <v>1356</v>
      </c>
      <c r="D315" s="347"/>
      <c r="E315" s="93"/>
    </row>
    <row r="316" spans="2:5" ht="20.100000000000001" customHeight="1" x14ac:dyDescent="0.25">
      <c r="B316" s="4" t="s">
        <v>401</v>
      </c>
      <c r="C316" s="362">
        <v>9000</v>
      </c>
      <c r="D316" s="347"/>
      <c r="E316" s="32"/>
    </row>
    <row r="317" spans="2:5" ht="20.100000000000001" customHeight="1" x14ac:dyDescent="0.25">
      <c r="B317" s="4" t="s">
        <v>400</v>
      </c>
      <c r="C317" s="126" t="str">
        <f>IF(cluster_wld_domain_chosen&lt;&gt;"MGMT Workload Domain",CONCATENATE(prefix_wld_az1_rack_cidr,"56.0"),CONCATENATE(prefix_mgmt_az1_cidr,"56.0"))</f>
        <v>10.13.56.0</v>
      </c>
      <c r="D317" s="347"/>
      <c r="E317" s="32"/>
    </row>
    <row r="318" spans="2:5" ht="20.100000000000001" customHeight="1" x14ac:dyDescent="0.25">
      <c r="B318" s="4" t="s">
        <v>732</v>
      </c>
      <c r="C318" s="126" t="s">
        <v>612</v>
      </c>
      <c r="D318" s="347"/>
      <c r="E318" s="32"/>
    </row>
    <row r="319" spans="2:5" ht="20.100000000000001" customHeight="1" x14ac:dyDescent="0.25">
      <c r="B319" s="4" t="s">
        <v>399</v>
      </c>
      <c r="C319" s="362" t="str">
        <f>IF(cluster_wld_domain_chosen&lt;&gt;"MGMT Workload Domain",CONCATENATE(prefix_wld_az1_rack_cidr,"56.1"),CONCATENATE(prefix_mgmt_az1_cidr,"56.1"))</f>
        <v>10.13.56.1</v>
      </c>
      <c r="D319" s="347"/>
      <c r="E319" s="32"/>
    </row>
    <row r="320" spans="2:5" ht="20.100000000000001" customHeight="1" x14ac:dyDescent="0.25">
      <c r="B320" s="17" t="s">
        <v>460</v>
      </c>
      <c r="C320" s="362" t="str">
        <f>IF(cluster_wld_domain_chosen&lt;&gt;"MGMT Workload Domain",CONCATENATE(prefix_wld_az1_rack_cidr,"56.101"),CONCATENATE(prefix_mgmt_az1_cidr,"56.101"))</f>
        <v>10.13.56.101</v>
      </c>
      <c r="D320" s="347"/>
      <c r="E320" s="100" t="s">
        <v>3293</v>
      </c>
    </row>
    <row r="321" spans="2:5" ht="20.100000000000001" customHeight="1" x14ac:dyDescent="0.25">
      <c r="B321" s="17" t="s">
        <v>461</v>
      </c>
      <c r="C321" s="362" t="str">
        <f>IF(cluster_wld_domain_chosen&lt;&gt;"MGMT Workload Domain",CONCATENATE(prefix_wld_az1_rack_cidr,"56.116"),CONCATENATE(prefix_mgmt_az1_cidr,"56.116"))</f>
        <v>10.13.56.116</v>
      </c>
      <c r="D321" s="347"/>
      <c r="E321" s="100" t="s">
        <v>3294</v>
      </c>
    </row>
    <row r="322" spans="2:5" ht="20.100000000000001" customHeight="1" x14ac:dyDescent="0.25">
      <c r="B322" s="405" t="s">
        <v>407</v>
      </c>
      <c r="C322" s="406"/>
      <c r="D322" s="406"/>
      <c r="E322" s="407"/>
    </row>
    <row r="323" spans="2:5" ht="20.100000000000001" customHeight="1" x14ac:dyDescent="0.25">
      <c r="B323" s="4" t="s">
        <v>398</v>
      </c>
      <c r="C323" s="362" t="str">
        <f>IF(cluster_wld_domain_chosen&lt;&gt;"MGMT Workload Domain",CONCATENATE(prefix_wld_az1_rack_vlan,"57"),CONCATENATE(prefix_mgmt_az1_vlan,"57"))</f>
        <v>1357</v>
      </c>
      <c r="D323" s="347"/>
      <c r="E323" s="32"/>
    </row>
    <row r="324" spans="2:5" ht="20.100000000000001" customHeight="1" x14ac:dyDescent="0.25">
      <c r="B324" s="4" t="s">
        <v>401</v>
      </c>
      <c r="C324" s="362">
        <v>9000</v>
      </c>
      <c r="D324" s="347"/>
      <c r="E324" s="32"/>
    </row>
    <row r="325" spans="2:5" ht="20.100000000000001" customHeight="1" x14ac:dyDescent="0.25">
      <c r="B325" s="4" t="s">
        <v>400</v>
      </c>
      <c r="C325" s="126" t="str">
        <f>IF(cluster_wld_domain_chosen&lt;&gt;"MGMT Workload Domain",CONCATENATE(prefix_wld_az1_rack_cidr,"57.0"),CONCATENATE(prefix_mgmt_az1_cidr,"57.0"))</f>
        <v>10.13.57.0</v>
      </c>
      <c r="D325" s="347"/>
      <c r="E325" s="56"/>
    </row>
    <row r="326" spans="2:5" ht="20.100000000000001" customHeight="1" x14ac:dyDescent="0.25">
      <c r="B326" s="4" t="s">
        <v>732</v>
      </c>
      <c r="C326" s="126" t="s">
        <v>612</v>
      </c>
      <c r="D326" s="347"/>
      <c r="E326" s="32"/>
    </row>
    <row r="327" spans="2:5" ht="20.100000000000001" customHeight="1" x14ac:dyDescent="0.25">
      <c r="B327" s="4" t="s">
        <v>399</v>
      </c>
      <c r="C327" s="362" t="str">
        <f>IF(cluster_wld_domain_chosen&lt;&gt;"MGMT Workload Domain",CONCATENATE(prefix_wld_az1_rack_cidr,"57.1"),CONCATENATE(prefix_mgmt_az1_cidr,"57.1"))</f>
        <v>10.13.57.1</v>
      </c>
      <c r="D327" s="347"/>
      <c r="E327" s="32" t="str">
        <f>IF(AND(mgmt_stretched_cluster_result="Included",mgmt_dpg_reuse_result="Excluded"),"Stretched L2","")</f>
        <v/>
      </c>
    </row>
    <row r="328" spans="2:5" ht="20.100000000000001" customHeight="1" x14ac:dyDescent="0.25">
      <c r="B328" s="17" t="s">
        <v>460</v>
      </c>
      <c r="C328" s="362" t="str">
        <f>IF(cluster_wld_domain_chosen&lt;&gt;"MGMT Workload Domain",CONCATENATE(prefix_wld_az1_rack_cidr,"57.101"),CONCATENATE(prefix_mgmt_az1_cidr,"57.101"))</f>
        <v>10.13.57.101</v>
      </c>
      <c r="D328" s="347"/>
      <c r="E328" s="100" t="s">
        <v>3276</v>
      </c>
    </row>
    <row r="329" spans="2:5" ht="20.100000000000001" customHeight="1" x14ac:dyDescent="0.25">
      <c r="B329" s="17" t="s">
        <v>461</v>
      </c>
      <c r="C329" s="362" t="str">
        <f>IF(cluster_wld_domain_chosen&lt;&gt;"MGMT Workload Domain",CONCATENATE(prefix_wld_az1_rack_cidr,"57.116"),CONCATENATE(prefix_mgmt_az1_cidr,"57.116"))</f>
        <v>10.13.57.116</v>
      </c>
      <c r="D329" s="347"/>
      <c r="E329" s="100" t="s">
        <v>3277</v>
      </c>
    </row>
    <row r="330" spans="2:5" ht="15.95" customHeight="1" x14ac:dyDescent="0.25">
      <c r="B330" s="8"/>
      <c r="C330" s="8"/>
      <c r="D330" s="8"/>
      <c r="E330" s="8"/>
    </row>
    <row r="331" spans="2:5" ht="33.950000000000003" customHeight="1" x14ac:dyDescent="0.25">
      <c r="B331" s="505" t="s">
        <v>3301</v>
      </c>
      <c r="C331" s="506"/>
      <c r="D331" s="506"/>
      <c r="E331" s="507"/>
    </row>
    <row r="332" spans="2:5" ht="20.100000000000001" customHeight="1" x14ac:dyDescent="0.25">
      <c r="B332" s="43" t="s">
        <v>259</v>
      </c>
      <c r="C332" s="43" t="s">
        <v>711</v>
      </c>
      <c r="D332" s="130" t="s">
        <v>277</v>
      </c>
      <c r="E332" s="43" t="s">
        <v>457</v>
      </c>
    </row>
    <row r="333" spans="2:5" ht="20.100000000000001" customHeight="1" x14ac:dyDescent="0.25">
      <c r="B333" s="17" t="s">
        <v>686</v>
      </c>
      <c r="C333" s="126" t="str">
        <f>IF(cluster_wld_domain_chosen&lt;&gt;"MGMT Workload Domain",CONCATENATE(this_instance,"01-w0",wld_domain_number_chosen,"-r05-esx01",".",sample_child_dns_zone),CONCATENATE(this_instance,"01-m01-r05-esx01",".",sample_child_dns_zone))</f>
        <v>sfo01-w01-r05-esx01.sfo.rainpole.io</v>
      </c>
      <c r="D333" s="347"/>
      <c r="E333" s="32"/>
    </row>
    <row r="334" spans="2:5" ht="20.100000000000001" customHeight="1" x14ac:dyDescent="0.25">
      <c r="B334" s="17" t="s">
        <v>687</v>
      </c>
      <c r="C334" s="126" t="str">
        <f>IF(cluster_wld_domain_chosen&lt;&gt;"MGMT Workload Domain",CONCATENATE(this_instance,"01-w0",wld_domain_number_chosen,"-r05-esx02",".",sample_child_dns_zone),CONCATENATE(this_instance,"01-m01-r05-esx02",".",sample_child_dns_zone))</f>
        <v>sfo01-w01-r05-esx02.sfo.rainpole.io</v>
      </c>
      <c r="D334" s="347"/>
      <c r="E334" s="32"/>
    </row>
    <row r="335" spans="2:5" ht="20.100000000000001" customHeight="1" x14ac:dyDescent="0.25">
      <c r="B335" s="17" t="s">
        <v>688</v>
      </c>
      <c r="C335" s="126" t="str">
        <f>IF(cluster_wld_domain_chosen&lt;&gt;"MGMT Workload Domain",CONCATENATE(this_instance,"01-w0",wld_domain_number_chosen,"-r05-esx03",".",sample_child_dns_zone),CONCATENATE(this_instance,"01-m01-r05-esx03",".",sample_child_dns_zone))</f>
        <v>sfo01-w01-r05-esx03.sfo.rainpole.io</v>
      </c>
      <c r="D335" s="347"/>
      <c r="E335" s="32"/>
    </row>
    <row r="336" spans="2:5" ht="20.100000000000001" customHeight="1" x14ac:dyDescent="0.25">
      <c r="B336" s="17" t="s">
        <v>689</v>
      </c>
      <c r="C336" s="126" t="str">
        <f>IF(cluster_wld_domain_chosen&lt;&gt;"MGMT Workload Domain",CONCATENATE(this_instance,"01-w0",wld_domain_number_chosen,"-r05-esx04",".",sample_child_dns_zone),CONCATENATE(this_instance,"01-m01-r05-esx04",".",sample_child_dns_zone))</f>
        <v>sfo01-w01-r05-esx04.sfo.rainpole.io</v>
      </c>
      <c r="D336" s="347"/>
      <c r="E336" s="32"/>
    </row>
    <row r="337" spans="2:5" ht="20.100000000000001" customHeight="1" x14ac:dyDescent="0.25">
      <c r="B337" s="17" t="s">
        <v>690</v>
      </c>
      <c r="C337" s="126" t="str">
        <f>IF(cluster_wld_domain_chosen&lt;&gt;"MGMT Workload Domain",CONCATENATE(this_instance,"01-w0",wld_domain_number_chosen,"-r05-esx05",".",sample_child_dns_zone),CONCATENATE(this_instance,"01-m01-r05-esx05",".",sample_child_dns_zone))</f>
        <v>sfo01-w01-r05-esx05.sfo.rainpole.io</v>
      </c>
      <c r="D337" s="347"/>
      <c r="E337" s="32"/>
    </row>
    <row r="338" spans="2:5" ht="20.100000000000001" customHeight="1" x14ac:dyDescent="0.25">
      <c r="B338" s="17" t="s">
        <v>691</v>
      </c>
      <c r="C338" s="126" t="str">
        <f>IF(cluster_wld_domain_chosen&lt;&gt;"MGMT Workload Domain",CONCATENATE(this_instance,"01-w0",wld_domain_number_chosen,"-r05-esx06",".",sample_child_dns_zone),CONCATENATE(this_instance,"01-m01-r05-esx06",".",sample_child_dns_zone))</f>
        <v>sfo01-w01-r05-esx06.sfo.rainpole.io</v>
      </c>
      <c r="D338" s="347"/>
      <c r="E338" s="32"/>
    </row>
    <row r="339" spans="2:5" ht="20.100000000000001" customHeight="1" x14ac:dyDescent="0.25">
      <c r="B339" s="17" t="s">
        <v>692</v>
      </c>
      <c r="C339" s="126" t="str">
        <f>IF(cluster_wld_domain_chosen&lt;&gt;"MGMT Workload Domain",CONCATENATE(this_instance,"01-w0",wld_domain_number_chosen,"-r05-esx07",".",sample_child_dns_zone),CONCATENATE(this_instance,"01-m01-r05-esx07",".",sample_child_dns_zone))</f>
        <v>sfo01-w01-r05-esx07.sfo.rainpole.io</v>
      </c>
      <c r="D339" s="347"/>
      <c r="E339" s="32"/>
    </row>
    <row r="340" spans="2:5" ht="20.100000000000001" customHeight="1" x14ac:dyDescent="0.25">
      <c r="B340" s="17" t="s">
        <v>693</v>
      </c>
      <c r="C340" s="126" t="str">
        <f>IF(cluster_wld_domain_chosen&lt;&gt;"MGMT Workload Domain",CONCATENATE(this_instance,"01-w0",wld_domain_number_chosen,"-r05-esx08",".",sample_child_dns_zone),CONCATENATE(this_instance,"01-m01-r05-esx08",".",sample_child_dns_zone))</f>
        <v>sfo01-w01-r05-esx08.sfo.rainpole.io</v>
      </c>
      <c r="D340" s="347"/>
      <c r="E340" s="32"/>
    </row>
    <row r="341" spans="2:5" ht="20.100000000000001" customHeight="1" x14ac:dyDescent="0.25">
      <c r="B341" s="17" t="s">
        <v>694</v>
      </c>
      <c r="C341" s="126" t="str">
        <f>IF(cluster_wld_domain_chosen&lt;&gt;"MGMT Workload Domain",CONCATENATE(this_instance,"01-w0",wld_domain_number_chosen,"-r05-esx09",".",sample_child_dns_zone),CONCATENATE(this_instance,"01-m01-r05-esx09",".",sample_child_dns_zone))</f>
        <v>sfo01-w01-r05-esx09.sfo.rainpole.io</v>
      </c>
      <c r="D341" s="347"/>
      <c r="E341" s="32"/>
    </row>
    <row r="342" spans="2:5" ht="20.100000000000001" customHeight="1" x14ac:dyDescent="0.25">
      <c r="B342" s="17" t="s">
        <v>695</v>
      </c>
      <c r="C342" s="126" t="str">
        <f>IF(cluster_wld_domain_chosen&lt;&gt;"MGMT Workload Domain",CONCATENATE(this_instance,"01-w0",wld_domain_number_chosen,"-r05-esx10",".",sample_child_dns_zone),CONCATENATE(this_instance,"01-m01-r05-esx10",".",sample_child_dns_zone))</f>
        <v>sfo01-w01-r05-esx10.sfo.rainpole.io</v>
      </c>
      <c r="D342" s="347"/>
      <c r="E342" s="32"/>
    </row>
    <row r="343" spans="2:5" ht="20.100000000000001" customHeight="1" x14ac:dyDescent="0.25">
      <c r="B343" s="17" t="s">
        <v>696</v>
      </c>
      <c r="C343" s="126" t="str">
        <f>IF(cluster_wld_domain_chosen&lt;&gt;"MGMT Workload Domain",CONCATENATE(this_instance,"01-w0",wld_domain_number_chosen,"-r05-esx11",".",sample_child_dns_zone),CONCATENATE(this_instance,"01-m01-r05-esx11",".",sample_child_dns_zone))</f>
        <v>sfo01-w01-r05-esx11.sfo.rainpole.io</v>
      </c>
      <c r="D343" s="347"/>
      <c r="E343" s="32"/>
    </row>
    <row r="344" spans="2:5" ht="20.100000000000001" customHeight="1" x14ac:dyDescent="0.25">
      <c r="B344" s="17" t="s">
        <v>697</v>
      </c>
      <c r="C344" s="126" t="str">
        <f>IF(cluster_wld_domain_chosen&lt;&gt;"MGMT Workload Domain",CONCATENATE(this_instance,"01-w0",wld_domain_number_chosen,"-r05-esx12",".",sample_child_dns_zone),CONCATENATE(this_instance,"01-m01-r05-esx12",".",sample_child_dns_zone))</f>
        <v>sfo01-w01-r05-esx12.sfo.rainpole.io</v>
      </c>
      <c r="D344" s="347"/>
      <c r="E344" s="32"/>
    </row>
    <row r="345" spans="2:5" ht="20.100000000000001" customHeight="1" x14ac:dyDescent="0.25">
      <c r="B345" s="17" t="s">
        <v>698</v>
      </c>
      <c r="C345" s="126" t="str">
        <f>IF(cluster_wld_domain_chosen&lt;&gt;"MGMT Workload Domain",CONCATENATE(this_instance,"01-w0",wld_domain_number_chosen,"-r05-esx13",".",sample_child_dns_zone),CONCATENATE(this_instance,"01-m01-r05-esx13",".",sample_child_dns_zone))</f>
        <v>sfo01-w01-r05-esx13.sfo.rainpole.io</v>
      </c>
      <c r="D345" s="347"/>
      <c r="E345" s="32"/>
    </row>
    <row r="346" spans="2:5" ht="20.100000000000001" customHeight="1" x14ac:dyDescent="0.25">
      <c r="B346" s="17" t="s">
        <v>699</v>
      </c>
      <c r="C346" s="126" t="str">
        <f>IF(cluster_wld_domain_chosen&lt;&gt;"MGMT Workload Domain",CONCATENATE(this_instance,"01-w0",wld_domain_number_chosen,"-r05-esx14",".",sample_child_dns_zone),CONCATENATE(this_instance,"01-m01-r05-esx14",".",sample_child_dns_zone))</f>
        <v>sfo01-w01-r05-esx14.sfo.rainpole.io</v>
      </c>
      <c r="D346" s="347"/>
      <c r="E346" s="32"/>
    </row>
    <row r="347" spans="2:5" ht="20.100000000000001" customHeight="1" x14ac:dyDescent="0.25">
      <c r="B347" s="17" t="s">
        <v>700</v>
      </c>
      <c r="C347" s="126" t="str">
        <f>IF(cluster_wld_domain_chosen&lt;&gt;"MGMT Workload Domain",CONCATENATE(this_instance,"01-w0",wld_domain_number_chosen,"-r05-esx14",".",sample_child_dns_zone),CONCATENATE(this_instance,"01-m01-r05-esx15",".",sample_child_dns_zone))</f>
        <v>sfo01-w01-r05-esx14.sfo.rainpole.io</v>
      </c>
      <c r="D347" s="347"/>
      <c r="E347" s="32"/>
    </row>
    <row r="348" spans="2:5" ht="20.100000000000001" customHeight="1" x14ac:dyDescent="0.25">
      <c r="B348" s="17" t="s">
        <v>701</v>
      </c>
      <c r="C348" s="126" t="str">
        <f>IF(cluster_wld_domain_chosen&lt;&gt;"MGMT Workload Domain",CONCATENATE(this_instance,"01-w0",wld_domain_number_chosen,"-r05-esx16",".",sample_child_dns_zone),CONCATENATE(this_instance,"01-m01-r05-esx16",".",sample_child_dns_zone))</f>
        <v>sfo01-w01-r05-esx16.sfo.rainpole.io</v>
      </c>
      <c r="D348" s="347"/>
      <c r="E348" s="32"/>
    </row>
    <row r="349" spans="2:5" ht="20.100000000000001" customHeight="1" x14ac:dyDescent="0.25">
      <c r="B349" s="17" t="s">
        <v>712</v>
      </c>
      <c r="C349" s="126" t="s">
        <v>368</v>
      </c>
      <c r="D349" s="337" t="s">
        <v>713</v>
      </c>
      <c r="E349" s="32"/>
    </row>
    <row r="350" spans="2:5" ht="20.100000000000001" customHeight="1" x14ac:dyDescent="0.25">
      <c r="B350" s="17" t="s">
        <v>714</v>
      </c>
      <c r="C350" s="126" t="s">
        <v>715</v>
      </c>
      <c r="D350"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100000000000001" customHeight="1" x14ac:dyDescent="0.25">
      <c r="B351" s="17" t="s">
        <v>716</v>
      </c>
      <c r="C351" s="126" t="s">
        <v>323</v>
      </c>
      <c r="D351" s="337" t="str">
        <f>IF(AND(vcf_granular_option_chosen="Create Cluster",cluster_principal_storage_chosen="vSAN-ESA"),"Selected",
IF(AND(vcf_granular_option_chosen="Create VI Workload Domain",wld_principal_storage_chosen="vSAN-ESA"),"Selected","Unselected"))</f>
        <v>Unselected</v>
      </c>
      <c r="E351" s="32"/>
    </row>
    <row r="352" spans="2:5" ht="20.100000000000001" customHeight="1" x14ac:dyDescent="0.25">
      <c r="B352" s="17" t="s">
        <v>705</v>
      </c>
      <c r="C352" s="126" t="str">
        <f>sample_wld_az1_rack5_pool_name</f>
        <v>sfo01-w01-r05-network-pool-01</v>
      </c>
      <c r="D352" s="337" t="str">
        <f>wld_az1_rack5_pool_name</f>
        <v>Value Missing</v>
      </c>
      <c r="E352" s="32"/>
    </row>
    <row r="353" spans="2:5" ht="20.100000000000001" customHeight="1" x14ac:dyDescent="0.25">
      <c r="B353" s="17" t="s">
        <v>535</v>
      </c>
      <c r="C353" s="126" t="s">
        <v>717</v>
      </c>
      <c r="D353"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32"/>
    </row>
    <row r="354" spans="2:5" ht="20.100000000000001" customHeight="1" x14ac:dyDescent="0.25">
      <c r="B354" s="17" t="s">
        <v>296</v>
      </c>
      <c r="C354" s="126" t="s">
        <v>379</v>
      </c>
      <c r="D354"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32"/>
    </row>
    <row r="355" spans="2:5" ht="15.95" customHeight="1" x14ac:dyDescent="0.25"/>
    <row r="356" spans="2:5" ht="33.950000000000003" customHeight="1" x14ac:dyDescent="0.25">
      <c r="B356" s="505" t="s">
        <v>3302</v>
      </c>
      <c r="C356" s="506"/>
      <c r="D356" s="506"/>
      <c r="E356" s="507"/>
    </row>
    <row r="357" spans="2:5" ht="20.100000000000001" customHeight="1" x14ac:dyDescent="0.25">
      <c r="B357" s="4" t="s">
        <v>784</v>
      </c>
      <c r="C357" s="89"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sfo01-sfo-w01-cl01-r05-network-profile</v>
      </c>
      <c r="D357" s="347"/>
      <c r="E357" s="80"/>
    </row>
    <row r="358" spans="2:5" ht="20.100000000000001" customHeight="1" x14ac:dyDescent="0.25">
      <c r="B358" s="4" t="s">
        <v>3280</v>
      </c>
      <c r="C358" s="362" t="s">
        <v>786</v>
      </c>
      <c r="D358" s="127" t="s">
        <v>786</v>
      </c>
      <c r="E358" s="4" t="str">
        <f>IF(wld_az1_rack5_host_overlay_new_pool_chosen="Re-use an existing Pool","An exisitng Pool will be reused for Host TEP assignment","A new Pool will be created for Host TEP assignment")</f>
        <v>A new Pool will be created for Host TEP assignment</v>
      </c>
    </row>
    <row r="359" spans="2:5" ht="20.100000000000001" customHeight="1" x14ac:dyDescent="0.25">
      <c r="B359" s="4" t="s">
        <v>787</v>
      </c>
      <c r="C359" s="89" t="str">
        <f>IF(cluster_wld_domain_chosen="VI Workload Domain",CONCATENATE(this_instance,"01-w0",wld_domain_number_chosen,"-r05-ip-pool01-host"),CONCATENATE(this_instance,"01-m01","-r05-ip-pool01-host"))</f>
        <v>sfo01-w01-r05-ip-pool01-host</v>
      </c>
      <c r="D359" s="347"/>
      <c r="E359" s="80"/>
    </row>
    <row r="360" spans="2:5" ht="20.100000000000001" customHeight="1" x14ac:dyDescent="0.25">
      <c r="B360" s="4" t="s">
        <v>788</v>
      </c>
      <c r="C360" s="89" t="str">
        <f>IF(cluster_wld_domain_chosen="VI Workload Domain",CONCATENATE(this_instance,"01-w0",wld_domain_number_chosen,"-r05-uplink-profile01"),CONCATENATE(this_instance,"01-m01","-r05-uplink-profile01"))</f>
        <v>sfo01-w01-r05-uplink-profile01</v>
      </c>
      <c r="D360" s="347"/>
      <c r="E360" s="80"/>
    </row>
    <row r="361" spans="2:5" ht="20.100000000000001" customHeight="1" x14ac:dyDescent="0.25">
      <c r="B361" s="4" t="s">
        <v>3281</v>
      </c>
      <c r="C361" s="89" t="str">
        <f>IF(cluster_wld_domain_chosen="VI Workload Domain",CONCATENATE(this_instance,"01-w0",wld_domain_number_chosen,"-r05-ip-pool02-edge"),CONCATENATE(this_instance,"01-m01","-r05-ip-pool02-edge"))</f>
        <v>sfo01-w01-r05-ip-pool02-edge</v>
      </c>
      <c r="D361" s="347"/>
      <c r="E361" s="80"/>
    </row>
    <row r="362" spans="2:5" ht="20.100000000000001" customHeight="1" x14ac:dyDescent="0.25">
      <c r="B362" s="4" t="s">
        <v>3282</v>
      </c>
      <c r="C362" s="89" t="str">
        <f>IF(cluster_wld_domain_chosen="VI Workload Domain",CONCATENATE(this_instance,"01-w0",wld_domain_number_chosen,"-r05-ip-pool03-rtep"),CONCATENATE(this_instance,"01-m01","-r05-ip-pool03-rtep"))</f>
        <v>sfo01-w01-r05-ip-pool03-rtep</v>
      </c>
      <c r="D362" s="347"/>
      <c r="E362" s="80"/>
    </row>
    <row r="363" spans="2:5" ht="20.100000000000001" customHeight="1" x14ac:dyDescent="0.25">
      <c r="B363" s="405" t="s">
        <v>365</v>
      </c>
      <c r="C363" s="406"/>
      <c r="D363" s="406"/>
      <c r="E363" s="407"/>
    </row>
    <row r="364" spans="2:5" ht="20.100000000000001" customHeight="1" x14ac:dyDescent="0.25">
      <c r="B364" s="207" t="s">
        <v>259</v>
      </c>
      <c r="C364" s="207" t="s">
        <v>711</v>
      </c>
      <c r="D364" s="239" t="s">
        <v>277</v>
      </c>
      <c r="E364" s="207" t="s">
        <v>5</v>
      </c>
    </row>
    <row r="365" spans="2:5" ht="20.100000000000001" customHeight="1" x14ac:dyDescent="0.25">
      <c r="B365" s="4" t="s">
        <v>1818</v>
      </c>
      <c r="C365" s="80" t="str">
        <f>IF(cluster_wld_domain_chosen&lt;&gt;"MGMT Workload Domain",CONCATENATE(this_instance,"-w0",wld_domain_number_chosen,"-r05","-vsan-fault-domain"),CONCATENATE(this_instance,"-m01","-r05","-vsan-fault-domain"))</f>
        <v>sfo-w01-r05-vsan-fault-domain</v>
      </c>
      <c r="D365" s="347"/>
      <c r="E365" s="337"/>
    </row>
    <row r="366" spans="2:5" ht="15.95" customHeight="1" x14ac:dyDescent="0.25"/>
    <row r="367" spans="2:5" ht="33.950000000000003" customHeight="1" x14ac:dyDescent="0.25">
      <c r="B367" s="505" t="s">
        <v>3303</v>
      </c>
      <c r="C367" s="506"/>
      <c r="D367" s="506"/>
      <c r="E367" s="507"/>
    </row>
    <row r="368" spans="2:5" ht="20.100000000000001" customHeight="1" x14ac:dyDescent="0.25">
      <c r="B368" s="43" t="s">
        <v>259</v>
      </c>
      <c r="C368" s="43" t="s">
        <v>711</v>
      </c>
      <c r="D368" s="130" t="s">
        <v>277</v>
      </c>
      <c r="E368" s="43" t="s">
        <v>5</v>
      </c>
    </row>
    <row r="369" spans="2:5" ht="20.100000000000001" customHeight="1" x14ac:dyDescent="0.25">
      <c r="B369" s="405" t="s">
        <v>467</v>
      </c>
      <c r="C369" s="406"/>
      <c r="D369" s="406"/>
      <c r="E369" s="407"/>
    </row>
    <row r="370" spans="2:5" ht="20.100000000000001" customHeight="1" x14ac:dyDescent="0.25">
      <c r="B370" s="4" t="s">
        <v>398</v>
      </c>
      <c r="C370" s="362" t="str">
        <f>IF(cluster_wld_domain_chosen&lt;&gt;"MGMT Workload Domain",CONCATENATE(prefix_wld_az1_rack_vlan,"58"),CONCATENATE(prefix_mgmt_az1_vlan,"58"))</f>
        <v>1358</v>
      </c>
      <c r="D370" s="347"/>
      <c r="E370" s="93"/>
    </row>
    <row r="371" spans="2:5" ht="20.100000000000001" customHeight="1" x14ac:dyDescent="0.25">
      <c r="B371" s="4" t="s">
        <v>401</v>
      </c>
      <c r="C371" s="362">
        <v>9000</v>
      </c>
      <c r="D371" s="347"/>
      <c r="E371" s="32"/>
    </row>
    <row r="372" spans="2:5" ht="20.100000000000001" customHeight="1" x14ac:dyDescent="0.25">
      <c r="B372" s="4" t="s">
        <v>400</v>
      </c>
      <c r="C372" s="362" t="str">
        <f>IF(cluster_wld_domain_chosen&lt;&gt;"MGMT Workload Domain",CONCATENATE(prefix_wld_az1_rack_cidr,"58.0"),CONCATENATE(prefix_mgmt_az1_cidr,"58.0"))</f>
        <v>10.13.58.0</v>
      </c>
      <c r="D372" s="347"/>
      <c r="E372" s="32"/>
    </row>
    <row r="373" spans="2:5" ht="20.100000000000001" customHeight="1" x14ac:dyDescent="0.25">
      <c r="B373" s="4" t="s">
        <v>732</v>
      </c>
      <c r="C373" s="362" t="s">
        <v>612</v>
      </c>
      <c r="D373" s="347"/>
      <c r="E373" s="32"/>
    </row>
    <row r="374" spans="2:5" ht="20.100000000000001" customHeight="1" x14ac:dyDescent="0.25">
      <c r="B374" s="4" t="s">
        <v>399</v>
      </c>
      <c r="C374" s="362" t="str">
        <f>IF(cluster_wld_domain_chosen&lt;&gt;"MGMT Workload Domain",CONCATENATE(prefix_wld_az1_rack_cidr,"58.1"),CONCATENATE(prefix_mgmt_az1_cidr,"58.1"))</f>
        <v>10.13.58.1</v>
      </c>
      <c r="D374" s="347"/>
      <c r="E374" s="32"/>
    </row>
    <row r="375" spans="2:5" ht="20.100000000000001" customHeight="1" x14ac:dyDescent="0.25">
      <c r="B375" s="17" t="s">
        <v>460</v>
      </c>
      <c r="C375" s="362" t="str">
        <f>IF(cluster_wld_domain_chosen&lt;&gt;"MGMT Workload Domain",CONCATENATE(prefix_wld_az1_rack_cidr,"58.101"),CONCATENATE(prefix_mgmt_az1_cidr,"58.101"))</f>
        <v>10.13.58.101</v>
      </c>
      <c r="D375" s="347"/>
      <c r="E375" s="100" t="s">
        <v>3284</v>
      </c>
    </row>
    <row r="376" spans="2:5" ht="20.100000000000001" customHeight="1" x14ac:dyDescent="0.25">
      <c r="B376" s="17" t="s">
        <v>461</v>
      </c>
      <c r="C376" s="362" t="str">
        <f>IF(cluster_wld_domain_chosen&lt;&gt;"MGMT Workload Domain",CONCATENATE(prefix_wld_az1_rack_cidr,"58.116"),CONCATENATE(prefix_mgmt_az1_cidr,"58.116"))</f>
        <v>10.13.58.116</v>
      </c>
      <c r="D376" s="347"/>
      <c r="E376" s="100" t="s">
        <v>3285</v>
      </c>
    </row>
    <row r="377" spans="2:5" ht="15.95" customHeight="1" x14ac:dyDescent="0.25"/>
    <row r="378" spans="2:5" ht="33.950000000000003" customHeight="1" x14ac:dyDescent="0.25">
      <c r="B378" s="505" t="s">
        <v>3304</v>
      </c>
      <c r="C378" s="506"/>
      <c r="D378" s="506"/>
      <c r="E378" s="507"/>
    </row>
    <row r="379" spans="2:5" ht="20.100000000000001" customHeight="1" x14ac:dyDescent="0.25">
      <c r="B379" s="43" t="s">
        <v>259</v>
      </c>
      <c r="C379" s="43" t="s">
        <v>711</v>
      </c>
      <c r="D379" s="130" t="s">
        <v>277</v>
      </c>
      <c r="E379" s="43" t="s">
        <v>457</v>
      </c>
    </row>
    <row r="380" spans="2:5" ht="20.100000000000001" customHeight="1" x14ac:dyDescent="0.25">
      <c r="B380" s="405" t="s">
        <v>397</v>
      </c>
      <c r="C380" s="406"/>
      <c r="D380" s="406"/>
      <c r="E380" s="407"/>
    </row>
    <row r="381" spans="2:5" ht="20.100000000000001" customHeight="1" x14ac:dyDescent="0.25">
      <c r="B381" s="4" t="s">
        <v>398</v>
      </c>
      <c r="C381" s="362" t="str">
        <f>IF(cluster_wld_domain_chosen&lt;&gt;"MGMT Workload Domain",CONCATENATE(prefix_wld_az1_rack_vlan,"66"),CONCATENATE(prefix_mgmt_az1_vlan,"66"))</f>
        <v>1366</v>
      </c>
      <c r="D381" s="347"/>
      <c r="E381" s="93"/>
    </row>
    <row r="382" spans="2:5" ht="20.100000000000001" customHeight="1" x14ac:dyDescent="0.25">
      <c r="B382" s="4" t="s">
        <v>399</v>
      </c>
      <c r="C382" s="362" t="str">
        <f>IF(cluster_wld_domain_chosen&lt;&gt;"MGMT Workload Domain",CONCATENATE(prefix_wld_az1_rack_cidr,"66.1"),CONCATENATE(prefix_mgmt_az1_cidr,"66.1"))</f>
        <v>10.13.66.1</v>
      </c>
      <c r="D382" s="347"/>
      <c r="E382" s="32"/>
    </row>
    <row r="383" spans="2:5" ht="20.100000000000001" customHeight="1" x14ac:dyDescent="0.25">
      <c r="B383" s="4" t="s">
        <v>400</v>
      </c>
      <c r="C383" s="362" t="str">
        <f>IF(cluster_wld_domain_chosen&lt;&gt;"MGMT Workload Domain",CONCATENATE(prefix_wld_az1_rack_cidr,"66.0/24"),CONCATENATE(prefix_mgmt_az1_cidr,"66.0/24"))</f>
        <v>10.13.66.0/24</v>
      </c>
      <c r="D383" s="347"/>
      <c r="E383" s="32"/>
    </row>
    <row r="384" spans="2:5" ht="20.100000000000001" customHeight="1" x14ac:dyDescent="0.25">
      <c r="B384" s="4" t="s">
        <v>401</v>
      </c>
      <c r="C384" s="362">
        <v>1500</v>
      </c>
      <c r="D384" s="347"/>
      <c r="E384" s="32"/>
    </row>
    <row r="385" spans="2:5" ht="20.100000000000001" customHeight="1" x14ac:dyDescent="0.25">
      <c r="B385" s="508" t="s">
        <v>476</v>
      </c>
      <c r="C385" s="509"/>
      <c r="D385" s="509"/>
      <c r="E385" s="510"/>
    </row>
    <row r="386" spans="2:5" ht="20.100000000000001" customHeight="1" x14ac:dyDescent="0.25">
      <c r="B386" s="17" t="s">
        <v>686</v>
      </c>
      <c r="C386" s="126" t="str">
        <f>IF(cluster_wld_domain_chosen&lt;&gt;"MGMT Workload Domain",CONCATENATE(prefix_wld_az1_rack_cidr,"66.101"),CONCATENATE(prefix_mgmt_az1_cidr,"66.101"))</f>
        <v>10.13.66.101</v>
      </c>
      <c r="D386" s="347"/>
      <c r="E386" s="100" t="s">
        <v>477</v>
      </c>
    </row>
    <row r="387" spans="2:5" ht="20.100000000000001" customHeight="1" x14ac:dyDescent="0.25">
      <c r="B387" s="17" t="s">
        <v>687</v>
      </c>
      <c r="C387" s="126" t="str">
        <f>IF(cluster_wld_domain_chosen&lt;&gt;"MGMT Workload Domain",CONCATENATE(prefix_wld_az1_rack_cidr,"66.102"),CONCATENATE(prefix_mgmt_az1_cidr,"66.102"))</f>
        <v>10.13.66.102</v>
      </c>
      <c r="D387" s="347"/>
      <c r="E387" s="100" t="s">
        <v>478</v>
      </c>
    </row>
    <row r="388" spans="2:5" ht="20.100000000000001" customHeight="1" x14ac:dyDescent="0.25">
      <c r="B388" s="17" t="s">
        <v>688</v>
      </c>
      <c r="C388" s="126" t="str">
        <f>IF(cluster_wld_domain_chosen&lt;&gt;"MGMT Workload Domain",CONCATENATE(prefix_wld_az1_rack_cidr,"66.103"),CONCATENATE(prefix_mgmt_az1_cidr,"66.103"))</f>
        <v>10.13.66.103</v>
      </c>
      <c r="D388" s="347"/>
      <c r="E388" s="100" t="s">
        <v>479</v>
      </c>
    </row>
    <row r="389" spans="2:5" ht="20.100000000000001" customHeight="1" x14ac:dyDescent="0.25">
      <c r="B389" s="17" t="s">
        <v>689</v>
      </c>
      <c r="C389" s="126" t="str">
        <f>IF(cluster_wld_domain_chosen&lt;&gt;"MGMT Workload Domain",CONCATENATE(prefix_wld_az1_rack_cidr,"66.104"),CONCATENATE(prefix_mgmt_az1_cidr,"66.104"))</f>
        <v>10.13.66.104</v>
      </c>
      <c r="D389" s="347"/>
      <c r="E389" s="100" t="s">
        <v>480</v>
      </c>
    </row>
    <row r="390" spans="2:5" ht="20.100000000000001" customHeight="1" x14ac:dyDescent="0.25">
      <c r="B390" s="17" t="s">
        <v>690</v>
      </c>
      <c r="C390" s="126" t="str">
        <f>IF(cluster_wld_domain_chosen&lt;&gt;"MGMT Workload Domain",CONCATENATE(prefix_wld_az1_rack_cidr,"66.105"),CONCATENATE(prefix_mgmt_az1_cidr,"66.105"))</f>
        <v>10.13.66.105</v>
      </c>
      <c r="D390" s="347"/>
      <c r="E390" s="100" t="s">
        <v>481</v>
      </c>
    </row>
    <row r="391" spans="2:5" ht="20.100000000000001" customHeight="1" x14ac:dyDescent="0.25">
      <c r="B391" s="17" t="s">
        <v>691</v>
      </c>
      <c r="C391" s="126" t="str">
        <f>IF(cluster_wld_domain_chosen&lt;&gt;"MGMT Workload Domain",CONCATENATE(prefix_wld_az1_rack_cidr,"66.106"),CONCATENATE(prefix_mgmt_az1_cidr,"66.106"))</f>
        <v>10.13.66.106</v>
      </c>
      <c r="D391" s="347"/>
      <c r="E391" s="100" t="s">
        <v>482</v>
      </c>
    </row>
    <row r="392" spans="2:5" ht="20.100000000000001" customHeight="1" x14ac:dyDescent="0.25">
      <c r="B392" s="17" t="s">
        <v>692</v>
      </c>
      <c r="C392" s="126" t="str">
        <f>IF(cluster_wld_domain_chosen&lt;&gt;"MGMT Workload Domain",CONCATENATE(prefix_wld_az1_rack_cidr,"66.107"),CONCATENATE(prefix_mgmt_az1_cidr,"66.107"))</f>
        <v>10.13.66.107</v>
      </c>
      <c r="D392" s="347"/>
      <c r="E392" s="100" t="s">
        <v>483</v>
      </c>
    </row>
    <row r="393" spans="2:5" ht="20.100000000000001" customHeight="1" x14ac:dyDescent="0.25">
      <c r="B393" s="17" t="s">
        <v>693</v>
      </c>
      <c r="C393" s="126" t="str">
        <f>IF(cluster_wld_domain_chosen&lt;&gt;"MGMT Workload Domain",CONCATENATE(prefix_wld_az1_rack_cidr,"66.108"),CONCATENATE(prefix_mgmt_az1_cidr,"66.108"))</f>
        <v>10.13.66.108</v>
      </c>
      <c r="D393" s="347"/>
      <c r="E393" s="100" t="s">
        <v>484</v>
      </c>
    </row>
    <row r="394" spans="2:5" ht="20.100000000000001" customHeight="1" x14ac:dyDescent="0.25">
      <c r="B394" s="17" t="s">
        <v>694</v>
      </c>
      <c r="C394" s="126" t="str">
        <f>IF(cluster_wld_domain_chosen&lt;&gt;"MGMT Workload Domain",CONCATENATE(prefix_wld_az1_rack_cidr,"66.109"),CONCATENATE(prefix_mgmt_az1_cidr,"66.109"))</f>
        <v>10.13.66.109</v>
      </c>
      <c r="D394" s="347"/>
      <c r="E394" s="100" t="s">
        <v>485</v>
      </c>
    </row>
    <row r="395" spans="2:5" ht="20.100000000000001" customHeight="1" x14ac:dyDescent="0.25">
      <c r="B395" s="17" t="s">
        <v>695</v>
      </c>
      <c r="C395" s="126" t="str">
        <f>IF(cluster_wld_domain_chosen&lt;&gt;"MGMT Workload Domain",CONCATENATE(prefix_wld_az1_rack_cidr,"66.110"),CONCATENATE(prefix_mgmt_az1_cidr,"66.110"))</f>
        <v>10.13.66.110</v>
      </c>
      <c r="D395" s="347"/>
      <c r="E395" s="100" t="s">
        <v>486</v>
      </c>
    </row>
    <row r="396" spans="2:5" ht="20.100000000000001" customHeight="1" x14ac:dyDescent="0.25">
      <c r="B396" s="17" t="s">
        <v>696</v>
      </c>
      <c r="C396" s="126" t="str">
        <f>IF(cluster_wld_domain_chosen&lt;&gt;"MGMT Workload Domain",CONCATENATE(prefix_wld_az1_rack_cidr,"66.111"),CONCATENATE(prefix_mgmt_az1_cidr,"66.111"))</f>
        <v>10.13.66.111</v>
      </c>
      <c r="D396" s="347"/>
      <c r="E396" s="100" t="s">
        <v>487</v>
      </c>
    </row>
    <row r="397" spans="2:5" ht="20.100000000000001" customHeight="1" x14ac:dyDescent="0.25">
      <c r="B397" s="17" t="s">
        <v>697</v>
      </c>
      <c r="C397" s="126" t="str">
        <f>IF(cluster_wld_domain_chosen&lt;&gt;"MGMT Workload Domain",CONCATENATE(prefix_wld_az1_rack_cidr,"66.112"),CONCATENATE(prefix_mgmt_az1_cidr,"66.112"))</f>
        <v>10.13.66.112</v>
      </c>
      <c r="D397" s="347"/>
      <c r="E397" s="100" t="s">
        <v>488</v>
      </c>
    </row>
    <row r="398" spans="2:5" ht="20.100000000000001" customHeight="1" x14ac:dyDescent="0.25">
      <c r="B398" s="17" t="s">
        <v>698</v>
      </c>
      <c r="C398" s="126" t="str">
        <f>IF(cluster_wld_domain_chosen&lt;&gt;"MGMT Workload Domain",CONCATENATE(prefix_wld_az1_rack_cidr,"66.113"),CONCATENATE(prefix_mgmt_az1_cidr,"66.113"))</f>
        <v>10.13.66.113</v>
      </c>
      <c r="D398" s="347"/>
      <c r="E398" s="100" t="s">
        <v>489</v>
      </c>
    </row>
    <row r="399" spans="2:5" ht="20.100000000000001" customHeight="1" x14ac:dyDescent="0.25">
      <c r="B399" s="17" t="s">
        <v>699</v>
      </c>
      <c r="C399" s="126" t="str">
        <f>IF(cluster_wld_domain_chosen&lt;&gt;"MGMT Workload Domain",CONCATENATE(prefix_wld_az1_rack_cidr,"66.114"),CONCATENATE(prefix_mgmt_az1_cidr,"66.114"))</f>
        <v>10.13.66.114</v>
      </c>
      <c r="D399" s="347"/>
      <c r="E399" s="100" t="s">
        <v>490</v>
      </c>
    </row>
    <row r="400" spans="2:5" ht="20.100000000000001" customHeight="1" x14ac:dyDescent="0.25">
      <c r="B400" s="17" t="s">
        <v>700</v>
      </c>
      <c r="C400" s="126" t="str">
        <f>IF(cluster_wld_domain_chosen&lt;&gt;"MGMT Workload Domain",CONCATENATE(prefix_wld_az1_rack_cidr,"66.115"),CONCATENATE(prefix_mgmt_az1_cidr,"66.115"))</f>
        <v>10.13.66.115</v>
      </c>
      <c r="D400" s="347"/>
      <c r="E400" s="100" t="s">
        <v>491</v>
      </c>
    </row>
    <row r="401" spans="2:5" ht="20.100000000000001" customHeight="1" x14ac:dyDescent="0.25">
      <c r="B401" s="17" t="s">
        <v>701</v>
      </c>
      <c r="C401" s="126" t="str">
        <f>IF(cluster_wld_domain_chosen&lt;&gt;"MGMT Workload Domain",CONCATENATE(prefix_wld_az1_rack_cidr,"66.116"),CONCATENATE(prefix_mgmt_az1_cidr,"66.116"))</f>
        <v>10.13.66.116</v>
      </c>
      <c r="D401" s="347"/>
      <c r="E401" s="100" t="s">
        <v>492</v>
      </c>
    </row>
    <row r="402" spans="2:5" ht="15.95" customHeight="1" x14ac:dyDescent="0.25">
      <c r="B402" s="8"/>
      <c r="C402" s="8"/>
      <c r="D402" s="8"/>
      <c r="E402" s="8"/>
    </row>
    <row r="403" spans="2:5" ht="33.950000000000003" customHeight="1" x14ac:dyDescent="0.25">
      <c r="B403" s="505" t="s">
        <v>3305</v>
      </c>
      <c r="C403" s="506"/>
      <c r="D403" s="506"/>
      <c r="E403" s="507"/>
    </row>
    <row r="404" spans="2:5" ht="20.100000000000001" customHeight="1" x14ac:dyDescent="0.25">
      <c r="B404" s="43" t="s">
        <v>259</v>
      </c>
      <c r="C404" s="43" t="s">
        <v>711</v>
      </c>
      <c r="D404" s="130" t="s">
        <v>277</v>
      </c>
      <c r="E404" s="43" t="s">
        <v>457</v>
      </c>
    </row>
    <row r="405" spans="2:5" ht="20.100000000000001" customHeight="1" x14ac:dyDescent="0.25">
      <c r="B405" s="4" t="s">
        <v>3273</v>
      </c>
      <c r="C405" s="362" t="s">
        <v>704</v>
      </c>
      <c r="D405" s="127" t="s">
        <v>704</v>
      </c>
      <c r="E405" s="4" t="str">
        <f>IF(wld_az1_rack6_reuse_vcf_networkpool_chosen="Re-use an existing  VCF Network Pool","An exisiting VCF Network Pool will be reused for Host TEP assignment","A new VCF Network Pool will be created")</f>
        <v>A new VCF Network Pool will be created</v>
      </c>
    </row>
    <row r="406" spans="2:5" ht="20.100000000000001" customHeight="1" x14ac:dyDescent="0.25">
      <c r="B406" s="17" t="s">
        <v>705</v>
      </c>
      <c r="C406" s="89" t="str">
        <f>IF(cluster_wld_domain_chosen="VI Workload Domain",CONCATENATE(this_instance,"01-w0",wld_domain_number_chosen,"-r06-network-pool-01"),CONCATENATE(this_instance,"01-m01","-r06-network-pool-01"))</f>
        <v>sfo01-w01-r06-network-pool-01</v>
      </c>
      <c r="D406" s="347"/>
      <c r="E406" s="32"/>
    </row>
    <row r="407" spans="2:5" ht="20.100000000000001" customHeight="1" x14ac:dyDescent="0.25">
      <c r="B407" s="405" t="s">
        <v>404</v>
      </c>
      <c r="C407" s="406"/>
      <c r="D407" s="406"/>
      <c r="E407" s="407"/>
    </row>
    <row r="408" spans="2:5" ht="20.100000000000001" customHeight="1" x14ac:dyDescent="0.25">
      <c r="B408" s="4" t="s">
        <v>398</v>
      </c>
      <c r="C408" s="362" t="str">
        <f>IF(cluster_wld_domain_chosen&lt;&gt;"MGMT Workload Domain",CONCATENATE(prefix_wld_az1_rack_vlan,"67"),CONCATENATE(prefix_mgmt_az1_vlan,"67"))</f>
        <v>1367</v>
      </c>
      <c r="D408" s="347"/>
      <c r="E408" s="93"/>
    </row>
    <row r="409" spans="2:5" ht="20.100000000000001" customHeight="1" x14ac:dyDescent="0.25">
      <c r="B409" s="4" t="s">
        <v>401</v>
      </c>
      <c r="C409" s="362">
        <v>9000</v>
      </c>
      <c r="D409" s="347"/>
      <c r="E409" s="32"/>
    </row>
    <row r="410" spans="2:5" ht="20.100000000000001" customHeight="1" x14ac:dyDescent="0.25">
      <c r="B410" s="4" t="s">
        <v>400</v>
      </c>
      <c r="C410" s="126" t="str">
        <f>IF(cluster_wld_domain_chosen&lt;&gt;"MGMT Workload Domain",CONCATENATE(prefix_wld_az1_rack_cidr,"67.0"),CONCATENATE(prefix_mgmt_az1_cidr,"67.0"))</f>
        <v>10.13.67.0</v>
      </c>
      <c r="D410" s="347"/>
      <c r="E410" s="32"/>
    </row>
    <row r="411" spans="2:5" ht="20.100000000000001" customHeight="1" x14ac:dyDescent="0.25">
      <c r="B411" s="4" t="s">
        <v>732</v>
      </c>
      <c r="C411" s="126" t="s">
        <v>612</v>
      </c>
      <c r="D411" s="347"/>
      <c r="E411" s="32"/>
    </row>
    <row r="412" spans="2:5" ht="20.100000000000001" customHeight="1" x14ac:dyDescent="0.25">
      <c r="B412" s="4" t="s">
        <v>399</v>
      </c>
      <c r="C412" s="362" t="str">
        <f>IF(cluster_wld_domain_chosen&lt;&gt;"MGMT Workload Domain",CONCATENATE(prefix_wld_az1_rack_cidr,"67.1"),CONCATENATE(prefix_mgmt_az1_cidr,"67.1"))</f>
        <v>10.13.67.1</v>
      </c>
      <c r="D412" s="347"/>
      <c r="E412" s="32"/>
    </row>
    <row r="413" spans="2:5" ht="20.100000000000001" customHeight="1" x14ac:dyDescent="0.25">
      <c r="B413" s="17" t="s">
        <v>460</v>
      </c>
      <c r="C413" s="362" t="str">
        <f>IF(cluster_wld_domain_chosen&lt;&gt;"MGMT Workload Domain",CONCATENATE(prefix_wld_az1_rack_cidr,"67.101"),CONCATENATE(prefix_mgmt_az1_cidr,"67.101"))</f>
        <v>10.13.67.101</v>
      </c>
      <c r="D413" s="347"/>
      <c r="E413" s="100" t="s">
        <v>3274</v>
      </c>
    </row>
    <row r="414" spans="2:5" ht="20.100000000000001" customHeight="1" x14ac:dyDescent="0.25">
      <c r="B414" s="17" t="s">
        <v>461</v>
      </c>
      <c r="C414" s="362" t="str">
        <f>IF(cluster_wld_domain_chosen&lt;&gt;"MGMT Workload Domain",CONCATENATE(prefix_wld_az1_rack_cidr,"67.116"),CONCATENATE(prefix_mgmt_az1_cidr,"67.116"))</f>
        <v>10.13.67.116</v>
      </c>
      <c r="D414" s="347"/>
      <c r="E414" s="100" t="s">
        <v>3275</v>
      </c>
    </row>
    <row r="415" spans="2:5" ht="20.100000000000001" customHeight="1" x14ac:dyDescent="0.25">
      <c r="B415" s="405" t="s">
        <v>407</v>
      </c>
      <c r="C415" s="406"/>
      <c r="D415" s="406"/>
      <c r="E415" s="407"/>
    </row>
    <row r="416" spans="2:5" ht="20.100000000000001" customHeight="1" x14ac:dyDescent="0.25">
      <c r="B416" s="4" t="s">
        <v>398</v>
      </c>
      <c r="C416" s="362" t="str">
        <f>IF(cluster_wld_domain_chosen&lt;&gt;"MGMT Workload Domain",CONCATENATE(prefix_wld_az1_rack_vlan,"68"),CONCATENATE(prefix_mgmt_az1_vlan,"68"))</f>
        <v>1368</v>
      </c>
      <c r="D416" s="347"/>
      <c r="E416" s="32"/>
    </row>
    <row r="417" spans="2:5" ht="20.100000000000001" customHeight="1" x14ac:dyDescent="0.25">
      <c r="B417" s="4" t="s">
        <v>401</v>
      </c>
      <c r="C417" s="362">
        <v>9000</v>
      </c>
      <c r="D417" s="347"/>
      <c r="E417" s="32"/>
    </row>
    <row r="418" spans="2:5" ht="20.100000000000001" customHeight="1" x14ac:dyDescent="0.25">
      <c r="B418" s="4" t="s">
        <v>400</v>
      </c>
      <c r="C418" s="126" t="str">
        <f>IF(cluster_wld_domain_chosen&lt;&gt;"MGMT Workload Domain",CONCATENATE(prefix_wld_az1_rack_cidr,"68.0"),CONCATENATE(prefix_mgmt_az1_cidr,"68.0"))</f>
        <v>10.13.68.0</v>
      </c>
      <c r="D418" s="347"/>
      <c r="E418" s="56"/>
    </row>
    <row r="419" spans="2:5" ht="20.100000000000001" customHeight="1" x14ac:dyDescent="0.25">
      <c r="B419" s="4" t="s">
        <v>732</v>
      </c>
      <c r="C419" s="126" t="s">
        <v>612</v>
      </c>
      <c r="D419" s="347"/>
      <c r="E419" s="32"/>
    </row>
    <row r="420" spans="2:5" ht="20.100000000000001" customHeight="1" x14ac:dyDescent="0.25">
      <c r="B420" s="4" t="s">
        <v>399</v>
      </c>
      <c r="C420" s="362" t="str">
        <f>IF(cluster_wld_domain_chosen&lt;&gt;"MGMT Workload Domain",CONCATENATE(prefix_wld_az1_rack_cidr,"68.1"),CONCATENATE(prefix_mgmt_az1_cidr,"68.1"))</f>
        <v>10.13.68.1</v>
      </c>
      <c r="D420" s="347"/>
      <c r="E420" s="32" t="str">
        <f>IF(AND(mgmt_stretched_cluster_result="Included",mgmt_dpg_reuse_result="Excluded"),"Stretched L2","")</f>
        <v/>
      </c>
    </row>
    <row r="421" spans="2:5" ht="20.100000000000001" customHeight="1" x14ac:dyDescent="0.25">
      <c r="B421" s="17" t="s">
        <v>460</v>
      </c>
      <c r="C421" s="362" t="str">
        <f>IF(cluster_wld_domain_chosen&lt;&gt;"MGMT Workload Domain",CONCATENATE(prefix_wld_az1_rack_cidr,"68.101"),CONCATENATE(prefix_mgmt_az1_cidr,"68.101"))</f>
        <v>10.13.68.101</v>
      </c>
      <c r="D421" s="347"/>
      <c r="E421" s="100" t="s">
        <v>3276</v>
      </c>
    </row>
    <row r="422" spans="2:5" ht="20.100000000000001" customHeight="1" x14ac:dyDescent="0.25">
      <c r="B422" s="17" t="s">
        <v>461</v>
      </c>
      <c r="C422" s="362" t="str">
        <f>IF(cluster_wld_domain_chosen&lt;&gt;"MGMT Workload Domain",CONCATENATE(prefix_wld_az1_rack_cidr,"68.116"),CONCATENATE(prefix_mgmt_az1_cidr,"68.116"))</f>
        <v>10.13.68.116</v>
      </c>
      <c r="D422" s="347"/>
      <c r="E422" s="100" t="s">
        <v>3277</v>
      </c>
    </row>
    <row r="423" spans="2:5" ht="15.95" customHeight="1" x14ac:dyDescent="0.25">
      <c r="B423" s="8"/>
      <c r="C423" s="8"/>
      <c r="D423" s="8"/>
      <c r="E423" s="8"/>
    </row>
    <row r="424" spans="2:5" ht="33.950000000000003" customHeight="1" x14ac:dyDescent="0.25">
      <c r="B424" s="505" t="s">
        <v>3306</v>
      </c>
      <c r="C424" s="506"/>
      <c r="D424" s="506"/>
      <c r="E424" s="507"/>
    </row>
    <row r="425" spans="2:5" ht="20.100000000000001" customHeight="1" x14ac:dyDescent="0.25">
      <c r="B425" s="43" t="s">
        <v>259</v>
      </c>
      <c r="C425" s="43" t="s">
        <v>711</v>
      </c>
      <c r="D425" s="130" t="s">
        <v>277</v>
      </c>
      <c r="E425" s="43" t="s">
        <v>457</v>
      </c>
    </row>
    <row r="426" spans="2:5" ht="20.100000000000001" customHeight="1" x14ac:dyDescent="0.25">
      <c r="B426" s="17" t="s">
        <v>686</v>
      </c>
      <c r="C426" s="126" t="str">
        <f>IF(cluster_wld_domain_chosen&lt;&gt;"MGMT Workload Domain",CONCATENATE(this_instance,"01-w0",wld_domain_number_chosen,"-r06-esx01",".",sample_child_dns_zone),CONCATENATE(this_instance,"01-m01-r06-esx01",".",sample_child_dns_zone))</f>
        <v>sfo01-w01-r06-esx01.sfo.rainpole.io</v>
      </c>
      <c r="D426" s="347"/>
      <c r="E426" s="32"/>
    </row>
    <row r="427" spans="2:5" ht="20.100000000000001" customHeight="1" x14ac:dyDescent="0.25">
      <c r="B427" s="17" t="s">
        <v>687</v>
      </c>
      <c r="C427" s="126" t="str">
        <f>IF(cluster_wld_domain_chosen&lt;&gt;"MGMT Workload Domain",CONCATENATE(this_instance,"01-w0",wld_domain_number_chosen,"-r06-esx02",".",sample_child_dns_zone),CONCATENATE(this_instance,"01-m01-r06-esx02",".",sample_child_dns_zone))</f>
        <v>sfo01-w01-r06-esx02.sfo.rainpole.io</v>
      </c>
      <c r="D427" s="347"/>
      <c r="E427" s="32"/>
    </row>
    <row r="428" spans="2:5" ht="20.100000000000001" customHeight="1" x14ac:dyDescent="0.25">
      <c r="B428" s="17" t="s">
        <v>688</v>
      </c>
      <c r="C428" s="126" t="str">
        <f>IF(cluster_wld_domain_chosen&lt;&gt;"MGMT Workload Domain",CONCATENATE(this_instance,"01-w0",wld_domain_number_chosen,"-r06-esx03",".",sample_child_dns_zone),CONCATENATE(this_instance,"01-m01-r06-esx03",".",sample_child_dns_zone))</f>
        <v>sfo01-w01-r06-esx03.sfo.rainpole.io</v>
      </c>
      <c r="D428" s="347"/>
      <c r="E428" s="32"/>
    </row>
    <row r="429" spans="2:5" ht="20.100000000000001" customHeight="1" x14ac:dyDescent="0.25">
      <c r="B429" s="17" t="s">
        <v>689</v>
      </c>
      <c r="C429" s="126" t="str">
        <f>IF(cluster_wld_domain_chosen&lt;&gt;"MGMT Workload Domain",CONCATENATE(this_instance,"01-w0",wld_domain_number_chosen,"-r06-esx04",".",sample_child_dns_zone),CONCATENATE(this_instance,"01-m01-r06-esx04",".",sample_child_dns_zone))</f>
        <v>sfo01-w01-r06-esx04.sfo.rainpole.io</v>
      </c>
      <c r="D429" s="347"/>
      <c r="E429" s="32"/>
    </row>
    <row r="430" spans="2:5" ht="20.100000000000001" customHeight="1" x14ac:dyDescent="0.25">
      <c r="B430" s="17" t="s">
        <v>690</v>
      </c>
      <c r="C430" s="126" t="str">
        <f>IF(cluster_wld_domain_chosen&lt;&gt;"MGMT Workload Domain",CONCATENATE(this_instance,"01-w0",wld_domain_number_chosen,"-r06-esx05",".",sample_child_dns_zone),CONCATENATE(this_instance,"01-m01-r06-esx05",".",sample_child_dns_zone))</f>
        <v>sfo01-w01-r06-esx05.sfo.rainpole.io</v>
      </c>
      <c r="D430" s="347"/>
      <c r="E430" s="32"/>
    </row>
    <row r="431" spans="2:5" ht="20.100000000000001" customHeight="1" x14ac:dyDescent="0.25">
      <c r="B431" s="17" t="s">
        <v>691</v>
      </c>
      <c r="C431" s="126" t="str">
        <f>IF(cluster_wld_domain_chosen&lt;&gt;"MGMT Workload Domain",CONCATENATE(this_instance,"01-w0",wld_domain_number_chosen,"-r06-esx06",".",sample_child_dns_zone),CONCATENATE(this_instance,"01-m01-r06-esx06",".",sample_child_dns_zone))</f>
        <v>sfo01-w01-r06-esx06.sfo.rainpole.io</v>
      </c>
      <c r="D431" s="347"/>
      <c r="E431" s="32"/>
    </row>
    <row r="432" spans="2:5" ht="20.100000000000001" customHeight="1" x14ac:dyDescent="0.25">
      <c r="B432" s="17" t="s">
        <v>692</v>
      </c>
      <c r="C432" s="126" t="str">
        <f>IF(cluster_wld_domain_chosen&lt;&gt;"MGMT Workload Domain",CONCATENATE(this_instance,"01-w0",wld_domain_number_chosen,"-r06-esx07",".",sample_child_dns_zone),CONCATENATE(this_instance,"01-m01-r06-esx07",".",sample_child_dns_zone))</f>
        <v>sfo01-w01-r06-esx07.sfo.rainpole.io</v>
      </c>
      <c r="D432" s="347"/>
      <c r="E432" s="32"/>
    </row>
    <row r="433" spans="2:5" ht="20.100000000000001" customHeight="1" x14ac:dyDescent="0.25">
      <c r="B433" s="17" t="s">
        <v>693</v>
      </c>
      <c r="C433" s="126" t="str">
        <f>IF(cluster_wld_domain_chosen&lt;&gt;"MGMT Workload Domain",CONCATENATE(this_instance,"01-w0",wld_domain_number_chosen,"-r06-esx08",".",sample_child_dns_zone),CONCATENATE(this_instance,"01-m01-r06-esx08",".",sample_child_dns_zone))</f>
        <v>sfo01-w01-r06-esx08.sfo.rainpole.io</v>
      </c>
      <c r="D433" s="347"/>
      <c r="E433" s="32"/>
    </row>
    <row r="434" spans="2:5" ht="20.100000000000001" customHeight="1" x14ac:dyDescent="0.25">
      <c r="B434" s="17" t="s">
        <v>694</v>
      </c>
      <c r="C434" s="126" t="str">
        <f>IF(cluster_wld_domain_chosen&lt;&gt;"MGMT Workload Domain",CONCATENATE(this_instance,"01-w0",wld_domain_number_chosen,"-r06-esx09",".",sample_child_dns_zone),CONCATENATE(this_instance,"01-m01-r06-esx09",".",sample_child_dns_zone))</f>
        <v>sfo01-w01-r06-esx09.sfo.rainpole.io</v>
      </c>
      <c r="D434" s="347"/>
      <c r="E434" s="32"/>
    </row>
    <row r="435" spans="2:5" ht="20.100000000000001" customHeight="1" x14ac:dyDescent="0.25">
      <c r="B435" s="17" t="s">
        <v>695</v>
      </c>
      <c r="C435" s="126" t="str">
        <f>IF(cluster_wld_domain_chosen&lt;&gt;"MGMT Workload Domain",CONCATENATE(this_instance,"01-w0",wld_domain_number_chosen,"-r06-esx10",".",sample_child_dns_zone),CONCATENATE(this_instance,"01-m01-r06-esx10",".",sample_child_dns_zone))</f>
        <v>sfo01-w01-r06-esx10.sfo.rainpole.io</v>
      </c>
      <c r="D435" s="347"/>
      <c r="E435" s="32"/>
    </row>
    <row r="436" spans="2:5" ht="20.100000000000001" customHeight="1" x14ac:dyDescent="0.25">
      <c r="B436" s="17" t="s">
        <v>696</v>
      </c>
      <c r="C436" s="126" t="str">
        <f>IF(cluster_wld_domain_chosen&lt;&gt;"MGMT Workload Domain",CONCATENATE(this_instance,"01-w0",wld_domain_number_chosen,"-r06-esx11",".",sample_child_dns_zone),CONCATENATE(this_instance,"01-m01-r06-esx11",".",sample_child_dns_zone))</f>
        <v>sfo01-w01-r06-esx11.sfo.rainpole.io</v>
      </c>
      <c r="D436" s="347"/>
      <c r="E436" s="32"/>
    </row>
    <row r="437" spans="2:5" ht="20.100000000000001" customHeight="1" x14ac:dyDescent="0.25">
      <c r="B437" s="17" t="s">
        <v>697</v>
      </c>
      <c r="C437" s="126" t="str">
        <f>IF(cluster_wld_domain_chosen&lt;&gt;"MGMT Workload Domain",CONCATENATE(this_instance,"01-w0",wld_domain_number_chosen,"-r06-esx12",".",sample_child_dns_zone),CONCATENATE(this_instance,"01-m01-r06-esx12",".",sample_child_dns_zone))</f>
        <v>sfo01-w01-r06-esx12.sfo.rainpole.io</v>
      </c>
      <c r="D437" s="347"/>
      <c r="E437" s="32"/>
    </row>
    <row r="438" spans="2:5" ht="20.100000000000001" customHeight="1" x14ac:dyDescent="0.25">
      <c r="B438" s="17" t="s">
        <v>698</v>
      </c>
      <c r="C438" s="126" t="str">
        <f>IF(cluster_wld_domain_chosen&lt;&gt;"MGMT Workload Domain",CONCATENATE(this_instance,"01-w0",wld_domain_number_chosen,"-r06-esx13",".",sample_child_dns_zone),CONCATENATE(this_instance,"01-m01-r06-esx13",".",sample_child_dns_zone))</f>
        <v>sfo01-w01-r06-esx13.sfo.rainpole.io</v>
      </c>
      <c r="D438" s="347"/>
      <c r="E438" s="32"/>
    </row>
    <row r="439" spans="2:5" ht="20.100000000000001" customHeight="1" x14ac:dyDescent="0.25">
      <c r="B439" s="17" t="s">
        <v>699</v>
      </c>
      <c r="C439" s="126" t="str">
        <f>IF(cluster_wld_domain_chosen&lt;&gt;"MGMT Workload Domain",CONCATENATE(this_instance,"01-w0",wld_domain_number_chosen,"-r06-esx14",".",sample_child_dns_zone),CONCATENATE(this_instance,"01-m01-r06-esx14",".",sample_child_dns_zone))</f>
        <v>sfo01-w01-r06-esx14.sfo.rainpole.io</v>
      </c>
      <c r="D439" s="347"/>
      <c r="E439" s="32"/>
    </row>
    <row r="440" spans="2:5" ht="20.100000000000001" customHeight="1" x14ac:dyDescent="0.25">
      <c r="B440" s="17" t="s">
        <v>700</v>
      </c>
      <c r="C440" s="126" t="str">
        <f>IF(cluster_wld_domain_chosen&lt;&gt;"MGMT Workload Domain",CONCATENATE(this_instance,"01-w0",wld_domain_number_chosen,"-r06-esx14",".",sample_child_dns_zone),CONCATENATE(this_instance,"01-m01-r06-esx15",".",sample_child_dns_zone))</f>
        <v>sfo01-w01-r06-esx14.sfo.rainpole.io</v>
      </c>
      <c r="D440" s="347"/>
      <c r="E440" s="32"/>
    </row>
    <row r="441" spans="2:5" ht="20.100000000000001" customHeight="1" x14ac:dyDescent="0.25">
      <c r="B441" s="17" t="s">
        <v>701</v>
      </c>
      <c r="C441" s="126" t="str">
        <f>IF(cluster_wld_domain_chosen&lt;&gt;"MGMT Workload Domain",CONCATENATE(this_instance,"01-w0",wld_domain_number_chosen,"-r06-esx16",".",sample_child_dns_zone),CONCATENATE(this_instance,"01-m01-r06-esx16",".",sample_child_dns_zone))</f>
        <v>sfo01-w01-r06-esx16.sfo.rainpole.io</v>
      </c>
      <c r="D441" s="347"/>
      <c r="E441" s="32"/>
    </row>
    <row r="442" spans="2:5" ht="20.100000000000001" customHeight="1" x14ac:dyDescent="0.25">
      <c r="B442" s="17" t="s">
        <v>712</v>
      </c>
      <c r="C442" s="126" t="s">
        <v>368</v>
      </c>
      <c r="D442" s="337" t="s">
        <v>713</v>
      </c>
      <c r="E442" s="32"/>
    </row>
    <row r="443" spans="2:5" ht="20.100000000000001" customHeight="1" x14ac:dyDescent="0.25">
      <c r="B443" s="17" t="s">
        <v>714</v>
      </c>
      <c r="C443" s="126" t="s">
        <v>715</v>
      </c>
      <c r="D443"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100000000000001" customHeight="1" x14ac:dyDescent="0.25">
      <c r="B444" s="17" t="s">
        <v>716</v>
      </c>
      <c r="C444" s="126" t="s">
        <v>323</v>
      </c>
      <c r="D444" s="337" t="str">
        <f>IF(AND(vcf_granular_option_chosen="Create Cluster",cluster_principal_storage_chosen="vSAN-ESA"),"Selected",
IF(AND(vcf_granular_option_chosen="Create VI Workload Domain",wld_principal_storage_chosen="vSAN-ESA"),"Selected","Unselected"))</f>
        <v>Unselected</v>
      </c>
      <c r="E444" s="32"/>
    </row>
    <row r="445" spans="2:5" ht="20.100000000000001" customHeight="1" x14ac:dyDescent="0.25">
      <c r="B445" s="17" t="s">
        <v>705</v>
      </c>
      <c r="C445" s="126" t="str">
        <f>sample_wld_az1_rack6_pool_name</f>
        <v>sfo01-w01-r06-network-pool-01</v>
      </c>
      <c r="D445" s="337" t="str">
        <f>wld_az1_rack6_pool_name</f>
        <v>Value Missing</v>
      </c>
      <c r="E445" s="32"/>
    </row>
    <row r="446" spans="2:5" ht="20.100000000000001" customHeight="1" x14ac:dyDescent="0.25">
      <c r="B446" s="17" t="s">
        <v>535</v>
      </c>
      <c r="C446" s="126" t="s">
        <v>717</v>
      </c>
      <c r="D446"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32"/>
    </row>
    <row r="447" spans="2:5" ht="20.100000000000001" customHeight="1" x14ac:dyDescent="0.25">
      <c r="B447" s="17" t="s">
        <v>296</v>
      </c>
      <c r="C447" s="126" t="s">
        <v>379</v>
      </c>
      <c r="D447"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32"/>
    </row>
    <row r="448" spans="2:5" ht="15.95" customHeight="1" x14ac:dyDescent="0.25"/>
    <row r="449" spans="2:5" ht="33.950000000000003" customHeight="1" x14ac:dyDescent="0.25">
      <c r="B449" s="505" t="s">
        <v>3307</v>
      </c>
      <c r="C449" s="506"/>
      <c r="D449" s="506"/>
      <c r="E449" s="507"/>
    </row>
    <row r="450" spans="2:5" ht="20.100000000000001" customHeight="1" x14ac:dyDescent="0.25">
      <c r="B450" s="4" t="s">
        <v>784</v>
      </c>
      <c r="C450" s="89"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sfo01-sfo-w01-cl01-r06-network-profile</v>
      </c>
      <c r="D450" s="347"/>
      <c r="E450" s="80"/>
    </row>
    <row r="451" spans="2:5" ht="20.100000000000001" customHeight="1" x14ac:dyDescent="0.25">
      <c r="B451" s="4" t="s">
        <v>3280</v>
      </c>
      <c r="C451" s="362" t="s">
        <v>786</v>
      </c>
      <c r="D451" s="127" t="s">
        <v>786</v>
      </c>
      <c r="E451" s="4" t="str">
        <f>IF(wld_az1_rack6_host_overlay_new_pool_chosen="Re-use an existing Pool","An exisitng Pool will be reused for Host TEP assignment","A new Pool will be created for Host TEP assignment")</f>
        <v>A new Pool will be created for Host TEP assignment</v>
      </c>
    </row>
    <row r="452" spans="2:5" ht="20.100000000000001" customHeight="1" x14ac:dyDescent="0.25">
      <c r="B452" s="4" t="s">
        <v>787</v>
      </c>
      <c r="C452" s="89" t="str">
        <f>IF(cluster_wld_domain_chosen="VI Workload Domain",CONCATENATE(this_instance,"01-w0",wld_domain_number_chosen,"-r06-ip-pool01-host"),CONCATENATE(this_instance,"01-m01","-r06-ip-pool01-host"))</f>
        <v>sfo01-w01-r06-ip-pool01-host</v>
      </c>
      <c r="D452" s="347"/>
      <c r="E452" s="80"/>
    </row>
    <row r="453" spans="2:5" ht="20.100000000000001" customHeight="1" x14ac:dyDescent="0.25">
      <c r="B453" s="4" t="s">
        <v>788</v>
      </c>
      <c r="C453" s="89" t="str">
        <f>IF(cluster_wld_domain_chosen="VI Workload Domain",CONCATENATE(this_instance,"01-w0",wld_domain_number_chosen,"-r06-uplink-profile01"),CONCATENATE(this_instance,"01-m01","-r06-uplink-profile01"))</f>
        <v>sfo01-w01-r06-uplink-profile01</v>
      </c>
      <c r="D453" s="347"/>
      <c r="E453" s="80"/>
    </row>
    <row r="454" spans="2:5" ht="20.100000000000001" customHeight="1" x14ac:dyDescent="0.25">
      <c r="B454" s="4" t="s">
        <v>3281</v>
      </c>
      <c r="C454" s="89" t="str">
        <f>IF(cluster_wld_domain_chosen="VI Workload Domain",CONCATENATE(this_instance,"01-w0",wld_domain_number_chosen,"-r06-ip-pool02-edge"),CONCATENATE(this_instance,"01-m01","-r06-ip-pool02-edge"))</f>
        <v>sfo01-w01-r06-ip-pool02-edge</v>
      </c>
      <c r="D454" s="347"/>
      <c r="E454" s="80"/>
    </row>
    <row r="455" spans="2:5" ht="20.100000000000001" customHeight="1" x14ac:dyDescent="0.25">
      <c r="B455" s="4" t="s">
        <v>3282</v>
      </c>
      <c r="C455" s="89" t="str">
        <f>IF(cluster_wld_domain_chosen="VI Workload Domain",CONCATENATE(this_instance,"01-w0",wld_domain_number_chosen,"-r06-ip-pool03-rtep"),CONCATENATE(this_instance,"01-m01","-r06-ip-pool03-rtep"))</f>
        <v>sfo01-w01-r06-ip-pool03-rtep</v>
      </c>
      <c r="D455" s="347"/>
      <c r="E455" s="80"/>
    </row>
    <row r="456" spans="2:5" ht="20.100000000000001" customHeight="1" x14ac:dyDescent="0.25">
      <c r="B456" s="508" t="s">
        <v>365</v>
      </c>
      <c r="C456" s="509"/>
      <c r="D456" s="509"/>
      <c r="E456" s="510"/>
    </row>
    <row r="457" spans="2:5" ht="20.100000000000001" customHeight="1" x14ac:dyDescent="0.25">
      <c r="B457" s="207" t="s">
        <v>259</v>
      </c>
      <c r="C457" s="207" t="s">
        <v>711</v>
      </c>
      <c r="D457" s="239" t="s">
        <v>277</v>
      </c>
      <c r="E457" s="207" t="s">
        <v>5</v>
      </c>
    </row>
    <row r="458" spans="2:5" ht="20.100000000000001" customHeight="1" x14ac:dyDescent="0.25">
      <c r="B458" s="4" t="s">
        <v>1818</v>
      </c>
      <c r="C458" s="80" t="str">
        <f>IF(cluster_wld_domain_chosen&lt;&gt;"MGMT Workload Domain",CONCATENATE(this_instance,"-w0",wld_domain_number_chosen,"-r06","-vsan-fault-domain"),CONCATENATE(this_instance,"-m01","-r06","-vsan-fault-domain"))</f>
        <v>sfo-w01-r06-vsan-fault-domain</v>
      </c>
      <c r="D458" s="347"/>
      <c r="E458" s="337"/>
    </row>
    <row r="459" spans="2:5" ht="15.95" customHeight="1" x14ac:dyDescent="0.25"/>
    <row r="460" spans="2:5" ht="33.950000000000003" customHeight="1" x14ac:dyDescent="0.25">
      <c r="B460" s="505" t="s">
        <v>3308</v>
      </c>
      <c r="C460" s="506"/>
      <c r="D460" s="506"/>
      <c r="E460" s="507"/>
    </row>
    <row r="461" spans="2:5" ht="20.100000000000001" customHeight="1" x14ac:dyDescent="0.25">
      <c r="B461" s="43" t="s">
        <v>259</v>
      </c>
      <c r="C461" s="43" t="s">
        <v>711</v>
      </c>
      <c r="D461" s="130" t="s">
        <v>277</v>
      </c>
      <c r="E461" s="43" t="s">
        <v>5</v>
      </c>
    </row>
    <row r="462" spans="2:5" ht="20.100000000000001" customHeight="1" x14ac:dyDescent="0.25">
      <c r="B462" s="405" t="s">
        <v>467</v>
      </c>
      <c r="C462" s="406"/>
      <c r="D462" s="406"/>
      <c r="E462" s="407"/>
    </row>
    <row r="463" spans="2:5" ht="20.100000000000001" customHeight="1" x14ac:dyDescent="0.25">
      <c r="B463" s="4" t="s">
        <v>398</v>
      </c>
      <c r="C463" s="362" t="str">
        <f>IF(cluster_wld_domain_chosen&lt;&gt;"MGMT Workload Domain",CONCATENATE(prefix_wld_az1_rack_vlan,"69"),CONCATENATE(prefix_mgmt_az1_vlan,"69"))</f>
        <v>1369</v>
      </c>
      <c r="D463" s="347"/>
      <c r="E463" s="93"/>
    </row>
    <row r="464" spans="2:5" ht="20.100000000000001" customHeight="1" x14ac:dyDescent="0.25">
      <c r="B464" s="4" t="s">
        <v>401</v>
      </c>
      <c r="C464" s="362">
        <v>9000</v>
      </c>
      <c r="D464" s="347"/>
      <c r="E464" s="32"/>
    </row>
    <row r="465" spans="2:5" ht="20.100000000000001" customHeight="1" x14ac:dyDescent="0.25">
      <c r="B465" s="4" t="s">
        <v>400</v>
      </c>
      <c r="C465" s="362" t="str">
        <f>IF(cluster_wld_domain_chosen&lt;&gt;"MGMT Workload Domain",CONCATENATE(prefix_wld_az1_rack_cidr,"69.0"),CONCATENATE(prefix_mgmt_az1_cidr,"69.0"))</f>
        <v>10.13.69.0</v>
      </c>
      <c r="D465" s="347"/>
      <c r="E465" s="32"/>
    </row>
    <row r="466" spans="2:5" ht="20.100000000000001" customHeight="1" x14ac:dyDescent="0.25">
      <c r="B466" s="4" t="s">
        <v>732</v>
      </c>
      <c r="C466" s="362" t="s">
        <v>612</v>
      </c>
      <c r="D466" s="347"/>
      <c r="E466" s="32"/>
    </row>
    <row r="467" spans="2:5" ht="20.100000000000001" customHeight="1" x14ac:dyDescent="0.25">
      <c r="B467" s="4" t="s">
        <v>399</v>
      </c>
      <c r="C467" s="362" t="str">
        <f>IF(cluster_wld_domain_chosen&lt;&gt;"MGMT Workload Domain",CONCATENATE(prefix_wld_az1_rack_cidr,"69.1"),CONCATENATE(prefix_mgmt_az1_cidr,"69.1"))</f>
        <v>10.13.69.1</v>
      </c>
      <c r="D467" s="347"/>
      <c r="E467" s="32"/>
    </row>
    <row r="468" spans="2:5" ht="20.100000000000001" customHeight="1" x14ac:dyDescent="0.25">
      <c r="B468" s="17" t="s">
        <v>460</v>
      </c>
      <c r="C468" s="362" t="str">
        <f>IF(cluster_wld_domain_chosen&lt;&gt;"MGMT Workload Domain",CONCATENATE(prefix_wld_az1_rack_cidr,"69.101"),CONCATENATE(prefix_mgmt_az1_cidr,"69.101"))</f>
        <v>10.13.69.101</v>
      </c>
      <c r="D468" s="347"/>
      <c r="E468" s="100" t="s">
        <v>3284</v>
      </c>
    </row>
    <row r="469" spans="2:5" ht="20.100000000000001" customHeight="1" x14ac:dyDescent="0.25">
      <c r="B469" s="17" t="s">
        <v>461</v>
      </c>
      <c r="C469" s="362" t="str">
        <f>IF(cluster_wld_domain_chosen&lt;&gt;"MGMT Workload Domain",CONCATENATE(prefix_wld_az1_rack_cidr,"69.116"),CONCATENATE(prefix_mgmt_az1_cidr,"69.116"))</f>
        <v>10.13.69.116</v>
      </c>
      <c r="D469" s="347"/>
      <c r="E469" s="100" t="s">
        <v>3285</v>
      </c>
    </row>
    <row r="470" spans="2:5" ht="15.95" customHeight="1" x14ac:dyDescent="0.25"/>
    <row r="471" spans="2:5" ht="33.950000000000003" customHeight="1" x14ac:dyDescent="0.25">
      <c r="B471" s="505" t="s">
        <v>3309</v>
      </c>
      <c r="C471" s="506"/>
      <c r="D471" s="506"/>
      <c r="E471" s="507"/>
    </row>
    <row r="472" spans="2:5" ht="20.100000000000001" customHeight="1" x14ac:dyDescent="0.25">
      <c r="B472" s="43" t="s">
        <v>259</v>
      </c>
      <c r="C472" s="43" t="s">
        <v>711</v>
      </c>
      <c r="D472" s="130" t="s">
        <v>277</v>
      </c>
      <c r="E472" s="43" t="s">
        <v>5</v>
      </c>
    </row>
    <row r="473" spans="2:5" ht="20.100000000000001" customHeight="1" x14ac:dyDescent="0.25">
      <c r="B473" s="405" t="s">
        <v>397</v>
      </c>
      <c r="C473" s="406"/>
      <c r="D473" s="406"/>
      <c r="E473" s="407"/>
    </row>
    <row r="474" spans="2:5" ht="20.100000000000001" customHeight="1" x14ac:dyDescent="0.25">
      <c r="B474" s="4" t="s">
        <v>398</v>
      </c>
      <c r="C474" s="362" t="str">
        <f>IF(cluster_wld_domain_chosen&lt;&gt;"MGMT Workload Domain",CONCATENATE(prefix_wld_az1_rack_vlan,"77"),CONCATENATE(prefix_mgmt_az1_vlan,"77"))</f>
        <v>1377</v>
      </c>
      <c r="D474" s="347"/>
      <c r="E474" s="93"/>
    </row>
    <row r="475" spans="2:5" ht="20.100000000000001" customHeight="1" x14ac:dyDescent="0.25">
      <c r="B475" s="4" t="s">
        <v>399</v>
      </c>
      <c r="C475" s="362" t="str">
        <f>IF(cluster_wld_domain_chosen&lt;&gt;"MGMT Workload Domain",CONCATENATE(prefix_wld_az1_rack_cidr,"77.1"),CONCATENATE(prefix_mgmt_az1_cidr,"77.1"))</f>
        <v>10.13.77.1</v>
      </c>
      <c r="D475" s="347"/>
      <c r="E475" s="32"/>
    </row>
    <row r="476" spans="2:5" ht="20.100000000000001" customHeight="1" x14ac:dyDescent="0.25">
      <c r="B476" s="4" t="s">
        <v>400</v>
      </c>
      <c r="C476" s="362" t="str">
        <f>IF(cluster_wld_domain_chosen&lt;&gt;"MGMT Workload Domain",CONCATENATE(prefix_wld_az1_rack_cidr,"77.0/24"),CONCATENATE(prefix_mgmt_az1_cidr,"77.0/24"))</f>
        <v>10.13.77.0/24</v>
      </c>
      <c r="D476" s="347"/>
      <c r="E476" s="32"/>
    </row>
    <row r="477" spans="2:5" ht="20.100000000000001" customHeight="1" x14ac:dyDescent="0.25">
      <c r="B477" s="4" t="s">
        <v>401</v>
      </c>
      <c r="C477" s="362">
        <v>1500</v>
      </c>
      <c r="D477" s="347"/>
      <c r="E477" s="32"/>
    </row>
    <row r="478" spans="2:5" ht="20.100000000000001" customHeight="1" x14ac:dyDescent="0.25">
      <c r="B478" s="508" t="s">
        <v>476</v>
      </c>
      <c r="C478" s="509"/>
      <c r="D478" s="509"/>
      <c r="E478" s="510"/>
    </row>
    <row r="479" spans="2:5" ht="20.100000000000001" customHeight="1" x14ac:dyDescent="0.25">
      <c r="B479" s="17" t="s">
        <v>686</v>
      </c>
      <c r="C479" s="126" t="str">
        <f>IF(cluster_wld_domain_chosen&lt;&gt;"MGMT Workload Domain",CONCATENATE(prefix_wld_az1_rack_cidr,"77.101"),CONCATENATE(prefix_mgmt_az1_cidr,"77.101"))</f>
        <v>10.13.77.101</v>
      </c>
      <c r="D479" s="347"/>
      <c r="E479" s="100" t="s">
        <v>477</v>
      </c>
    </row>
    <row r="480" spans="2:5" ht="20.100000000000001" customHeight="1" x14ac:dyDescent="0.25">
      <c r="B480" s="17" t="s">
        <v>687</v>
      </c>
      <c r="C480" s="126" t="str">
        <f>IF(cluster_wld_domain_chosen&lt;&gt;"MGMT Workload Domain",CONCATENATE(prefix_wld_az1_rack_cidr,"77.102"),CONCATENATE(prefix_mgmt_az1_cidr,"77.102"))</f>
        <v>10.13.77.102</v>
      </c>
      <c r="D480" s="347"/>
      <c r="E480" s="100" t="s">
        <v>478</v>
      </c>
    </row>
    <row r="481" spans="2:5" ht="20.100000000000001" customHeight="1" x14ac:dyDescent="0.25">
      <c r="B481" s="17" t="s">
        <v>688</v>
      </c>
      <c r="C481" s="126" t="str">
        <f>IF(cluster_wld_domain_chosen&lt;&gt;"MGMT Workload Domain",CONCATENATE(prefix_wld_az1_rack_cidr,"77.103"),CONCATENATE(prefix_mgmt_az1_cidr,"77.103"))</f>
        <v>10.13.77.103</v>
      </c>
      <c r="D481" s="347"/>
      <c r="E481" s="100" t="s">
        <v>479</v>
      </c>
    </row>
    <row r="482" spans="2:5" ht="20.100000000000001" customHeight="1" x14ac:dyDescent="0.25">
      <c r="B482" s="17" t="s">
        <v>689</v>
      </c>
      <c r="C482" s="126" t="str">
        <f>IF(cluster_wld_domain_chosen&lt;&gt;"MGMT Workload Domain",CONCATENATE(prefix_wld_az1_rack_cidr,"77.104"),CONCATENATE(prefix_mgmt_az1_cidr,"77.104"))</f>
        <v>10.13.77.104</v>
      </c>
      <c r="D482" s="347"/>
      <c r="E482" s="100" t="s">
        <v>480</v>
      </c>
    </row>
    <row r="483" spans="2:5" ht="20.100000000000001" customHeight="1" x14ac:dyDescent="0.25">
      <c r="B483" s="17" t="s">
        <v>690</v>
      </c>
      <c r="C483" s="126" t="str">
        <f>IF(cluster_wld_domain_chosen&lt;&gt;"MGMT Workload Domain",CONCATENATE(prefix_wld_az1_rack_cidr,"77.105"),CONCATENATE(prefix_mgmt_az1_cidr,"77.105"))</f>
        <v>10.13.77.105</v>
      </c>
      <c r="D483" s="347"/>
      <c r="E483" s="100" t="s">
        <v>481</v>
      </c>
    </row>
    <row r="484" spans="2:5" ht="20.100000000000001" customHeight="1" x14ac:dyDescent="0.25">
      <c r="B484" s="17" t="s">
        <v>691</v>
      </c>
      <c r="C484" s="126" t="str">
        <f>IF(cluster_wld_domain_chosen&lt;&gt;"MGMT Workload Domain",CONCATENATE(prefix_wld_az1_rack_cidr,"77.106"),CONCATENATE(prefix_mgmt_az1_cidr,"77.106"))</f>
        <v>10.13.77.106</v>
      </c>
      <c r="D484" s="347"/>
      <c r="E484" s="100" t="s">
        <v>482</v>
      </c>
    </row>
    <row r="485" spans="2:5" ht="20.100000000000001" customHeight="1" x14ac:dyDescent="0.25">
      <c r="B485" s="17" t="s">
        <v>692</v>
      </c>
      <c r="C485" s="126" t="str">
        <f>IF(cluster_wld_domain_chosen&lt;&gt;"MGMT Workload Domain",CONCATENATE(prefix_wld_az1_rack_cidr,"77.107"),CONCATENATE(prefix_mgmt_az1_cidr,"77.107"))</f>
        <v>10.13.77.107</v>
      </c>
      <c r="D485" s="347"/>
      <c r="E485" s="100" t="s">
        <v>483</v>
      </c>
    </row>
    <row r="486" spans="2:5" ht="20.100000000000001" customHeight="1" x14ac:dyDescent="0.25">
      <c r="B486" s="17" t="s">
        <v>693</v>
      </c>
      <c r="C486" s="126" t="str">
        <f>IF(cluster_wld_domain_chosen&lt;&gt;"MGMT Workload Domain",CONCATENATE(prefix_wld_az1_rack_cidr,"77.108"),CONCATENATE(prefix_mgmt_az1_cidr,"77.108"))</f>
        <v>10.13.77.108</v>
      </c>
      <c r="D486" s="347"/>
      <c r="E486" s="100" t="s">
        <v>484</v>
      </c>
    </row>
    <row r="487" spans="2:5" ht="20.100000000000001" customHeight="1" x14ac:dyDescent="0.25">
      <c r="B487" s="17" t="s">
        <v>694</v>
      </c>
      <c r="C487" s="126" t="str">
        <f>IF(cluster_wld_domain_chosen&lt;&gt;"MGMT Workload Domain",CONCATENATE(prefix_wld_az1_rack_cidr,"77.109"),CONCATENATE(prefix_mgmt_az1_cidr,"77.109"))</f>
        <v>10.13.77.109</v>
      </c>
      <c r="D487" s="347"/>
      <c r="E487" s="100" t="s">
        <v>485</v>
      </c>
    </row>
    <row r="488" spans="2:5" ht="20.100000000000001" customHeight="1" x14ac:dyDescent="0.25">
      <c r="B488" s="17" t="s">
        <v>695</v>
      </c>
      <c r="C488" s="126" t="str">
        <f>IF(cluster_wld_domain_chosen&lt;&gt;"MGMT Workload Domain",CONCATENATE(prefix_wld_az1_rack_cidr,"77.110"),CONCATENATE(prefix_mgmt_az1_cidr,"77.110"))</f>
        <v>10.13.77.110</v>
      </c>
      <c r="D488" s="347"/>
      <c r="E488" s="100" t="s">
        <v>486</v>
      </c>
    </row>
    <row r="489" spans="2:5" ht="20.100000000000001" customHeight="1" x14ac:dyDescent="0.25">
      <c r="B489" s="17" t="s">
        <v>696</v>
      </c>
      <c r="C489" s="126" t="str">
        <f>IF(cluster_wld_domain_chosen&lt;&gt;"MGMT Workload Domain",CONCATENATE(prefix_wld_az1_rack_cidr,"77.111"),CONCATENATE(prefix_mgmt_az1_cidr,"77.111"))</f>
        <v>10.13.77.111</v>
      </c>
      <c r="D489" s="347"/>
      <c r="E489" s="100" t="s">
        <v>487</v>
      </c>
    </row>
    <row r="490" spans="2:5" ht="20.100000000000001" customHeight="1" x14ac:dyDescent="0.25">
      <c r="B490" s="17" t="s">
        <v>697</v>
      </c>
      <c r="C490" s="126" t="str">
        <f>IF(cluster_wld_domain_chosen&lt;&gt;"MGMT Workload Domain",CONCATENATE(prefix_wld_az1_rack_cidr,"77.112"),CONCATENATE(prefix_mgmt_az1_cidr,"77.112"))</f>
        <v>10.13.77.112</v>
      </c>
      <c r="D490" s="347"/>
      <c r="E490" s="100" t="s">
        <v>488</v>
      </c>
    </row>
    <row r="491" spans="2:5" ht="20.100000000000001" customHeight="1" x14ac:dyDescent="0.25">
      <c r="B491" s="17" t="s">
        <v>698</v>
      </c>
      <c r="C491" s="126" t="str">
        <f>IF(cluster_wld_domain_chosen&lt;&gt;"MGMT Workload Domain",CONCATENATE(prefix_wld_az1_rack_cidr,"77.113"),CONCATENATE(prefix_mgmt_az1_cidr,"77.113"))</f>
        <v>10.13.77.113</v>
      </c>
      <c r="D491" s="347"/>
      <c r="E491" s="100" t="s">
        <v>489</v>
      </c>
    </row>
    <row r="492" spans="2:5" ht="20.100000000000001" customHeight="1" x14ac:dyDescent="0.25">
      <c r="B492" s="17" t="s">
        <v>699</v>
      </c>
      <c r="C492" s="126" t="str">
        <f>IF(cluster_wld_domain_chosen&lt;&gt;"MGMT Workload Domain",CONCATENATE(prefix_wld_az1_rack_cidr,"77.114"),CONCATENATE(prefix_mgmt_az1_cidr,"77.114"))</f>
        <v>10.13.77.114</v>
      </c>
      <c r="D492" s="347"/>
      <c r="E492" s="100" t="s">
        <v>490</v>
      </c>
    </row>
    <row r="493" spans="2:5" ht="20.100000000000001" customHeight="1" x14ac:dyDescent="0.25">
      <c r="B493" s="17" t="s">
        <v>700</v>
      </c>
      <c r="C493" s="126" t="str">
        <f>IF(cluster_wld_domain_chosen&lt;&gt;"MGMT Workload Domain",CONCATENATE(prefix_wld_az1_rack_cidr,"77.115"),CONCATENATE(prefix_mgmt_az1_cidr,"77.115"))</f>
        <v>10.13.77.115</v>
      </c>
      <c r="D493" s="347"/>
      <c r="E493" s="100" t="s">
        <v>491</v>
      </c>
    </row>
    <row r="494" spans="2:5" ht="20.100000000000001" customHeight="1" x14ac:dyDescent="0.25">
      <c r="B494" s="17" t="s">
        <v>701</v>
      </c>
      <c r="C494" s="126" t="str">
        <f>IF(cluster_wld_domain_chosen&lt;&gt;"MGMT Workload Domain",CONCATENATE(prefix_wld_az1_rack_cidr,"77.116"),CONCATENATE(prefix_mgmt_az1_cidr,"77.116"))</f>
        <v>10.13.77.116</v>
      </c>
      <c r="D494" s="347"/>
      <c r="E494" s="100" t="s">
        <v>492</v>
      </c>
    </row>
    <row r="495" spans="2:5" ht="15.95" customHeight="1" x14ac:dyDescent="0.25">
      <c r="B495" s="8"/>
      <c r="C495" s="8"/>
      <c r="D495" s="8"/>
      <c r="E495" s="8"/>
    </row>
    <row r="496" spans="2:5" ht="33.950000000000003" customHeight="1" x14ac:dyDescent="0.25">
      <c r="B496" s="505" t="s">
        <v>3310</v>
      </c>
      <c r="C496" s="506"/>
      <c r="D496" s="506"/>
      <c r="E496" s="507"/>
    </row>
    <row r="497" spans="2:5" ht="20.100000000000001" customHeight="1" x14ac:dyDescent="0.25">
      <c r="B497" s="43" t="s">
        <v>259</v>
      </c>
      <c r="C497" s="43" t="s">
        <v>711</v>
      </c>
      <c r="D497" s="130" t="s">
        <v>277</v>
      </c>
      <c r="E497" s="43" t="s">
        <v>5</v>
      </c>
    </row>
    <row r="498" spans="2:5" ht="20.100000000000001" customHeight="1" x14ac:dyDescent="0.25">
      <c r="B498" s="4" t="s">
        <v>3273</v>
      </c>
      <c r="C498" s="362" t="s">
        <v>704</v>
      </c>
      <c r="D498" s="127" t="s">
        <v>704</v>
      </c>
      <c r="E498" s="4" t="str">
        <f>IF(wld_az1_rack7_reuse_vcf_networkpool_chosen="Re-use an existing  VCF Network Pool","An exisiting VCF Network Pool will be reused for Host TEP assignment","A new VCF Network Pool will be created")</f>
        <v>A new VCF Network Pool will be created</v>
      </c>
    </row>
    <row r="499" spans="2:5" ht="20.100000000000001" customHeight="1" x14ac:dyDescent="0.25">
      <c r="B499" s="17" t="s">
        <v>705</v>
      </c>
      <c r="C499" s="89" t="str">
        <f>IF(cluster_wld_domain_chosen="VI Workload Domain",CONCATENATE(this_instance,"01-w0",wld_domain_number_chosen,"-r07-network-pool-01"),CONCATENATE(this_instance,"01-m01","-r07-network-pool-01"))</f>
        <v>sfo01-w01-r07-network-pool-01</v>
      </c>
      <c r="D499" s="347"/>
      <c r="E499" s="32"/>
    </row>
    <row r="500" spans="2:5" ht="20.100000000000001" customHeight="1" x14ac:dyDescent="0.25">
      <c r="B500" s="405" t="s">
        <v>404</v>
      </c>
      <c r="C500" s="406"/>
      <c r="D500" s="406"/>
      <c r="E500" s="407"/>
    </row>
    <row r="501" spans="2:5" ht="20.100000000000001" customHeight="1" x14ac:dyDescent="0.25">
      <c r="B501" s="4" t="s">
        <v>398</v>
      </c>
      <c r="C501" s="362" t="str">
        <f>IF(cluster_wld_domain_chosen&lt;&gt;"MGMT Workload Domain",CONCATENATE(prefix_wld_az1_rack_vlan,"78"),CONCATENATE(prefix_mgmt_az1_vlan,"78"))</f>
        <v>1378</v>
      </c>
      <c r="D501" s="347"/>
      <c r="E501" s="93"/>
    </row>
    <row r="502" spans="2:5" ht="20.100000000000001" customHeight="1" x14ac:dyDescent="0.25">
      <c r="B502" s="4" t="s">
        <v>401</v>
      </c>
      <c r="C502" s="362">
        <v>9000</v>
      </c>
      <c r="D502" s="347"/>
      <c r="E502" s="32"/>
    </row>
    <row r="503" spans="2:5" ht="20.100000000000001" customHeight="1" x14ac:dyDescent="0.25">
      <c r="B503" s="4" t="s">
        <v>400</v>
      </c>
      <c r="C503" s="126" t="str">
        <f>IF(cluster_wld_domain_chosen&lt;&gt;"MGMT Workload Domain",CONCATENATE(prefix_wld_az1_rack_cidr,"78.0"),CONCATENATE(prefix_mgmt_az1_cidr,"78.0"))</f>
        <v>10.13.78.0</v>
      </c>
      <c r="D503" s="347"/>
      <c r="E503" s="32"/>
    </row>
    <row r="504" spans="2:5" ht="20.100000000000001" customHeight="1" x14ac:dyDescent="0.25">
      <c r="B504" s="4" t="s">
        <v>732</v>
      </c>
      <c r="C504" s="126" t="s">
        <v>612</v>
      </c>
      <c r="D504" s="347"/>
      <c r="E504" s="32"/>
    </row>
    <row r="505" spans="2:5" ht="20.100000000000001" customHeight="1" x14ac:dyDescent="0.25">
      <c r="B505" s="4" t="s">
        <v>399</v>
      </c>
      <c r="C505" s="362" t="str">
        <f>IF(cluster_wld_domain_chosen&lt;&gt;"MGMT Workload Domain",CONCATENATE(prefix_wld_az1_rack_cidr,"78.1"),CONCATENATE(prefix_mgmt_az1_cidr,"78.1"))</f>
        <v>10.13.78.1</v>
      </c>
      <c r="D505" s="347"/>
      <c r="E505" s="32"/>
    </row>
    <row r="506" spans="2:5" ht="20.100000000000001" customHeight="1" x14ac:dyDescent="0.25">
      <c r="B506" s="17" t="s">
        <v>460</v>
      </c>
      <c r="C506" s="362" t="str">
        <f>IF(cluster_wld_domain_chosen&lt;&gt;"MGMT Workload Domain",CONCATENATE(prefix_wld_az1_rack_cidr,"78.101"),CONCATENATE(prefix_mgmt_az1_cidr,"78.101"))</f>
        <v>10.13.78.101</v>
      </c>
      <c r="D506" s="347"/>
      <c r="E506" s="100" t="s">
        <v>3274</v>
      </c>
    </row>
    <row r="507" spans="2:5" ht="20.100000000000001" customHeight="1" x14ac:dyDescent="0.25">
      <c r="B507" s="17" t="s">
        <v>461</v>
      </c>
      <c r="C507" s="362" t="str">
        <f>IF(cluster_wld_domain_chosen&lt;&gt;"MGMT Workload Domain",CONCATENATE(prefix_wld_az1_rack_cidr,"78.116"),CONCATENATE(prefix_mgmt_az1_cidr,"78.116"))</f>
        <v>10.13.78.116</v>
      </c>
      <c r="D507" s="347"/>
      <c r="E507" s="100" t="s">
        <v>3275</v>
      </c>
    </row>
    <row r="508" spans="2:5" ht="20.100000000000001" customHeight="1" x14ac:dyDescent="0.25">
      <c r="B508" s="405" t="s">
        <v>407</v>
      </c>
      <c r="C508" s="406"/>
      <c r="D508" s="406"/>
      <c r="E508" s="407"/>
    </row>
    <row r="509" spans="2:5" ht="20.100000000000001" customHeight="1" x14ac:dyDescent="0.25">
      <c r="B509" s="4" t="s">
        <v>398</v>
      </c>
      <c r="C509" s="362" t="str">
        <f>IF(cluster_wld_domain_chosen&lt;&gt;"MGMT Workload Domain",CONCATENATE(prefix_wld_az1_rack_vlan,"79"),CONCATENATE(prefix_mgmt_az1_vlan,"79"))</f>
        <v>1379</v>
      </c>
      <c r="D509" s="347"/>
      <c r="E509" s="32"/>
    </row>
    <row r="510" spans="2:5" ht="20.100000000000001" customHeight="1" x14ac:dyDescent="0.25">
      <c r="B510" s="4" t="s">
        <v>401</v>
      </c>
      <c r="C510" s="362">
        <v>9000</v>
      </c>
      <c r="D510" s="347"/>
      <c r="E510" s="32"/>
    </row>
    <row r="511" spans="2:5" ht="20.100000000000001" customHeight="1" x14ac:dyDescent="0.25">
      <c r="B511" s="4" t="s">
        <v>400</v>
      </c>
      <c r="C511" s="126" t="str">
        <f>IF(cluster_wld_domain_chosen&lt;&gt;"MGMT Workload Domain",CONCATENATE(prefix_wld_az1_rack_cidr,"79.0"),CONCATENATE(prefix_mgmt_az1_cidr,"79.0"))</f>
        <v>10.13.79.0</v>
      </c>
      <c r="D511" s="347"/>
      <c r="E511" s="56"/>
    </row>
    <row r="512" spans="2:5" ht="20.100000000000001" customHeight="1" x14ac:dyDescent="0.25">
      <c r="B512" s="4" t="s">
        <v>732</v>
      </c>
      <c r="C512" s="126" t="s">
        <v>612</v>
      </c>
      <c r="D512" s="347"/>
      <c r="E512" s="32"/>
    </row>
    <row r="513" spans="2:5" ht="20.100000000000001" customHeight="1" x14ac:dyDescent="0.25">
      <c r="B513" s="4" t="s">
        <v>399</v>
      </c>
      <c r="C513" s="362" t="str">
        <f>IF(cluster_wld_domain_chosen&lt;&gt;"MGMT Workload Domain",CONCATENATE(prefix_wld_az1_rack_cidr,"79.1"),CONCATENATE(prefix_mgmt_az1_cidr,"79.1"))</f>
        <v>10.13.79.1</v>
      </c>
      <c r="D513" s="347"/>
      <c r="E513" s="32" t="str">
        <f>IF(AND(mgmt_stretched_cluster_result="Included",mgmt_dpg_reuse_result="Excluded"),"Stretched L2","")</f>
        <v/>
      </c>
    </row>
    <row r="514" spans="2:5" ht="20.100000000000001" customHeight="1" x14ac:dyDescent="0.25">
      <c r="B514" s="17" t="s">
        <v>460</v>
      </c>
      <c r="C514" s="362" t="str">
        <f>IF(cluster_wld_domain_chosen&lt;&gt;"MGMT Workload Domain",CONCATENATE(prefix_wld_az1_rack_cidr,"79.101"),CONCATENATE(prefix_mgmt_az1_cidr,"79.101"))</f>
        <v>10.13.79.101</v>
      </c>
      <c r="D514" s="347"/>
      <c r="E514" s="100" t="s">
        <v>3276</v>
      </c>
    </row>
    <row r="515" spans="2:5" ht="20.100000000000001" customHeight="1" x14ac:dyDescent="0.25">
      <c r="B515" s="17" t="s">
        <v>461</v>
      </c>
      <c r="C515" s="362" t="str">
        <f>IF(cluster_wld_domain_chosen&lt;&gt;"MGMT Workload Domain",CONCATENATE(prefix_wld_az1_rack_cidr,"79.116"),CONCATENATE(prefix_mgmt_az1_cidr,"79.116"))</f>
        <v>10.13.79.116</v>
      </c>
      <c r="D515" s="347"/>
      <c r="E515" s="100" t="s">
        <v>3277</v>
      </c>
    </row>
    <row r="516" spans="2:5" ht="15.95" customHeight="1" x14ac:dyDescent="0.25">
      <c r="B516" s="8"/>
      <c r="C516" s="8"/>
      <c r="D516" s="8"/>
      <c r="E516" s="8"/>
    </row>
    <row r="517" spans="2:5" ht="33.950000000000003" customHeight="1" x14ac:dyDescent="0.25">
      <c r="B517" s="505" t="s">
        <v>3311</v>
      </c>
      <c r="C517" s="506"/>
      <c r="D517" s="506"/>
      <c r="E517" s="507"/>
    </row>
    <row r="518" spans="2:5" ht="20.100000000000001" customHeight="1" x14ac:dyDescent="0.25">
      <c r="B518" s="43" t="s">
        <v>259</v>
      </c>
      <c r="C518" s="43" t="s">
        <v>711</v>
      </c>
      <c r="D518" s="130" t="s">
        <v>277</v>
      </c>
      <c r="E518" s="43" t="s">
        <v>5</v>
      </c>
    </row>
    <row r="519" spans="2:5" ht="20.100000000000001" customHeight="1" x14ac:dyDescent="0.25">
      <c r="B519" s="17" t="s">
        <v>686</v>
      </c>
      <c r="C519" s="126" t="str">
        <f>IF(cluster_wld_domain_chosen&lt;&gt;"MGMT Workload Domain",CONCATENATE(this_instance,"01-w0",wld_domain_number_chosen,"-r07-esx01",".",sample_child_dns_zone),CONCATENATE(this_instance,"01-m01-r07-esx01",".",sample_child_dns_zone))</f>
        <v>sfo01-w01-r07-esx01.sfo.rainpole.io</v>
      </c>
      <c r="D519" s="347"/>
      <c r="E519" s="32"/>
    </row>
    <row r="520" spans="2:5" ht="20.100000000000001" customHeight="1" x14ac:dyDescent="0.25">
      <c r="B520" s="17" t="s">
        <v>687</v>
      </c>
      <c r="C520" s="126" t="str">
        <f>IF(cluster_wld_domain_chosen&lt;&gt;"MGMT Workload Domain",CONCATENATE(this_instance,"01-w0",wld_domain_number_chosen,"-r07-esx02",".",sample_child_dns_zone),CONCATENATE(this_instance,"01-m01-r07-esx02",".",sample_child_dns_zone))</f>
        <v>sfo01-w01-r07-esx02.sfo.rainpole.io</v>
      </c>
      <c r="D520" s="347"/>
      <c r="E520" s="32"/>
    </row>
    <row r="521" spans="2:5" ht="20.100000000000001" customHeight="1" x14ac:dyDescent="0.25">
      <c r="B521" s="17" t="s">
        <v>688</v>
      </c>
      <c r="C521" s="126" t="str">
        <f>IF(cluster_wld_domain_chosen&lt;&gt;"MGMT Workload Domain",CONCATENATE(this_instance,"01-w0",wld_domain_number_chosen,"-r07-esx03",".",sample_child_dns_zone),CONCATENATE(this_instance,"01-m01-r07-esx03",".",sample_child_dns_zone))</f>
        <v>sfo01-w01-r07-esx03.sfo.rainpole.io</v>
      </c>
      <c r="D521" s="347"/>
      <c r="E521" s="32"/>
    </row>
    <row r="522" spans="2:5" ht="20.100000000000001" customHeight="1" x14ac:dyDescent="0.25">
      <c r="B522" s="17" t="s">
        <v>689</v>
      </c>
      <c r="C522" s="126" t="str">
        <f>IF(cluster_wld_domain_chosen&lt;&gt;"MGMT Workload Domain",CONCATENATE(this_instance,"01-w0",wld_domain_number_chosen,"-r07-esx04",".",sample_child_dns_zone),CONCATENATE(this_instance,"01-m01-r07-esx04",".",sample_child_dns_zone))</f>
        <v>sfo01-w01-r07-esx04.sfo.rainpole.io</v>
      </c>
      <c r="D522" s="347"/>
      <c r="E522" s="32"/>
    </row>
    <row r="523" spans="2:5" ht="20.100000000000001" customHeight="1" x14ac:dyDescent="0.25">
      <c r="B523" s="17" t="s">
        <v>690</v>
      </c>
      <c r="C523" s="126" t="str">
        <f>IF(cluster_wld_domain_chosen&lt;&gt;"MGMT Workload Domain",CONCATENATE(this_instance,"01-w0",wld_domain_number_chosen,"-r07-esx05",".",sample_child_dns_zone),CONCATENATE(this_instance,"01-m01-r07-esx05",".",sample_child_dns_zone))</f>
        <v>sfo01-w01-r07-esx05.sfo.rainpole.io</v>
      </c>
      <c r="D523" s="347"/>
      <c r="E523" s="32"/>
    </row>
    <row r="524" spans="2:5" ht="20.100000000000001" customHeight="1" x14ac:dyDescent="0.25">
      <c r="B524" s="17" t="s">
        <v>691</v>
      </c>
      <c r="C524" s="126" t="str">
        <f>IF(cluster_wld_domain_chosen&lt;&gt;"MGMT Workload Domain",CONCATENATE(this_instance,"01-w0",wld_domain_number_chosen,"-r07-esx06",".",sample_child_dns_zone),CONCATENATE(this_instance,"01-m01-r07-esx06",".",sample_child_dns_zone))</f>
        <v>sfo01-w01-r07-esx06.sfo.rainpole.io</v>
      </c>
      <c r="D524" s="347"/>
      <c r="E524" s="32"/>
    </row>
    <row r="525" spans="2:5" ht="20.100000000000001" customHeight="1" x14ac:dyDescent="0.25">
      <c r="B525" s="17" t="s">
        <v>692</v>
      </c>
      <c r="C525" s="126" t="str">
        <f>IF(cluster_wld_domain_chosen&lt;&gt;"MGMT Workload Domain",CONCATENATE(this_instance,"01-w0",wld_domain_number_chosen,"-r07-esx07",".",sample_child_dns_zone),CONCATENATE(this_instance,"01-m01-r07-esx07",".",sample_child_dns_zone))</f>
        <v>sfo01-w01-r07-esx07.sfo.rainpole.io</v>
      </c>
      <c r="D525" s="347"/>
      <c r="E525" s="32"/>
    </row>
    <row r="526" spans="2:5" ht="20.100000000000001" customHeight="1" x14ac:dyDescent="0.25">
      <c r="B526" s="17" t="s">
        <v>693</v>
      </c>
      <c r="C526" s="126" t="str">
        <f>IF(cluster_wld_domain_chosen&lt;&gt;"MGMT Workload Domain",CONCATENATE(this_instance,"01-w0",wld_domain_number_chosen,"-r07-esx08",".",sample_child_dns_zone),CONCATENATE(this_instance,"01-m01-r07-esx08",".",sample_child_dns_zone))</f>
        <v>sfo01-w01-r07-esx08.sfo.rainpole.io</v>
      </c>
      <c r="D526" s="347"/>
      <c r="E526" s="32"/>
    </row>
    <row r="527" spans="2:5" ht="20.100000000000001" customHeight="1" x14ac:dyDescent="0.25">
      <c r="B527" s="17" t="s">
        <v>694</v>
      </c>
      <c r="C527" s="126" t="str">
        <f>IF(cluster_wld_domain_chosen&lt;&gt;"MGMT Workload Domain",CONCATENATE(this_instance,"01-w0",wld_domain_number_chosen,"-r07-esx09",".",sample_child_dns_zone),CONCATENATE(this_instance,"01-m01-r07-esx09",".",sample_child_dns_zone))</f>
        <v>sfo01-w01-r07-esx09.sfo.rainpole.io</v>
      </c>
      <c r="D527" s="347"/>
      <c r="E527" s="32"/>
    </row>
    <row r="528" spans="2:5" ht="20.100000000000001" customHeight="1" x14ac:dyDescent="0.25">
      <c r="B528" s="17" t="s">
        <v>695</v>
      </c>
      <c r="C528" s="126" t="str">
        <f>IF(cluster_wld_domain_chosen&lt;&gt;"MGMT Workload Domain",CONCATENATE(this_instance,"01-w0",wld_domain_number_chosen,"-r07-esx10",".",sample_child_dns_zone),CONCATENATE(this_instance,"01-m01-r07-esx10",".",sample_child_dns_zone))</f>
        <v>sfo01-w01-r07-esx10.sfo.rainpole.io</v>
      </c>
      <c r="D528" s="347"/>
      <c r="E528" s="32"/>
    </row>
    <row r="529" spans="2:5" ht="20.100000000000001" customHeight="1" x14ac:dyDescent="0.25">
      <c r="B529" s="17" t="s">
        <v>696</v>
      </c>
      <c r="C529" s="126" t="str">
        <f>IF(cluster_wld_domain_chosen&lt;&gt;"MGMT Workload Domain",CONCATENATE(this_instance,"01-w0",wld_domain_number_chosen,"-r07-esx11",".",sample_child_dns_zone),CONCATENATE(this_instance,"01-m01-r07-esx11",".",sample_child_dns_zone))</f>
        <v>sfo01-w01-r07-esx11.sfo.rainpole.io</v>
      </c>
      <c r="D529" s="347"/>
      <c r="E529" s="32"/>
    </row>
    <row r="530" spans="2:5" ht="20.100000000000001" customHeight="1" x14ac:dyDescent="0.25">
      <c r="B530" s="17" t="s">
        <v>697</v>
      </c>
      <c r="C530" s="126" t="str">
        <f>IF(cluster_wld_domain_chosen&lt;&gt;"MGMT Workload Domain",CONCATENATE(this_instance,"01-w0",wld_domain_number_chosen,"-r07-esx12",".",sample_child_dns_zone),CONCATENATE(this_instance,"01-m01-r07-esx12",".",sample_child_dns_zone))</f>
        <v>sfo01-w01-r07-esx12.sfo.rainpole.io</v>
      </c>
      <c r="D530" s="347"/>
      <c r="E530" s="32"/>
    </row>
    <row r="531" spans="2:5" ht="20.100000000000001" customHeight="1" x14ac:dyDescent="0.25">
      <c r="B531" s="17" t="s">
        <v>698</v>
      </c>
      <c r="C531" s="126" t="str">
        <f>IF(cluster_wld_domain_chosen&lt;&gt;"MGMT Workload Domain",CONCATENATE(this_instance,"01-w0",wld_domain_number_chosen,"-r07-esx13",".",sample_child_dns_zone),CONCATENATE(this_instance,"01-m01-r07-esx13",".",sample_child_dns_zone))</f>
        <v>sfo01-w01-r07-esx13.sfo.rainpole.io</v>
      </c>
      <c r="D531" s="347"/>
      <c r="E531" s="32"/>
    </row>
    <row r="532" spans="2:5" ht="20.100000000000001" customHeight="1" x14ac:dyDescent="0.25">
      <c r="B532" s="17" t="s">
        <v>699</v>
      </c>
      <c r="C532" s="126" t="str">
        <f>IF(cluster_wld_domain_chosen&lt;&gt;"MGMT Workload Domain",CONCATENATE(this_instance,"01-w0",wld_domain_number_chosen,"-r07-esx14",".",sample_child_dns_zone),CONCATENATE(this_instance,"01-m01-r07-esx14",".",sample_child_dns_zone))</f>
        <v>sfo01-w01-r07-esx14.sfo.rainpole.io</v>
      </c>
      <c r="D532" s="347"/>
      <c r="E532" s="32"/>
    </row>
    <row r="533" spans="2:5" ht="20.100000000000001" customHeight="1" x14ac:dyDescent="0.25">
      <c r="B533" s="17" t="s">
        <v>700</v>
      </c>
      <c r="C533" s="126" t="str">
        <f>IF(cluster_wld_domain_chosen&lt;&gt;"MGMT Workload Domain",CONCATENATE(this_instance,"01-w0",wld_domain_number_chosen,"-r07-esx14",".",sample_child_dns_zone),CONCATENATE(this_instance,"01-m01-r07-esx15",".",sample_child_dns_zone))</f>
        <v>sfo01-w01-r07-esx14.sfo.rainpole.io</v>
      </c>
      <c r="D533" s="347"/>
      <c r="E533" s="32"/>
    </row>
    <row r="534" spans="2:5" ht="20.100000000000001" customHeight="1" x14ac:dyDescent="0.25">
      <c r="B534" s="17" t="s">
        <v>701</v>
      </c>
      <c r="C534" s="126" t="str">
        <f>IF(cluster_wld_domain_chosen&lt;&gt;"MGMT Workload Domain",CONCATENATE(this_instance,"01-w0",wld_domain_number_chosen,"-r07-esx16",".",sample_child_dns_zone),CONCATENATE(this_instance,"01-m01-r07-esx16",".",sample_child_dns_zone))</f>
        <v>sfo01-w01-r07-esx16.sfo.rainpole.io</v>
      </c>
      <c r="D534" s="347"/>
      <c r="E534" s="32"/>
    </row>
    <row r="535" spans="2:5" ht="20.100000000000001" customHeight="1" x14ac:dyDescent="0.25">
      <c r="B535" s="17" t="s">
        <v>712</v>
      </c>
      <c r="C535" s="126" t="s">
        <v>368</v>
      </c>
      <c r="D535" s="337" t="s">
        <v>713</v>
      </c>
      <c r="E535" s="32"/>
    </row>
    <row r="536" spans="2:5" ht="20.100000000000001" customHeight="1" x14ac:dyDescent="0.25">
      <c r="B536" s="17" t="s">
        <v>714</v>
      </c>
      <c r="C536" s="126" t="s">
        <v>715</v>
      </c>
      <c r="D536"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100000000000001" customHeight="1" x14ac:dyDescent="0.25">
      <c r="B537" s="17" t="s">
        <v>716</v>
      </c>
      <c r="C537" s="126" t="s">
        <v>323</v>
      </c>
      <c r="D537" s="337" t="str">
        <f>IF(AND(vcf_granular_option_chosen="Create Cluster",cluster_principal_storage_chosen="vSAN-ESA"),"Selected",
IF(AND(vcf_granular_option_chosen="Create VI Workload Domain",wld_principal_storage_chosen="vSAN-ESA"),"Selected","Unselected"))</f>
        <v>Unselected</v>
      </c>
      <c r="E537" s="32"/>
    </row>
    <row r="538" spans="2:5" ht="20.100000000000001" customHeight="1" x14ac:dyDescent="0.25">
      <c r="B538" s="17" t="s">
        <v>705</v>
      </c>
      <c r="C538" s="126" t="str">
        <f>sample_wld_az1_rack7_pool_name</f>
        <v>sfo01-w01-r07-network-pool-01</v>
      </c>
      <c r="D538" s="337" t="str">
        <f>wld_az1_rack7_pool_name</f>
        <v>Value Missing</v>
      </c>
      <c r="E538" s="32"/>
    </row>
    <row r="539" spans="2:5" ht="20.100000000000001" customHeight="1" x14ac:dyDescent="0.25">
      <c r="B539" s="17" t="s">
        <v>535</v>
      </c>
      <c r="C539" s="126" t="s">
        <v>717</v>
      </c>
      <c r="D539"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32"/>
    </row>
    <row r="540" spans="2:5" ht="20.100000000000001" customHeight="1" x14ac:dyDescent="0.25">
      <c r="B540" s="17" t="s">
        <v>296</v>
      </c>
      <c r="C540" s="126" t="s">
        <v>379</v>
      </c>
      <c r="D540"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32"/>
    </row>
    <row r="541" spans="2:5" ht="15.95" customHeight="1" x14ac:dyDescent="0.25"/>
    <row r="542" spans="2:5" ht="33.950000000000003" customHeight="1" x14ac:dyDescent="0.25">
      <c r="B542" s="505" t="s">
        <v>3312</v>
      </c>
      <c r="C542" s="506"/>
      <c r="D542" s="506"/>
      <c r="E542" s="507"/>
    </row>
    <row r="543" spans="2:5" ht="20.100000000000001" customHeight="1" x14ac:dyDescent="0.25">
      <c r="B543" s="4" t="s">
        <v>784</v>
      </c>
      <c r="C543" s="89"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sfo01-sfo-w01-cl01-r07-network-profile</v>
      </c>
      <c r="D543" s="347"/>
      <c r="E543" s="80"/>
    </row>
    <row r="544" spans="2:5" ht="20.100000000000001" customHeight="1" x14ac:dyDescent="0.25">
      <c r="B544" s="4" t="s">
        <v>3280</v>
      </c>
      <c r="C544" s="362" t="s">
        <v>786</v>
      </c>
      <c r="D544" s="127" t="s">
        <v>786</v>
      </c>
      <c r="E544" s="4" t="str">
        <f>IF(wld_az1_rack7_host_overlay_new_pool_chosen="Re-use an existing Pool","An exisitng Pool will be reused for Host TEP assignment","A new Pool will be created for Host TEP assignment")</f>
        <v>A new Pool will be created for Host TEP assignment</v>
      </c>
    </row>
    <row r="545" spans="2:5" ht="20.100000000000001" customHeight="1" x14ac:dyDescent="0.25">
      <c r="B545" s="4" t="s">
        <v>787</v>
      </c>
      <c r="C545" s="89" t="str">
        <f>IF(cluster_wld_domain_chosen="VI Workload Domain",CONCATENATE(this_instance,"01-w0",wld_domain_number_chosen,"-r07-ip-pool01-host"),CONCATENATE(this_instance,"01-m01","-r07-ip-pool01-host"))</f>
        <v>sfo01-w01-r07-ip-pool01-host</v>
      </c>
      <c r="D545" s="347"/>
      <c r="E545" s="80"/>
    </row>
    <row r="546" spans="2:5" ht="20.100000000000001" customHeight="1" x14ac:dyDescent="0.25">
      <c r="B546" s="4" t="s">
        <v>788</v>
      </c>
      <c r="C546" s="89" t="str">
        <f>IF(cluster_wld_domain_chosen="VI Workload Domain",CONCATENATE(this_instance,"01-w0",wld_domain_number_chosen,"-r07-uplink-profile01"),CONCATENATE(this_instance,"01-m01","-r07-uplink-profile01"))</f>
        <v>sfo01-w01-r07-uplink-profile01</v>
      </c>
      <c r="D546" s="347"/>
      <c r="E546" s="80"/>
    </row>
    <row r="547" spans="2:5" ht="20.100000000000001" customHeight="1" x14ac:dyDescent="0.25">
      <c r="B547" s="4" t="s">
        <v>3281</v>
      </c>
      <c r="C547" s="89" t="str">
        <f>IF(cluster_wld_domain_chosen="VI Workload Domain",CONCATENATE(this_instance,"01-w0",wld_domain_number_chosen,"-r07-ip-pool02-edge"),CONCATENATE(this_instance,"01-m01","-r07-ip-pool02-edge"))</f>
        <v>sfo01-w01-r07-ip-pool02-edge</v>
      </c>
      <c r="D547" s="347"/>
      <c r="E547" s="80"/>
    </row>
    <row r="548" spans="2:5" ht="20.100000000000001" customHeight="1" x14ac:dyDescent="0.25">
      <c r="B548" s="4" t="s">
        <v>3282</v>
      </c>
      <c r="C548" s="89" t="str">
        <f>IF(cluster_wld_domain_chosen="VI Workload Domain",CONCATENATE(this_instance,"01-w0",wld_domain_number_chosen,"-r07-ip-pool03-rtep"),CONCATENATE(this_instance,"01-m01","-r07-ip-pool03-rtep"))</f>
        <v>sfo01-w01-r07-ip-pool03-rtep</v>
      </c>
      <c r="D548" s="347"/>
      <c r="E548" s="80"/>
    </row>
    <row r="549" spans="2:5" ht="20.100000000000001" customHeight="1" x14ac:dyDescent="0.25">
      <c r="B549" s="508" t="s">
        <v>365</v>
      </c>
      <c r="C549" s="509"/>
      <c r="D549" s="509"/>
      <c r="E549" s="510"/>
    </row>
    <row r="550" spans="2:5" ht="20.100000000000001" customHeight="1" x14ac:dyDescent="0.25">
      <c r="B550" s="207" t="s">
        <v>259</v>
      </c>
      <c r="C550" s="207" t="s">
        <v>711</v>
      </c>
      <c r="D550" s="239" t="s">
        <v>277</v>
      </c>
      <c r="E550" s="207" t="s">
        <v>5</v>
      </c>
    </row>
    <row r="551" spans="2:5" ht="20.100000000000001" customHeight="1" x14ac:dyDescent="0.25">
      <c r="B551" s="4" t="s">
        <v>1818</v>
      </c>
      <c r="C551" s="80" t="str">
        <f>IF(cluster_wld_domain_chosen&lt;&gt;"MGMT Workload Domain",CONCATENATE(this_instance,"-w0",wld_domain_number_chosen,"-r07","-vsan-fault-domain"),CONCATENATE(this_instance,"-m01","-r07","-vsan-fault-domain"))</f>
        <v>sfo-w01-r07-vsan-fault-domain</v>
      </c>
      <c r="D551" s="347"/>
      <c r="E551" s="337"/>
    </row>
    <row r="552" spans="2:5" ht="15.95" customHeight="1" x14ac:dyDescent="0.25"/>
    <row r="553" spans="2:5" ht="33.950000000000003" customHeight="1" x14ac:dyDescent="0.25">
      <c r="B553" s="505" t="s">
        <v>3313</v>
      </c>
      <c r="C553" s="506"/>
      <c r="D553" s="506"/>
      <c r="E553" s="507"/>
    </row>
    <row r="554" spans="2:5" ht="20.100000000000001" customHeight="1" x14ac:dyDescent="0.25">
      <c r="B554" s="43" t="s">
        <v>259</v>
      </c>
      <c r="C554" s="43" t="s">
        <v>711</v>
      </c>
      <c r="D554" s="130" t="s">
        <v>277</v>
      </c>
      <c r="E554" s="43" t="s">
        <v>5</v>
      </c>
    </row>
    <row r="555" spans="2:5" ht="20.100000000000001" customHeight="1" x14ac:dyDescent="0.25">
      <c r="B555" s="405" t="s">
        <v>467</v>
      </c>
      <c r="C555" s="406"/>
      <c r="D555" s="406"/>
      <c r="E555" s="407"/>
    </row>
    <row r="556" spans="2:5" ht="20.100000000000001" customHeight="1" x14ac:dyDescent="0.25">
      <c r="B556" s="4" t="s">
        <v>398</v>
      </c>
      <c r="C556" s="362" t="str">
        <f>IF(cluster_wld_domain_chosen&lt;&gt;"MGMT Workload Domain",CONCATENATE(prefix_wld_az1_rack_vlan,"80"),CONCATENATE(prefix_mgmt_az1_vlan,"80"))</f>
        <v>1380</v>
      </c>
      <c r="D556" s="347"/>
      <c r="E556" s="93"/>
    </row>
    <row r="557" spans="2:5" ht="20.100000000000001" customHeight="1" x14ac:dyDescent="0.25">
      <c r="B557" s="4" t="s">
        <v>401</v>
      </c>
      <c r="C557" s="362">
        <v>9000</v>
      </c>
      <c r="D557" s="347"/>
      <c r="E557" s="32"/>
    </row>
    <row r="558" spans="2:5" ht="20.100000000000001" customHeight="1" x14ac:dyDescent="0.25">
      <c r="B558" s="4" t="s">
        <v>400</v>
      </c>
      <c r="C558" s="362" t="str">
        <f>IF(cluster_wld_domain_chosen&lt;&gt;"MGMT Workload Domain",CONCATENATE(prefix_wld_az1_rack_cidr,"80.0"),CONCATENATE(prefix_mgmt_az1_cidr,"80.0"))</f>
        <v>10.13.80.0</v>
      </c>
      <c r="D558" s="347"/>
      <c r="E558" s="32"/>
    </row>
    <row r="559" spans="2:5" ht="20.100000000000001" customHeight="1" x14ac:dyDescent="0.25">
      <c r="B559" s="4" t="s">
        <v>732</v>
      </c>
      <c r="C559" s="362" t="s">
        <v>612</v>
      </c>
      <c r="D559" s="347"/>
      <c r="E559" s="32"/>
    </row>
    <row r="560" spans="2:5" ht="20.100000000000001" customHeight="1" x14ac:dyDescent="0.25">
      <c r="B560" s="4" t="s">
        <v>399</v>
      </c>
      <c r="C560" s="362" t="str">
        <f>IF(cluster_wld_domain_chosen&lt;&gt;"MGMT Workload Domain",CONCATENATE(prefix_wld_az1_rack_cidr,"80.1"),CONCATENATE(prefix_mgmt_az1_cidr,"80.1"))</f>
        <v>10.13.80.1</v>
      </c>
      <c r="D560" s="347"/>
      <c r="E560" s="32"/>
    </row>
    <row r="561" spans="2:5" ht="20.100000000000001" customHeight="1" x14ac:dyDescent="0.25">
      <c r="B561" s="17" t="s">
        <v>460</v>
      </c>
      <c r="C561" s="362" t="str">
        <f>IF(cluster_wld_domain_chosen&lt;&gt;"MGMT Workload Domain",CONCATENATE(prefix_wld_az1_rack_cidr,"80.101"),CONCATENATE(prefix_mgmt_az1_cidr,"80.101"))</f>
        <v>10.13.80.101</v>
      </c>
      <c r="D561" s="347"/>
      <c r="E561" s="100" t="s">
        <v>3314</v>
      </c>
    </row>
    <row r="562" spans="2:5" ht="20.100000000000001" customHeight="1" x14ac:dyDescent="0.25">
      <c r="B562" s="17" t="s">
        <v>461</v>
      </c>
      <c r="C562" s="362" t="str">
        <f>IF(cluster_wld_domain_chosen&lt;&gt;"MGMT Workload Domain",CONCATENATE(prefix_wld_az1_rack_cidr,"80.116"),CONCATENATE(prefix_mgmt_az1_cidr,"80.116"))</f>
        <v>10.13.80.116</v>
      </c>
      <c r="D562" s="347"/>
      <c r="E562" s="100" t="s">
        <v>3315</v>
      </c>
    </row>
    <row r="563" spans="2:5" ht="15.95" customHeight="1" x14ac:dyDescent="0.25"/>
    <row r="564" spans="2:5" ht="33.950000000000003" customHeight="1" x14ac:dyDescent="0.25">
      <c r="B564" s="505" t="s">
        <v>3316</v>
      </c>
      <c r="C564" s="506"/>
      <c r="D564" s="506"/>
      <c r="E564" s="507"/>
    </row>
    <row r="565" spans="2:5" ht="20.100000000000001" customHeight="1" x14ac:dyDescent="0.25">
      <c r="B565" s="43" t="s">
        <v>259</v>
      </c>
      <c r="C565" s="43" t="s">
        <v>711</v>
      </c>
      <c r="D565" s="130" t="s">
        <v>277</v>
      </c>
      <c r="E565" s="43" t="s">
        <v>5</v>
      </c>
    </row>
    <row r="566" spans="2:5" ht="20.100000000000001" customHeight="1" x14ac:dyDescent="0.25">
      <c r="B566" s="405" t="s">
        <v>397</v>
      </c>
      <c r="C566" s="406"/>
      <c r="D566" s="406"/>
      <c r="E566" s="407"/>
    </row>
    <row r="567" spans="2:5" ht="20.100000000000001" customHeight="1" x14ac:dyDescent="0.25">
      <c r="B567" s="4" t="s">
        <v>398</v>
      </c>
      <c r="C567" s="362" t="str">
        <f>IF(cluster_wld_domain_chosen&lt;&gt;"MGMT Workload Domain",CONCATENATE(prefix_wld_az1_rack_vlan,"88"),CONCATENATE(prefix_mgmt_az1_vlan,"88"))</f>
        <v>1388</v>
      </c>
      <c r="D567" s="347"/>
      <c r="E567" s="93"/>
    </row>
    <row r="568" spans="2:5" ht="20.100000000000001" customHeight="1" x14ac:dyDescent="0.25">
      <c r="B568" s="4" t="s">
        <v>399</v>
      </c>
      <c r="C568" s="362" t="str">
        <f>IF(cluster_wld_domain_chosen&lt;&gt;"MGMT Workload Domain",CONCATENATE(prefix_wld_az1_rack_cidr,"88.1"),CONCATENATE(prefix_mgmt_az1_cidr,"88.1"))</f>
        <v>10.13.88.1</v>
      </c>
      <c r="D568" s="347"/>
      <c r="E568" s="32"/>
    </row>
    <row r="569" spans="2:5" ht="20.100000000000001" customHeight="1" x14ac:dyDescent="0.25">
      <c r="B569" s="4" t="s">
        <v>400</v>
      </c>
      <c r="C569" s="362" t="str">
        <f>IF(cluster_wld_domain_chosen&lt;&gt;"MGMT Workload Domain",CONCATENATE(prefix_wld_az1_rack_cidr,"88.0/24"),CONCATENATE(prefix_mgmt_az1_cidr,"88.0/24"))</f>
        <v>10.13.88.0/24</v>
      </c>
      <c r="D569" s="347"/>
      <c r="E569" s="32"/>
    </row>
    <row r="570" spans="2:5" ht="20.100000000000001" customHeight="1" x14ac:dyDescent="0.25">
      <c r="B570" s="4" t="s">
        <v>401</v>
      </c>
      <c r="C570" s="362">
        <v>1500</v>
      </c>
      <c r="D570" s="347"/>
      <c r="E570" s="32"/>
    </row>
    <row r="571" spans="2:5" ht="20.100000000000001" customHeight="1" x14ac:dyDescent="0.25">
      <c r="B571" s="508" t="s">
        <v>476</v>
      </c>
      <c r="C571" s="509"/>
      <c r="D571" s="509"/>
      <c r="E571" s="510"/>
    </row>
    <row r="572" spans="2:5" ht="20.100000000000001" customHeight="1" x14ac:dyDescent="0.25">
      <c r="B572" s="17" t="s">
        <v>686</v>
      </c>
      <c r="C572" s="126" t="str">
        <f>IF(cluster_wld_domain_chosen&lt;&gt;"MGMT Workload Domain",CONCATENATE(prefix_wld_az1_rack_cidr,"88.101"),CONCATENATE(prefix_mgmt_az1_cidr,"88.101"))</f>
        <v>10.13.88.101</v>
      </c>
      <c r="D572" s="347"/>
      <c r="E572" s="100" t="s">
        <v>477</v>
      </c>
    </row>
    <row r="573" spans="2:5" ht="20.100000000000001" customHeight="1" x14ac:dyDescent="0.25">
      <c r="B573" s="17" t="s">
        <v>687</v>
      </c>
      <c r="C573" s="126" t="str">
        <f>IF(cluster_wld_domain_chosen&lt;&gt;"MGMT Workload Domain",CONCATENATE(prefix_wld_az1_rack_cidr,"88.102"),CONCATENATE(prefix_mgmt_az1_cidr,"88.102"))</f>
        <v>10.13.88.102</v>
      </c>
      <c r="D573" s="347"/>
      <c r="E573" s="100" t="s">
        <v>478</v>
      </c>
    </row>
    <row r="574" spans="2:5" ht="20.100000000000001" customHeight="1" x14ac:dyDescent="0.25">
      <c r="B574" s="17" t="s">
        <v>688</v>
      </c>
      <c r="C574" s="126" t="str">
        <f>IF(cluster_wld_domain_chosen&lt;&gt;"MGMT Workload Domain",CONCATENATE(prefix_wld_az1_rack_cidr,"88.103"),CONCATENATE(prefix_mgmt_az1_cidr,"88.103"))</f>
        <v>10.13.88.103</v>
      </c>
      <c r="D574" s="347"/>
      <c r="E574" s="100" t="s">
        <v>479</v>
      </c>
    </row>
    <row r="575" spans="2:5" ht="20.100000000000001" customHeight="1" x14ac:dyDescent="0.25">
      <c r="B575" s="17" t="s">
        <v>689</v>
      </c>
      <c r="C575" s="126" t="str">
        <f>IF(cluster_wld_domain_chosen&lt;&gt;"MGMT Workload Domain",CONCATENATE(prefix_wld_az1_rack_cidr,"88.104"),CONCATENATE(prefix_mgmt_az1_cidr,"88.104"))</f>
        <v>10.13.88.104</v>
      </c>
      <c r="D575" s="347"/>
      <c r="E575" s="100" t="s">
        <v>480</v>
      </c>
    </row>
    <row r="576" spans="2:5" ht="20.100000000000001" customHeight="1" x14ac:dyDescent="0.25">
      <c r="B576" s="17" t="s">
        <v>690</v>
      </c>
      <c r="C576" s="126" t="str">
        <f>IF(cluster_wld_domain_chosen&lt;&gt;"MGMT Workload Domain",CONCATENATE(prefix_wld_az1_rack_cidr,"88.105"),CONCATENATE(prefix_mgmt_az1_cidr,"88.105"))</f>
        <v>10.13.88.105</v>
      </c>
      <c r="D576" s="347"/>
      <c r="E576" s="100" t="s">
        <v>481</v>
      </c>
    </row>
    <row r="577" spans="2:5" ht="20.100000000000001" customHeight="1" x14ac:dyDescent="0.25">
      <c r="B577" s="17" t="s">
        <v>691</v>
      </c>
      <c r="C577" s="126" t="str">
        <f>IF(cluster_wld_domain_chosen&lt;&gt;"MGMT Workload Domain",CONCATENATE(prefix_wld_az1_rack_cidr,"88.106"),CONCATENATE(prefix_mgmt_az1_cidr,"88.106"))</f>
        <v>10.13.88.106</v>
      </c>
      <c r="D577" s="347"/>
      <c r="E577" s="100" t="s">
        <v>482</v>
      </c>
    </row>
    <row r="578" spans="2:5" ht="20.100000000000001" customHeight="1" x14ac:dyDescent="0.25">
      <c r="B578" s="17" t="s">
        <v>692</v>
      </c>
      <c r="C578" s="126" t="str">
        <f>IF(cluster_wld_domain_chosen&lt;&gt;"MGMT Workload Domain",CONCATENATE(prefix_wld_az1_rack_cidr,"88.107"),CONCATENATE(prefix_mgmt_az1_cidr,"88.107"))</f>
        <v>10.13.88.107</v>
      </c>
      <c r="D578" s="347"/>
      <c r="E578" s="100" t="s">
        <v>483</v>
      </c>
    </row>
    <row r="579" spans="2:5" ht="20.100000000000001" customHeight="1" x14ac:dyDescent="0.25">
      <c r="B579" s="17" t="s">
        <v>693</v>
      </c>
      <c r="C579" s="126" t="str">
        <f>IF(cluster_wld_domain_chosen&lt;&gt;"MGMT Workload Domain",CONCATENATE(prefix_wld_az1_rack_cidr,"88.108"),CONCATENATE(prefix_mgmt_az1_cidr,"88.108"))</f>
        <v>10.13.88.108</v>
      </c>
      <c r="D579" s="347"/>
      <c r="E579" s="100" t="s">
        <v>484</v>
      </c>
    </row>
    <row r="580" spans="2:5" ht="20.100000000000001" customHeight="1" x14ac:dyDescent="0.25">
      <c r="B580" s="17" t="s">
        <v>694</v>
      </c>
      <c r="C580" s="126" t="str">
        <f>IF(cluster_wld_domain_chosen&lt;&gt;"MGMT Workload Domain",CONCATENATE(prefix_wld_az1_rack_cidr,"88.109"),CONCATENATE(prefix_mgmt_az1_cidr,"88.109"))</f>
        <v>10.13.88.109</v>
      </c>
      <c r="D580" s="347"/>
      <c r="E580" s="100" t="s">
        <v>485</v>
      </c>
    </row>
    <row r="581" spans="2:5" ht="20.100000000000001" customHeight="1" x14ac:dyDescent="0.25">
      <c r="B581" s="17" t="s">
        <v>695</v>
      </c>
      <c r="C581" s="126" t="str">
        <f>IF(cluster_wld_domain_chosen&lt;&gt;"MGMT Workload Domain",CONCATENATE(prefix_wld_az1_rack_cidr,"88.110"),CONCATENATE(prefix_mgmt_az1_cidr,"88.110"))</f>
        <v>10.13.88.110</v>
      </c>
      <c r="D581" s="347"/>
      <c r="E581" s="100" t="s">
        <v>486</v>
      </c>
    </row>
    <row r="582" spans="2:5" ht="20.100000000000001" customHeight="1" x14ac:dyDescent="0.25">
      <c r="B582" s="17" t="s">
        <v>696</v>
      </c>
      <c r="C582" s="126" t="str">
        <f>IF(cluster_wld_domain_chosen&lt;&gt;"MGMT Workload Domain",CONCATENATE(prefix_wld_az1_rack_cidr,"88.111"),CONCATENATE(prefix_mgmt_az1_cidr,"88.111"))</f>
        <v>10.13.88.111</v>
      </c>
      <c r="D582" s="347"/>
      <c r="E582" s="100" t="s">
        <v>487</v>
      </c>
    </row>
    <row r="583" spans="2:5" ht="20.100000000000001" customHeight="1" x14ac:dyDescent="0.25">
      <c r="B583" s="17" t="s">
        <v>697</v>
      </c>
      <c r="C583" s="126" t="str">
        <f>IF(cluster_wld_domain_chosen&lt;&gt;"MGMT Workload Domain",CONCATENATE(prefix_wld_az1_rack_cidr,"88.112"),CONCATENATE(prefix_mgmt_az1_cidr,"88.112"))</f>
        <v>10.13.88.112</v>
      </c>
      <c r="D583" s="347"/>
      <c r="E583" s="100" t="s">
        <v>488</v>
      </c>
    </row>
    <row r="584" spans="2:5" ht="20.100000000000001" customHeight="1" x14ac:dyDescent="0.25">
      <c r="B584" s="17" t="s">
        <v>698</v>
      </c>
      <c r="C584" s="126" t="str">
        <f>IF(cluster_wld_domain_chosen&lt;&gt;"MGMT Workload Domain",CONCATENATE(prefix_wld_az1_rack_cidr,"88.113"),CONCATENATE(prefix_mgmt_az1_cidr,"88.113"))</f>
        <v>10.13.88.113</v>
      </c>
      <c r="D584" s="347"/>
      <c r="E584" s="100" t="s">
        <v>489</v>
      </c>
    </row>
    <row r="585" spans="2:5" ht="20.100000000000001" customHeight="1" x14ac:dyDescent="0.25">
      <c r="B585" s="17" t="s">
        <v>699</v>
      </c>
      <c r="C585" s="126" t="str">
        <f>IF(cluster_wld_domain_chosen&lt;&gt;"MGMT Workload Domain",CONCATENATE(prefix_wld_az1_rack_cidr,"88.114"),CONCATENATE(prefix_mgmt_az1_cidr,"88.114"))</f>
        <v>10.13.88.114</v>
      </c>
      <c r="D585" s="347"/>
      <c r="E585" s="100" t="s">
        <v>490</v>
      </c>
    </row>
    <row r="586" spans="2:5" ht="20.100000000000001" customHeight="1" x14ac:dyDescent="0.25">
      <c r="B586" s="17" t="s">
        <v>700</v>
      </c>
      <c r="C586" s="126" t="str">
        <f>IF(cluster_wld_domain_chosen&lt;&gt;"MGMT Workload Domain",CONCATENATE(prefix_wld_az1_rack_cidr,"88.115"),CONCATENATE(prefix_mgmt_az1_cidr,"88.115"))</f>
        <v>10.13.88.115</v>
      </c>
      <c r="D586" s="347"/>
      <c r="E586" s="100" t="s">
        <v>491</v>
      </c>
    </row>
    <row r="587" spans="2:5" ht="20.100000000000001" customHeight="1" x14ac:dyDescent="0.25">
      <c r="B587" s="17" t="s">
        <v>701</v>
      </c>
      <c r="C587" s="126" t="str">
        <f>IF(cluster_wld_domain_chosen&lt;&gt;"MGMT Workload Domain",CONCATENATE(prefix_wld_az1_rack_cidr,"88.116"),CONCATENATE(prefix_mgmt_az1_cidr,"88.116"))</f>
        <v>10.13.88.116</v>
      </c>
      <c r="D587" s="347"/>
      <c r="E587" s="100" t="s">
        <v>492</v>
      </c>
    </row>
    <row r="588" spans="2:5" ht="15.95" customHeight="1" x14ac:dyDescent="0.25">
      <c r="B588" s="8"/>
      <c r="C588" s="8"/>
      <c r="D588" s="8"/>
      <c r="E588" s="8"/>
    </row>
    <row r="589" spans="2:5" ht="33.950000000000003" customHeight="1" x14ac:dyDescent="0.25">
      <c r="B589" s="505" t="s">
        <v>3317</v>
      </c>
      <c r="C589" s="506"/>
      <c r="D589" s="506"/>
      <c r="E589" s="507"/>
    </row>
    <row r="590" spans="2:5" ht="20.100000000000001" customHeight="1" x14ac:dyDescent="0.25">
      <c r="B590" s="43" t="s">
        <v>259</v>
      </c>
      <c r="C590" s="43" t="s">
        <v>711</v>
      </c>
      <c r="D590" s="130" t="s">
        <v>277</v>
      </c>
      <c r="E590" s="43" t="s">
        <v>5</v>
      </c>
    </row>
    <row r="591" spans="2:5" ht="20.100000000000001" customHeight="1" x14ac:dyDescent="0.25">
      <c r="B591" s="4" t="s">
        <v>3273</v>
      </c>
      <c r="C591" s="362" t="s">
        <v>704</v>
      </c>
      <c r="D591" s="127" t="s">
        <v>704</v>
      </c>
      <c r="E591" s="4" t="str">
        <f>IF(wld_az1_rack7_reuse_vcf_networkpool_chosen="Re-use an existing  VCF Network Pool","An exisiting VCF Network Pool will be reused for Host TEP assignment","A new VCF Network Pool will be created")</f>
        <v>A new VCF Network Pool will be created</v>
      </c>
    </row>
    <row r="592" spans="2:5" ht="20.100000000000001" customHeight="1" x14ac:dyDescent="0.25">
      <c r="B592" s="17" t="s">
        <v>705</v>
      </c>
      <c r="C592" s="89" t="str">
        <f>IF(cluster_wld_domain_chosen="VI Workload Domain",CONCATENATE(this_instance,"01-w0",wld_domain_number_chosen,"-r08-network-pool-01"),CONCATENATE(this_instance,"01-m01","-r08-network-pool-01"))</f>
        <v>sfo01-w01-r08-network-pool-01</v>
      </c>
      <c r="D592" s="347"/>
      <c r="E592" s="32"/>
    </row>
    <row r="593" spans="2:5" ht="20.100000000000001" customHeight="1" x14ac:dyDescent="0.25">
      <c r="B593" s="405" t="s">
        <v>404</v>
      </c>
      <c r="C593" s="406"/>
      <c r="D593" s="406"/>
      <c r="E593" s="407"/>
    </row>
    <row r="594" spans="2:5" ht="20.100000000000001" customHeight="1" x14ac:dyDescent="0.25">
      <c r="B594" s="4" t="s">
        <v>398</v>
      </c>
      <c r="C594" s="362" t="str">
        <f>IF(cluster_wld_domain_chosen&lt;&gt;"MGMT Workload Domain",CONCATENATE(prefix_wld_az1_rack_vlan,"89"),CONCATENATE(prefix_mgmt_az1_vlan,"89"))</f>
        <v>1389</v>
      </c>
      <c r="D594" s="347"/>
      <c r="E594" s="93"/>
    </row>
    <row r="595" spans="2:5" ht="20.100000000000001" customHeight="1" x14ac:dyDescent="0.25">
      <c r="B595" s="4" t="s">
        <v>401</v>
      </c>
      <c r="C595" s="362">
        <v>9000</v>
      </c>
      <c r="D595" s="347"/>
      <c r="E595" s="32"/>
    </row>
    <row r="596" spans="2:5" ht="20.100000000000001" customHeight="1" x14ac:dyDescent="0.25">
      <c r="B596" s="4" t="s">
        <v>400</v>
      </c>
      <c r="C596" s="126" t="str">
        <f>IF(cluster_wld_domain_chosen&lt;&gt;"MGMT Workload Domain",CONCATENATE(prefix_wld_az1_rack_cidr,"89.0"),CONCATENATE(prefix_mgmt_az1_cidr,"89.0"))</f>
        <v>10.13.89.0</v>
      </c>
      <c r="D596" s="347"/>
      <c r="E596" s="32"/>
    </row>
    <row r="597" spans="2:5" ht="20.100000000000001" customHeight="1" x14ac:dyDescent="0.25">
      <c r="B597" s="4" t="s">
        <v>732</v>
      </c>
      <c r="C597" s="126" t="s">
        <v>612</v>
      </c>
      <c r="D597" s="347"/>
      <c r="E597" s="32"/>
    </row>
    <row r="598" spans="2:5" ht="20.100000000000001" customHeight="1" x14ac:dyDescent="0.25">
      <c r="B598" s="4" t="s">
        <v>399</v>
      </c>
      <c r="C598" s="362" t="str">
        <f>IF(cluster_wld_domain_chosen&lt;&gt;"MGMT Workload Domain",CONCATENATE(prefix_wld_az1_rack_cidr,"89.1"),CONCATENATE(prefix_mgmt_az1_cidr,"89.1"))</f>
        <v>10.13.89.1</v>
      </c>
      <c r="D598" s="347"/>
      <c r="E598" s="32"/>
    </row>
    <row r="599" spans="2:5" ht="20.100000000000001" customHeight="1" x14ac:dyDescent="0.25">
      <c r="B599" s="17" t="s">
        <v>460</v>
      </c>
      <c r="C599" s="362" t="str">
        <f>IF(cluster_wld_domain_chosen&lt;&gt;"MGMT Workload Domain",CONCATENATE(prefix_wld_az1_rack_cidr,"89.101"),CONCATENATE(prefix_mgmt_az1_cidr,"89.101"))</f>
        <v>10.13.89.101</v>
      </c>
      <c r="D599" s="347"/>
      <c r="E599" s="100" t="s">
        <v>3293</v>
      </c>
    </row>
    <row r="600" spans="2:5" ht="20.100000000000001" customHeight="1" x14ac:dyDescent="0.25">
      <c r="B600" s="17" t="s">
        <v>461</v>
      </c>
      <c r="C600" s="362" t="str">
        <f>IF(cluster_wld_domain_chosen&lt;&gt;"MGMT Workload Domain",CONCATENATE(prefix_wld_az1_rack_cidr,"89.116"),CONCATENATE(prefix_mgmt_az1_cidr,"89.116"))</f>
        <v>10.13.89.116</v>
      </c>
      <c r="D600" s="347"/>
      <c r="E600" s="100" t="s">
        <v>3294</v>
      </c>
    </row>
    <row r="601" spans="2:5" ht="20.100000000000001" customHeight="1" x14ac:dyDescent="0.25">
      <c r="B601" s="405" t="s">
        <v>407</v>
      </c>
      <c r="C601" s="406"/>
      <c r="D601" s="406"/>
      <c r="E601" s="407"/>
    </row>
    <row r="602" spans="2:5" ht="20.100000000000001" customHeight="1" x14ac:dyDescent="0.25">
      <c r="B602" s="4" t="s">
        <v>398</v>
      </c>
      <c r="C602" s="362" t="str">
        <f>IF(cluster_wld_domain_chosen&lt;&gt;"MGMT Workload Domain",CONCATENATE(prefix_wld_az1_rack_vlan,"90"),CONCATENATE(prefix_mgmt_az1_vlan,"90"))</f>
        <v>1390</v>
      </c>
      <c r="D602" s="347"/>
      <c r="E602" s="32"/>
    </row>
    <row r="603" spans="2:5" ht="20.100000000000001" customHeight="1" x14ac:dyDescent="0.25">
      <c r="B603" s="4" t="s">
        <v>401</v>
      </c>
      <c r="C603" s="362">
        <v>9000</v>
      </c>
      <c r="D603" s="347"/>
      <c r="E603" s="32"/>
    </row>
    <row r="604" spans="2:5" ht="20.100000000000001" customHeight="1" x14ac:dyDescent="0.25">
      <c r="B604" s="4" t="s">
        <v>400</v>
      </c>
      <c r="C604" s="126" t="str">
        <f>IF(cluster_wld_domain_chosen&lt;&gt;"MGMT Workload Domain",CONCATENATE(prefix_wld_az1_rack_cidr,"90.0"),CONCATENATE(prefix_mgmt_az1_cidr,"90.0"))</f>
        <v>10.13.90.0</v>
      </c>
      <c r="D604" s="347"/>
      <c r="E604" s="56"/>
    </row>
    <row r="605" spans="2:5" ht="20.100000000000001" customHeight="1" x14ac:dyDescent="0.25">
      <c r="B605" s="4" t="s">
        <v>732</v>
      </c>
      <c r="C605" s="126" t="s">
        <v>612</v>
      </c>
      <c r="D605" s="347"/>
      <c r="E605" s="32"/>
    </row>
    <row r="606" spans="2:5" ht="20.100000000000001" customHeight="1" x14ac:dyDescent="0.25">
      <c r="B606" s="4" t="s">
        <v>399</v>
      </c>
      <c r="C606" s="362" t="str">
        <f>IF(cluster_wld_domain_chosen&lt;&gt;"MGMT Workload Domain",CONCATENATE(prefix_wld_az1_rack_cidr,"90.1"),CONCATENATE(prefix_mgmt_az1_cidr,"90.1"))</f>
        <v>10.13.90.1</v>
      </c>
      <c r="D606" s="347"/>
      <c r="E606" s="32" t="str">
        <f>IF(AND(mgmt_stretched_cluster_result="Included",mgmt_dpg_reuse_result="Excluded"),"Stretched L2","")</f>
        <v/>
      </c>
    </row>
    <row r="607" spans="2:5" ht="20.100000000000001" customHeight="1" x14ac:dyDescent="0.25">
      <c r="B607" s="17" t="s">
        <v>460</v>
      </c>
      <c r="C607" s="362" t="str">
        <f>IF(cluster_wld_domain_chosen&lt;&gt;"MGMT Workload Domain",CONCATENATE(prefix_wld_az1_rack_cidr,"90.101"),CONCATENATE(prefix_mgmt_az1_cidr,"90.101"))</f>
        <v>10.13.90.101</v>
      </c>
      <c r="D607" s="347"/>
      <c r="E607" s="100" t="s">
        <v>3318</v>
      </c>
    </row>
    <row r="608" spans="2:5" ht="20.100000000000001" customHeight="1" x14ac:dyDescent="0.25">
      <c r="B608" s="17" t="s">
        <v>461</v>
      </c>
      <c r="C608" s="362" t="str">
        <f>IF(cluster_wld_domain_chosen&lt;&gt;"MGMT Workload Domain",CONCATENATE(prefix_wld_az1_rack_cidr,"90.116"),CONCATENATE(prefix_mgmt_az1_cidr,"90.116"))</f>
        <v>10.13.90.116</v>
      </c>
      <c r="D608" s="347"/>
      <c r="E608" s="100" t="s">
        <v>3319</v>
      </c>
    </row>
    <row r="609" spans="2:5" ht="15.95" customHeight="1" x14ac:dyDescent="0.25">
      <c r="B609" s="8"/>
      <c r="C609" s="8"/>
      <c r="D609" s="8"/>
      <c r="E609" s="8"/>
    </row>
    <row r="610" spans="2:5" ht="33.950000000000003" customHeight="1" x14ac:dyDescent="0.25">
      <c r="B610" s="505" t="s">
        <v>3320</v>
      </c>
      <c r="C610" s="506"/>
      <c r="D610" s="506"/>
      <c r="E610" s="507"/>
    </row>
    <row r="611" spans="2:5" ht="20.100000000000001" customHeight="1" x14ac:dyDescent="0.25">
      <c r="B611" s="43" t="s">
        <v>259</v>
      </c>
      <c r="C611" s="43" t="s">
        <v>711</v>
      </c>
      <c r="D611" s="130" t="s">
        <v>277</v>
      </c>
      <c r="E611" s="43" t="s">
        <v>5</v>
      </c>
    </row>
    <row r="612" spans="2:5" ht="20.100000000000001" customHeight="1" x14ac:dyDescent="0.25">
      <c r="B612" s="17" t="s">
        <v>686</v>
      </c>
      <c r="C612" s="126" t="str">
        <f>IF(cluster_wld_domain_chosen&lt;&gt;"MGMT Workload Domain",CONCATENATE(this_instance,"01-w0",wld_domain_number_chosen,"-r08-esx01",".",sample_child_dns_zone),CONCATENATE(this_instance,"01-m01-r08-esx01",".",sample_child_dns_zone))</f>
        <v>sfo01-w01-r08-esx01.sfo.rainpole.io</v>
      </c>
      <c r="D612" s="347"/>
      <c r="E612" s="32"/>
    </row>
    <row r="613" spans="2:5" ht="20.100000000000001" customHeight="1" x14ac:dyDescent="0.25">
      <c r="B613" s="17" t="s">
        <v>687</v>
      </c>
      <c r="C613" s="126" t="str">
        <f>IF(cluster_wld_domain_chosen&lt;&gt;"MGMT Workload Domain",CONCATENATE(this_instance,"01-w0",wld_domain_number_chosen,"-r08-esx02",".",sample_child_dns_zone),CONCATENATE(this_instance,"01-m01-r08-esx02",".",sample_child_dns_zone))</f>
        <v>sfo01-w01-r08-esx02.sfo.rainpole.io</v>
      </c>
      <c r="D613" s="347"/>
      <c r="E613" s="32"/>
    </row>
    <row r="614" spans="2:5" ht="20.100000000000001" customHeight="1" x14ac:dyDescent="0.25">
      <c r="B614" s="17" t="s">
        <v>688</v>
      </c>
      <c r="C614" s="126" t="str">
        <f>IF(cluster_wld_domain_chosen&lt;&gt;"MGMT Workload Domain",CONCATENATE(this_instance,"01-w0",wld_domain_number_chosen,"-r08-esx03",".",sample_child_dns_zone),CONCATENATE(this_instance,"01-m01-r08-esx03",".",sample_child_dns_zone))</f>
        <v>sfo01-w01-r08-esx03.sfo.rainpole.io</v>
      </c>
      <c r="D614" s="347"/>
      <c r="E614" s="32"/>
    </row>
    <row r="615" spans="2:5" ht="20.100000000000001" customHeight="1" x14ac:dyDescent="0.25">
      <c r="B615" s="17" t="s">
        <v>689</v>
      </c>
      <c r="C615" s="126" t="str">
        <f>IF(cluster_wld_domain_chosen&lt;&gt;"MGMT Workload Domain",CONCATENATE(this_instance,"01-w0",wld_domain_number_chosen,"-r08-esx04",".",sample_child_dns_zone),CONCATENATE(this_instance,"01-m01-r08-esx04",".",sample_child_dns_zone))</f>
        <v>sfo01-w01-r08-esx04.sfo.rainpole.io</v>
      </c>
      <c r="D615" s="347"/>
      <c r="E615" s="32"/>
    </row>
    <row r="616" spans="2:5" ht="20.100000000000001" customHeight="1" x14ac:dyDescent="0.25">
      <c r="B616" s="17" t="s">
        <v>690</v>
      </c>
      <c r="C616" s="126" t="str">
        <f>IF(cluster_wld_domain_chosen&lt;&gt;"MGMT Workload Domain",CONCATENATE(this_instance,"01-w0",wld_domain_number_chosen,"-r08-esx05",".",sample_child_dns_zone),CONCATENATE(this_instance,"01-m01-r08-esx05",".",sample_child_dns_zone))</f>
        <v>sfo01-w01-r08-esx05.sfo.rainpole.io</v>
      </c>
      <c r="D616" s="347"/>
      <c r="E616" s="32"/>
    </row>
    <row r="617" spans="2:5" ht="20.100000000000001" customHeight="1" x14ac:dyDescent="0.25">
      <c r="B617" s="17" t="s">
        <v>691</v>
      </c>
      <c r="C617" s="126" t="str">
        <f>IF(cluster_wld_domain_chosen&lt;&gt;"MGMT Workload Domain",CONCATENATE(this_instance,"01-w0",wld_domain_number_chosen,"-r08-esx06",".",sample_child_dns_zone),CONCATENATE(this_instance,"01-m01-r08-esx06",".",sample_child_dns_zone))</f>
        <v>sfo01-w01-r08-esx06.sfo.rainpole.io</v>
      </c>
      <c r="D617" s="347"/>
      <c r="E617" s="32"/>
    </row>
    <row r="618" spans="2:5" ht="20.100000000000001" customHeight="1" x14ac:dyDescent="0.25">
      <c r="B618" s="17" t="s">
        <v>692</v>
      </c>
      <c r="C618" s="126" t="str">
        <f>IF(cluster_wld_domain_chosen&lt;&gt;"MGMT Workload Domain",CONCATENATE(this_instance,"01-w0",wld_domain_number_chosen,"-r08-esx07",".",sample_child_dns_zone),CONCATENATE(this_instance,"01-m01-r08-esx07",".",sample_child_dns_zone))</f>
        <v>sfo01-w01-r08-esx07.sfo.rainpole.io</v>
      </c>
      <c r="D618" s="347"/>
      <c r="E618" s="32"/>
    </row>
    <row r="619" spans="2:5" ht="20.100000000000001" customHeight="1" x14ac:dyDescent="0.25">
      <c r="B619" s="17" t="s">
        <v>693</v>
      </c>
      <c r="C619" s="126" t="str">
        <f>IF(cluster_wld_domain_chosen&lt;&gt;"MGMT Workload Domain",CONCATENATE(this_instance,"01-w0",wld_domain_number_chosen,"-r08-esx08",".",sample_child_dns_zone),CONCATENATE(this_instance,"01-m01-r08-esx08",".",sample_child_dns_zone))</f>
        <v>sfo01-w01-r08-esx08.sfo.rainpole.io</v>
      </c>
      <c r="D619" s="347"/>
      <c r="E619" s="32"/>
    </row>
    <row r="620" spans="2:5" ht="20.100000000000001" customHeight="1" x14ac:dyDescent="0.25">
      <c r="B620" s="17" t="s">
        <v>694</v>
      </c>
      <c r="C620" s="126" t="str">
        <f>IF(cluster_wld_domain_chosen&lt;&gt;"MGMT Workload Domain",CONCATENATE(this_instance,"01-w0",wld_domain_number_chosen,"-r08-esx09",".",sample_child_dns_zone),CONCATENATE(this_instance,"01-m01-r08-esx09",".",sample_child_dns_zone))</f>
        <v>sfo01-w01-r08-esx09.sfo.rainpole.io</v>
      </c>
      <c r="D620" s="347"/>
      <c r="E620" s="32"/>
    </row>
    <row r="621" spans="2:5" ht="20.100000000000001" customHeight="1" x14ac:dyDescent="0.25">
      <c r="B621" s="17" t="s">
        <v>695</v>
      </c>
      <c r="C621" s="126" t="str">
        <f>IF(cluster_wld_domain_chosen&lt;&gt;"MGMT Workload Domain",CONCATENATE(this_instance,"01-w0",wld_domain_number_chosen,"-r08-esx10",".",sample_child_dns_zone),CONCATENATE(this_instance,"01-m01-r08-esx10",".",sample_child_dns_zone))</f>
        <v>sfo01-w01-r08-esx10.sfo.rainpole.io</v>
      </c>
      <c r="D621" s="347"/>
      <c r="E621" s="32"/>
    </row>
    <row r="622" spans="2:5" ht="20.100000000000001" customHeight="1" x14ac:dyDescent="0.25">
      <c r="B622" s="17" t="s">
        <v>696</v>
      </c>
      <c r="C622" s="126" t="str">
        <f>IF(cluster_wld_domain_chosen&lt;&gt;"MGMT Workload Domain",CONCATENATE(this_instance,"01-w0",wld_domain_number_chosen,"-r08-esx11",".",sample_child_dns_zone),CONCATENATE(this_instance,"01-m01-r08-esx11",".",sample_child_dns_zone))</f>
        <v>sfo01-w01-r08-esx11.sfo.rainpole.io</v>
      </c>
      <c r="D622" s="347"/>
      <c r="E622" s="32"/>
    </row>
    <row r="623" spans="2:5" ht="20.100000000000001" customHeight="1" x14ac:dyDescent="0.25">
      <c r="B623" s="17" t="s">
        <v>697</v>
      </c>
      <c r="C623" s="126" t="str">
        <f>IF(cluster_wld_domain_chosen&lt;&gt;"MGMT Workload Domain",CONCATENATE(this_instance,"01-w0",wld_domain_number_chosen,"-r08-esx12",".",sample_child_dns_zone),CONCATENATE(this_instance,"01-m01-r08-esx12",".",sample_child_dns_zone))</f>
        <v>sfo01-w01-r08-esx12.sfo.rainpole.io</v>
      </c>
      <c r="D623" s="347"/>
      <c r="E623" s="32"/>
    </row>
    <row r="624" spans="2:5" ht="20.100000000000001" customHeight="1" x14ac:dyDescent="0.25">
      <c r="B624" s="17" t="s">
        <v>698</v>
      </c>
      <c r="C624" s="126" t="str">
        <f>IF(cluster_wld_domain_chosen&lt;&gt;"MGMT Workload Domain",CONCATENATE(this_instance,"01-w0",wld_domain_number_chosen,"-r08-esx13",".",sample_child_dns_zone),CONCATENATE(this_instance,"01-m01-r08-esx13",".",sample_child_dns_zone))</f>
        <v>sfo01-w01-r08-esx13.sfo.rainpole.io</v>
      </c>
      <c r="D624" s="347"/>
      <c r="E624" s="32"/>
    </row>
    <row r="625" spans="2:5" ht="20.100000000000001" customHeight="1" x14ac:dyDescent="0.25">
      <c r="B625" s="17" t="s">
        <v>699</v>
      </c>
      <c r="C625" s="126" t="str">
        <f>IF(cluster_wld_domain_chosen&lt;&gt;"MGMT Workload Domain",CONCATENATE(this_instance,"01-w0",wld_domain_number_chosen,"-r08-esx14",".",sample_child_dns_zone),CONCATENATE(this_instance,"01-m01-r08-esx14",".",sample_child_dns_zone))</f>
        <v>sfo01-w01-r08-esx14.sfo.rainpole.io</v>
      </c>
      <c r="D625" s="347"/>
      <c r="E625" s="32"/>
    </row>
    <row r="626" spans="2:5" ht="20.100000000000001" customHeight="1" x14ac:dyDescent="0.25">
      <c r="B626" s="17" t="s">
        <v>700</v>
      </c>
      <c r="C626" s="126" t="str">
        <f>IF(cluster_wld_domain_chosen&lt;&gt;"MGMT Workload Domain",CONCATENATE(this_instance,"01-w0",wld_domain_number_chosen,"-r08-esx14",".",sample_child_dns_zone),CONCATENATE(this_instance,"01-m01-r08-esx15",".",sample_child_dns_zone))</f>
        <v>sfo01-w01-r08-esx14.sfo.rainpole.io</v>
      </c>
      <c r="D626" s="347"/>
      <c r="E626" s="32"/>
    </row>
    <row r="627" spans="2:5" ht="20.100000000000001" customHeight="1" x14ac:dyDescent="0.25">
      <c r="B627" s="17" t="s">
        <v>701</v>
      </c>
      <c r="C627" s="126" t="str">
        <f>IF(cluster_wld_domain_chosen&lt;&gt;"MGMT Workload Domain",CONCATENATE(this_instance,"01-w0",wld_domain_number_chosen,"-r08-esx16",".",sample_child_dns_zone),CONCATENATE(this_instance,"01-m01-r08-esx16",".",sample_child_dns_zone))</f>
        <v>sfo01-w01-r08-esx16.sfo.rainpole.io</v>
      </c>
      <c r="D627" s="347"/>
      <c r="E627" s="32"/>
    </row>
    <row r="628" spans="2:5" ht="20.100000000000001" customHeight="1" x14ac:dyDescent="0.25">
      <c r="B628" s="17" t="s">
        <v>712</v>
      </c>
      <c r="C628" s="89" t="s">
        <v>368</v>
      </c>
      <c r="D628" s="337" t="s">
        <v>713</v>
      </c>
      <c r="E628" s="32"/>
    </row>
    <row r="629" spans="2:5" ht="20.100000000000001" customHeight="1" x14ac:dyDescent="0.25">
      <c r="B629" s="17" t="s">
        <v>714</v>
      </c>
      <c r="C629" s="89" t="s">
        <v>715</v>
      </c>
      <c r="D629"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100000000000001" customHeight="1" x14ac:dyDescent="0.25">
      <c r="B630" s="17" t="s">
        <v>716</v>
      </c>
      <c r="C630" s="89" t="s">
        <v>323</v>
      </c>
      <c r="D630" s="337" t="str">
        <f>IF(AND(vcf_granular_option_chosen="Create Cluster",cluster_principal_storage_chosen="vSAN-ESA"),"Selected",
IF(AND(vcf_granular_option_chosen="Create VI Workload Domain",wld_principal_storage_chosen="vSAN-ESA"),"Selected","Unselected"))</f>
        <v>Unselected</v>
      </c>
      <c r="E630" s="32"/>
    </row>
    <row r="631" spans="2:5" ht="20.100000000000001" customHeight="1" x14ac:dyDescent="0.25">
      <c r="B631" s="17" t="s">
        <v>705</v>
      </c>
      <c r="C631" s="89" t="str">
        <f>sample_wld_az1_rack8_pool_name</f>
        <v>sfo01-w01-r08-network-pool-01</v>
      </c>
      <c r="D631" s="337" t="str">
        <f>wld_az1_rack8_pool_name</f>
        <v>Value Missing</v>
      </c>
      <c r="E631" s="32"/>
    </row>
    <row r="632" spans="2:5" ht="20.100000000000001" customHeight="1" x14ac:dyDescent="0.25">
      <c r="B632" s="17" t="s">
        <v>535</v>
      </c>
      <c r="C632" s="89" t="s">
        <v>717</v>
      </c>
      <c r="D632"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32"/>
    </row>
    <row r="633" spans="2:5" ht="20.100000000000001" customHeight="1" x14ac:dyDescent="0.25">
      <c r="B633" s="17" t="s">
        <v>296</v>
      </c>
      <c r="C633" s="89" t="s">
        <v>379</v>
      </c>
      <c r="D633" s="337"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32"/>
    </row>
    <row r="634" spans="2:5" ht="20.100000000000001" customHeight="1" x14ac:dyDescent="0.25"/>
    <row r="635" spans="2:5" ht="33.950000000000003" customHeight="1" x14ac:dyDescent="0.25">
      <c r="B635" s="505" t="s">
        <v>3321</v>
      </c>
      <c r="C635" s="506"/>
      <c r="D635" s="506"/>
      <c r="E635" s="507"/>
    </row>
    <row r="636" spans="2:5" ht="20.100000000000001" customHeight="1" x14ac:dyDescent="0.25">
      <c r="B636" s="4" t="s">
        <v>784</v>
      </c>
      <c r="C636" s="89"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sfo01-sfo-w01-cl01-r08-network-profile</v>
      </c>
      <c r="D636" s="347"/>
      <c r="E636" s="80"/>
    </row>
    <row r="637" spans="2:5" ht="20.100000000000001" customHeight="1" x14ac:dyDescent="0.25">
      <c r="B637" s="4" t="s">
        <v>3280</v>
      </c>
      <c r="C637" s="362" t="s">
        <v>786</v>
      </c>
      <c r="D637" s="127" t="s">
        <v>786</v>
      </c>
      <c r="E637" s="4" t="str">
        <f>IF(wld_az1_rack8_host_overlay_new_pool_chosen="Re-use an existing Pool","An existing Pool will be reused for Host TEP assignment","A new Pool will be created for Host TEP assignment")</f>
        <v>A new Pool will be created for Host TEP assignment</v>
      </c>
    </row>
    <row r="638" spans="2:5" ht="20.100000000000001" customHeight="1" x14ac:dyDescent="0.25">
      <c r="B638" s="4" t="s">
        <v>787</v>
      </c>
      <c r="C638" s="89" t="str">
        <f>IF(cluster_wld_domain_chosen="VI Workload Domain",CONCATENATE(this_instance,"01-w0",wld_domain_number_chosen,"-r08-ip-pool01-host"),CONCATENATE(this_instance,"01-m01","-r08-ip-pool01-host"))</f>
        <v>sfo01-w01-r08-ip-pool01-host</v>
      </c>
      <c r="D638" s="347"/>
      <c r="E638" s="80"/>
    </row>
    <row r="639" spans="2:5" ht="20.100000000000001" customHeight="1" x14ac:dyDescent="0.25">
      <c r="B639" s="4" t="s">
        <v>788</v>
      </c>
      <c r="C639" s="89" t="str">
        <f>IF(cluster_wld_domain_chosen="VI Workload Domain",CONCATENATE(this_instance,"01-w0",wld_domain_number_chosen,"-r08-uplink-profile01"),CONCATENATE(this_instance,"01-m01","-r08-uplink-profile01"))</f>
        <v>sfo01-w01-r08-uplink-profile01</v>
      </c>
      <c r="D639" s="347"/>
      <c r="E639" s="80"/>
    </row>
    <row r="640" spans="2:5" ht="20.100000000000001" customHeight="1" x14ac:dyDescent="0.25">
      <c r="B640" s="4" t="s">
        <v>3281</v>
      </c>
      <c r="C640" s="89" t="str">
        <f>IF(cluster_wld_domain_chosen="VI Workload Domain",CONCATENATE(this_instance,"01-w0",wld_domain_number_chosen,"-r08-ip-pool02-edge"),CONCATENATE(this_instance,"01-m01","-r08-ip-pool02-edge"))</f>
        <v>sfo01-w01-r08-ip-pool02-edge</v>
      </c>
      <c r="D640" s="347"/>
      <c r="E640" s="80"/>
    </row>
    <row r="641" spans="2:5" ht="20.100000000000001" customHeight="1" x14ac:dyDescent="0.25">
      <c r="B641" s="4" t="s">
        <v>3282</v>
      </c>
      <c r="C641" s="89" t="str">
        <f>IF(cluster_wld_domain_chosen="VI Workload Domain",CONCATENATE(this_instance,"01-w0",wld_domain_number_chosen,"-r08-ip-pool03-rtep"),CONCATENATE(this_instance,"01-m01","-r08-ip-pool03-rtep"))</f>
        <v>sfo01-w01-r08-ip-pool03-rtep</v>
      </c>
      <c r="D641" s="347"/>
      <c r="E641" s="80"/>
    </row>
    <row r="642" spans="2:5" ht="20.100000000000001" customHeight="1" x14ac:dyDescent="0.25">
      <c r="B642" s="405" t="s">
        <v>365</v>
      </c>
      <c r="C642" s="406"/>
      <c r="D642" s="406"/>
      <c r="E642" s="407"/>
    </row>
    <row r="643" spans="2:5" ht="20.100000000000001" customHeight="1" x14ac:dyDescent="0.25">
      <c r="B643" s="207" t="s">
        <v>259</v>
      </c>
      <c r="C643" s="207" t="s">
        <v>711</v>
      </c>
      <c r="D643" s="239" t="s">
        <v>277</v>
      </c>
      <c r="E643" s="207" t="s">
        <v>5</v>
      </c>
    </row>
    <row r="644" spans="2:5" ht="20.100000000000001" customHeight="1" x14ac:dyDescent="0.25">
      <c r="B644" s="4" t="s">
        <v>1818</v>
      </c>
      <c r="C644" s="80" t="str">
        <f>IF(cluster_wld_domain_chosen&lt;&gt;"MGMT Workload Domain",CONCATENATE(this_instance,"-w0",wld_domain_number_chosen,"-r08","-vsan-fault-domain"),CONCATENATE(this_instance,"-m01","-r08","-vsan-fault-domain"))</f>
        <v>sfo-w01-r08-vsan-fault-domain</v>
      </c>
      <c r="D644" s="347"/>
      <c r="E644" s="337"/>
    </row>
    <row r="645" spans="2:5" ht="15.95" customHeight="1" x14ac:dyDescent="0.25"/>
    <row r="646" spans="2:5" ht="33.950000000000003" customHeight="1" x14ac:dyDescent="0.25">
      <c r="B646" s="505" t="s">
        <v>3322</v>
      </c>
      <c r="C646" s="506"/>
      <c r="D646" s="506"/>
      <c r="E646" s="507"/>
    </row>
    <row r="647" spans="2:5" ht="20.100000000000001" customHeight="1" x14ac:dyDescent="0.25">
      <c r="B647" s="43" t="s">
        <v>259</v>
      </c>
      <c r="C647" s="43" t="s">
        <v>711</v>
      </c>
      <c r="D647" s="130" t="s">
        <v>277</v>
      </c>
      <c r="E647" s="43" t="s">
        <v>5</v>
      </c>
    </row>
    <row r="648" spans="2:5" ht="20.100000000000001" customHeight="1" x14ac:dyDescent="0.25">
      <c r="B648" s="405" t="s">
        <v>467</v>
      </c>
      <c r="C648" s="406"/>
      <c r="D648" s="406"/>
      <c r="E648" s="407"/>
    </row>
    <row r="649" spans="2:5" ht="20.100000000000001" customHeight="1" x14ac:dyDescent="0.25">
      <c r="B649" s="4" t="s">
        <v>398</v>
      </c>
      <c r="C649" s="362" t="str">
        <f>IF(cluster_wld_domain_chosen&lt;&gt;"MGMT Workload Domain",CONCATENATE(prefix_wld_az1_rack_vlan,"91"),CONCATENATE(prefix_mgmt_az1_vlan,"91"))</f>
        <v>1391</v>
      </c>
      <c r="D649" s="347"/>
      <c r="E649" s="93"/>
    </row>
    <row r="650" spans="2:5" ht="20.100000000000001" customHeight="1" x14ac:dyDescent="0.25">
      <c r="B650" s="4" t="s">
        <v>401</v>
      </c>
      <c r="C650" s="362">
        <v>9000</v>
      </c>
      <c r="D650" s="347"/>
      <c r="E650" s="32"/>
    </row>
    <row r="651" spans="2:5" ht="20.100000000000001" customHeight="1" x14ac:dyDescent="0.25">
      <c r="B651" s="4" t="s">
        <v>400</v>
      </c>
      <c r="C651" s="126" t="str">
        <f>IF(cluster_wld_domain_chosen&lt;&gt;"MGMT Workload Domain",CONCATENATE(prefix_wld_az1_rack_cidr,"91.0"),CONCATENATE(prefix_mgmt_az1_cidr,"91.0"))</f>
        <v>10.13.91.0</v>
      </c>
      <c r="D651" s="347"/>
      <c r="E651" s="32"/>
    </row>
    <row r="652" spans="2:5" ht="20.100000000000001" customHeight="1" x14ac:dyDescent="0.25">
      <c r="B652" s="4" t="s">
        <v>732</v>
      </c>
      <c r="C652" s="126" t="s">
        <v>612</v>
      </c>
      <c r="D652" s="347"/>
      <c r="E652" s="32"/>
    </row>
    <row r="653" spans="2:5" ht="20.100000000000001" customHeight="1" x14ac:dyDescent="0.25">
      <c r="B653" s="4" t="s">
        <v>399</v>
      </c>
      <c r="C653" s="362" t="str">
        <f>IF(cluster_wld_domain_chosen&lt;&gt;"MGMT Workload Domain",CONCATENATE(prefix_wld_az1_rack_cidr,"91.1"),CONCATENATE(prefix_mgmt_az1_cidr,"91.1"))</f>
        <v>10.13.91.1</v>
      </c>
      <c r="D653" s="347"/>
      <c r="E653" s="32"/>
    </row>
    <row r="654" spans="2:5" ht="20.100000000000001" customHeight="1" x14ac:dyDescent="0.25">
      <c r="B654" s="17" t="s">
        <v>460</v>
      </c>
      <c r="C654" s="362" t="str">
        <f>IF(cluster_wld_domain_chosen&lt;&gt;"MGMT Workload Domain",CONCATENATE(prefix_wld_az1_rack_cidr,"91.101"),CONCATENATE(prefix_mgmt_az1_cidr,"91.101"))</f>
        <v>10.13.91.101</v>
      </c>
      <c r="D654" s="347"/>
      <c r="E654" s="100" t="s">
        <v>3314</v>
      </c>
    </row>
    <row r="655" spans="2:5" ht="20.100000000000001" customHeight="1" x14ac:dyDescent="0.25">
      <c r="B655" s="17" t="s">
        <v>461</v>
      </c>
      <c r="C655" s="362" t="str">
        <f>IF(cluster_wld_domain_chosen&lt;&gt;"MGMT Workload Domain",CONCATENATE(prefix_wld_az1_rack_cidr,"91.116"),CONCATENATE(prefix_mgmt_az1_cidr,"91.116"))</f>
        <v>10.13.91.116</v>
      </c>
      <c r="D655" s="347"/>
      <c r="E655" s="100" t="s">
        <v>3315</v>
      </c>
    </row>
    <row r="656" spans="2:5" ht="20.100000000000001" customHeight="1" x14ac:dyDescent="0.25"/>
  </sheetData>
  <sheetProtection algorithmName="SHA-512" hashValue="O/AeHnxuTVVBohpoyFPYyPFE4zxCMwH6kdi2foH07iElrVBUXBDx+w2cDGNMdXB+s/erCuiJDgDeyRfeej2HgQ==" saltValue="bQPXAcre10A9/7XOkWQQIQ=="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2574"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2573"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2572" priority="1431">
      <formula>LEN(TRIM(D9))&gt;0</formula>
    </cfRule>
  </conditionalFormatting>
  <conditionalFormatting sqref="D15 D55 D108 D148 D201 D241 D294 D334 D387 D427 D480 D520 D573 D613">
    <cfRule type="expression" dxfId="2571" priority="46">
      <formula>AND((wld_compute_hosts_per_rack_chosen&lt;2),(vcf_granular_option_chosen="Create VI Workload Domain"))</formula>
    </cfRule>
    <cfRule type="expression" dxfId="2570" priority="27">
      <formula>AND((cluster_compute_hosts_per_rack_chosen&lt;2),(vcf_granular_option_chosen="Create Cluster"))</formula>
    </cfRule>
  </conditionalFormatting>
  <conditionalFormatting sqref="D16 D56 D109 D149 D202 D242 D295 D335 D388 D428 D481 D521 D574 D614">
    <cfRule type="expression" dxfId="2569" priority="28">
      <formula>AND((cluster_compute_hosts_per_rack_chosen&lt;3),(vcf_granular_option_chosen="Create Cluster"))</formula>
    </cfRule>
    <cfRule type="expression" dxfId="2568" priority="47">
      <formula>AND((wld_compute_hosts_per_rack_chosen&lt;3),(vcf_granular_option_chosen="Create VI Workload Domain"))</formula>
    </cfRule>
  </conditionalFormatting>
  <conditionalFormatting sqref="D17 D57 D110 D150 D203 D243 D296 D336 D389 D429 D482 D522 D575 D615">
    <cfRule type="expression" dxfId="2567" priority="29">
      <formula>AND((cluster_compute_hosts_per_rack_chosen&lt;4),(vcf_granular_option_chosen="Create Cluster"))</formula>
    </cfRule>
    <cfRule type="expression" dxfId="2566" priority="48">
      <formula>AND((wld_compute_hosts_per_rack_chosen&lt;4),(vcf_granular_option_chosen="Create VI Workload Domain"))</formula>
    </cfRule>
  </conditionalFormatting>
  <conditionalFormatting sqref="D18 D58 D111 D151 D204 D244 D297 D337 D390 D430 D483 D523 D576 D616">
    <cfRule type="expression" dxfId="2565" priority="30">
      <formula>AND((cluster_compute_hosts_per_rack_chosen&lt;5),(vcf_granular_option_chosen="Create Cluster"))</formula>
    </cfRule>
    <cfRule type="expression" dxfId="2564" priority="49">
      <formula>AND((wld_compute_hosts_per_rack_chosen&lt;5),(vcf_granular_option_chosen="Create VI Workload Domain"))</formula>
    </cfRule>
  </conditionalFormatting>
  <conditionalFormatting sqref="D19 D59 D112 D152 D205 D245 D298 D338 D391 D431 D484 D524 D577 D617">
    <cfRule type="expression" dxfId="2563" priority="50">
      <formula>AND((wld_compute_hosts_per_rack_chosen&lt;6),(vcf_granular_option_chosen="Create VI Workload Domain"))</formula>
    </cfRule>
    <cfRule type="expression" dxfId="2562" priority="31">
      <formula>AND((cluster_compute_hosts_per_rack_chosen&lt;6),(vcf_granular_option_chosen="Create Cluster"))</formula>
    </cfRule>
  </conditionalFormatting>
  <conditionalFormatting sqref="D20 D60 D113 D153 D206 D246 D299 D339 D392 D432 D485 D525 D578 D618">
    <cfRule type="expression" dxfId="2561" priority="32">
      <formula>AND((cluster_compute_hosts_per_rack_chosen&lt;7),(vcf_granular_option_chosen="Create Cluster"))</formula>
    </cfRule>
    <cfRule type="expression" dxfId="2560" priority="51">
      <formula>AND((wld_compute_hosts_per_rack_chosen&lt;7),(vcf_granular_option_chosen="Create VI Workload Domain"))</formula>
    </cfRule>
  </conditionalFormatting>
  <conditionalFormatting sqref="D21 D61 D114 D154 D207 D247 D300 D340 D393 D433 D486 D526 D579 D619">
    <cfRule type="expression" dxfId="2559" priority="52">
      <formula>AND((wld_compute_hosts_per_rack_chosen&lt;8),(vcf_granular_option_chosen="Create VI Workload Domain"))</formula>
    </cfRule>
    <cfRule type="expression" dxfId="2558" priority="33">
      <formula>AND((cluster_compute_hosts_per_rack_chosen&lt;8),(vcf_granular_option_chosen="Create Cluster"))</formula>
    </cfRule>
  </conditionalFormatting>
  <conditionalFormatting sqref="D22 D62 D115 D155 D208 D248 D301 D341 D394 D434 D487 D527 D580 D620">
    <cfRule type="expression" dxfId="2557" priority="53">
      <formula>AND((wld_compute_hosts_per_rack_chosen&lt;9),(vcf_granular_option_chosen="Create VI Workload Domain"))</formula>
    </cfRule>
    <cfRule type="expression" dxfId="2556" priority="34">
      <formula>AND((cluster_compute_hosts_per_rack_chosen&lt;9),(vcf_granular_option_chosen="Create Cluster"))</formula>
    </cfRule>
  </conditionalFormatting>
  <conditionalFormatting sqref="D23 D63 D116 D156 D209 D249 D302 D342 D395 D435 D488 D528 D581 D621">
    <cfRule type="expression" dxfId="2555" priority="54">
      <formula>AND((wld_compute_hosts_per_rack_chosen&lt;10),(vcf_granular_option_chosen="Create VI Workload Domain"))</formula>
    </cfRule>
    <cfRule type="expression" dxfId="2554" priority="35">
      <formula>AND((cluster_compute_hosts_per_rack_chosen&lt;10),(vcf_granular_option_chosen="Create Cluster"))</formula>
    </cfRule>
  </conditionalFormatting>
  <conditionalFormatting sqref="D24 D64 D117 D157 D210 D250 D303 D343 D396 D436 D489 D529 D582 D622">
    <cfRule type="expression" dxfId="2553" priority="55">
      <formula>AND((wld_compute_hosts_per_rack_chosen&lt;11),(vcf_granular_option_chosen="Create VI Workload Domain"))</formula>
    </cfRule>
    <cfRule type="expression" dxfId="2552" priority="36">
      <formula>AND((cluster_compute_hosts_per_rack_chosen&lt;11),(vcf_granular_option_chosen="Create Cluster"))</formula>
    </cfRule>
  </conditionalFormatting>
  <conditionalFormatting sqref="D25 D65 D118 D158 D211 D251 D304 D344 D397 D437 D490 D530 D583 D623">
    <cfRule type="expression" dxfId="2551" priority="37">
      <formula>AND((cluster_compute_hosts_per_rack_chosen&lt;12),(vcf_granular_option_chosen="Create Cluster"))</formula>
    </cfRule>
    <cfRule type="expression" dxfId="2550" priority="56">
      <formula>AND((wld_compute_hosts_per_rack_chosen&lt;12),(vcf_granular_option_chosen="Create VI Workload Domain"))</formula>
    </cfRule>
  </conditionalFormatting>
  <conditionalFormatting sqref="D26 D66 D119 D159 D212 D252 D305 D345 D398 D438 D491 D531 D584 D624">
    <cfRule type="expression" dxfId="2549" priority="38">
      <formula>AND((cluster_compute_hosts_per_rack_chosen&lt;13),(vcf_granular_option_chosen="Create Cluster"))</formula>
    </cfRule>
    <cfRule type="expression" dxfId="2548" priority="57">
      <formula>AND((wld_compute_hosts_per_rack_chosen&lt;13),(vcf_granular_option_chosen="Create VI Workload Domain"))</formula>
    </cfRule>
  </conditionalFormatting>
  <conditionalFormatting sqref="D27 D67 D120 D160 D213 D253 D306 D346 D399 D439 D492 D532 D585 D625">
    <cfRule type="expression" dxfId="2547" priority="39">
      <formula>AND((cluster_compute_hosts_per_rack_chosen&lt;14),(vcf_granular_option_chosen="Create Cluster"))</formula>
    </cfRule>
    <cfRule type="expression" dxfId="2546" priority="58">
      <formula>AND((wld_compute_hosts_per_rack_chosen&lt;14),(vcf_granular_option_chosen="Create VI Workload Domain"))</formula>
    </cfRule>
  </conditionalFormatting>
  <conditionalFormatting sqref="D28 D68 D121 D161 D214 D254 D307 D347 D400 D440 D493 D533 D586 D626">
    <cfRule type="expression" dxfId="2545" priority="59">
      <formula>AND((wld_compute_hosts_per_rack_chosen&lt;15),(vcf_granular_option_chosen="Create VI Workload Domain"))</formula>
    </cfRule>
    <cfRule type="expression" dxfId="2544" priority="40">
      <formula>AND((cluster_compute_hosts_per_rack_chosen&lt;15),(vcf_granular_option_chosen="Create Cluster"))</formula>
    </cfRule>
  </conditionalFormatting>
  <conditionalFormatting sqref="D29 D69 D122 D162 D215 D255 D308 D348 D401 D441 D494 D534 D587 D627">
    <cfRule type="expression" dxfId="2543" priority="41">
      <formula>AND((cluster_compute_hosts_per_rack_chosen&lt;16),(vcf_granular_option_chosen="Create Cluster"))</formula>
    </cfRule>
    <cfRule type="expression" dxfId="2542" priority="60">
      <formula>AND((wld_compute_hosts_per_rack_chosen&lt;16),(vcf_granular_option_chosen="Create VI Workload Domain"))</formula>
    </cfRule>
  </conditionalFormatting>
  <conditionalFormatting sqref="D36:D42 D44:D50">
    <cfRule type="expression" dxfId="2541" priority="7">
      <formula>wld_az1_rack2_reuse_vcf_networkpool_chosen="Re-use an existing VCF Network Pool"</formula>
    </cfRule>
  </conditionalFormatting>
  <conditionalFormatting sqref="D36:D50">
    <cfRule type="notContainsBlanks" dxfId="2540" priority="1394">
      <formula>LEN(TRIM(D36))&gt;0</formula>
    </cfRule>
  </conditionalFormatting>
  <conditionalFormatting sqref="D43">
    <cfRule type="expression" dxfId="2539" priority="1391">
      <formula>mgmt_domain_existing_vcenter_chosen="Selected"</formula>
    </cfRule>
    <cfRule type="containsBlanks" dxfId="2538" priority="1393">
      <formula>LEN(TRIM(D43))=0</formula>
    </cfRule>
  </conditionalFormatting>
  <conditionalFormatting sqref="D91:D97">
    <cfRule type="expression" dxfId="2537" priority="14">
      <formula>wld_az1_rack2_host_overlay_new_pool_chosen="Re-use an existing Pool"</formula>
    </cfRule>
  </conditionalFormatting>
  <conditionalFormatting sqref="D129:D135 D137:D143">
    <cfRule type="expression" dxfId="2536" priority="6">
      <formula>wld_az1_rack3_reuse_vcf_networkpool_chosen="Re-use an existing VCF Network Pool"</formula>
    </cfRule>
  </conditionalFormatting>
  <conditionalFormatting sqref="D184:D190">
    <cfRule type="expression" dxfId="2535" priority="13">
      <formula>wld_az1_rack3_host_overlay_new_pool_chosen="Re-use an existing Pool"</formula>
    </cfRule>
  </conditionalFormatting>
  <conditionalFormatting sqref="D222:D228 D230:D236">
    <cfRule type="expression" dxfId="2534" priority="5">
      <formula>wld_az1_rack4_reuse_vcf_networkpool_chosen="Re-use an existing VCF Network Pool"</formula>
    </cfRule>
  </conditionalFormatting>
  <conditionalFormatting sqref="D277:D283">
    <cfRule type="expression" dxfId="2533" priority="12">
      <formula>wld_az1_rack3_host_overlay_new_pool_chosen="Re-use an existing Pool"</formula>
    </cfRule>
  </conditionalFormatting>
  <conditionalFormatting sqref="D293:D308 D333:D354 D288:D291 D312:D313 D315:D321 D323:D329 D357:D362 D365 D370:D376">
    <cfRule type="expression" dxfId="2532" priority="61">
      <formula>wld_multi_rack_count_chosen&lt;4</formula>
    </cfRule>
  </conditionalFormatting>
  <conditionalFormatting sqref="D315:D321 D323:D329">
    <cfRule type="expression" dxfId="2531" priority="4">
      <formula>wld_az1_rack5_reuse_vcf_networkpool_chosen="Re-use an existing VCF Network Pool"</formula>
    </cfRule>
  </conditionalFormatting>
  <conditionalFormatting sqref="D370:D376">
    <cfRule type="expression" dxfId="2530" priority="8">
      <formula>wld_az1_rack5_host_overlay_new_pool_chosen="Re-use an existing Pool"</formula>
    </cfRule>
  </conditionalFormatting>
  <conditionalFormatting sqref="D386:D401 D426:D447 D479:D494 D381:D384 D405:D406 D408:D414 D416:D422 D450:D455 D458 D463:D469 D474:D477">
    <cfRule type="expression" dxfId="2529" priority="62">
      <formula>wld_multi_rack_count_chosen&lt;5</formula>
    </cfRule>
  </conditionalFormatting>
  <conditionalFormatting sqref="D408:D414 D416:D422">
    <cfRule type="expression" dxfId="2528" priority="3">
      <formula>wld_az1_rack6_reuse_vcf_networkpool_chosen="Re-use an existing VCF Network Pool"</formula>
    </cfRule>
  </conditionalFormatting>
  <conditionalFormatting sqref="D463:D469">
    <cfRule type="expression" dxfId="2527" priority="9">
      <formula>wld_az1_rack6_host_overlay_new_pool_chosen="Re-use an existing Pool"</formula>
    </cfRule>
  </conditionalFormatting>
  <conditionalFormatting sqref="D479:D494 D519:D540 D572:D587 D474:D477 D498:D507 D509:D515 D543:D548 D551 D556:D562 D567:D570">
    <cfRule type="expression" dxfId="2526" priority="68">
      <formula>wld_multi_rack_count_chosen&lt;6</formula>
    </cfRule>
  </conditionalFormatting>
  <conditionalFormatting sqref="D501:D507 D509:D515">
    <cfRule type="expression" dxfId="2525" priority="2">
      <formula>wld_az1_rack7_reuse_vcf_networkpool_chosen="Re-use an existing VCF Network Pool"</formula>
    </cfRule>
  </conditionalFormatting>
  <conditionalFormatting sqref="D556:D562">
    <cfRule type="expression" dxfId="2524" priority="10">
      <formula>wld_az1_rack7_host_overlay_new_pool_chosen="Re-use an existing Pool"</formula>
    </cfRule>
  </conditionalFormatting>
  <conditionalFormatting sqref="D594:D600 D602:D608">
    <cfRule type="expression" dxfId="2523" priority="1">
      <formula>wld_az1_rack8_reuse_vcf_networkpool_chosen="Re-use an existing VCF Network Pool"</formula>
    </cfRule>
  </conditionalFormatting>
  <conditionalFormatting sqref="D612:D633 D591:D600 D602:D608 D636:D641 D644 D649:D655">
    <cfRule type="expression" dxfId="2522" priority="69">
      <formula>wld_multi_rack_count_chosen&lt;7</formula>
    </cfRule>
  </conditionalFormatting>
  <conditionalFormatting sqref="D649:D655">
    <cfRule type="expression" dxfId="2521" priority="11">
      <formula>wld_az1_rack8_host_overlay_new_pool_chosen="Re-use an existing Pool"</formula>
    </cfRule>
  </conditionalFormatting>
  <conditionalFormatting sqref="E54:E69">
    <cfRule type="expression" dxfId="2520" priority="1387">
      <formula>OR((wld_vlcm_model_result="Excluded"),(wld_vlcm_model_chosen="Baselines"))</formula>
    </cfRule>
  </conditionalFormatting>
  <conditionalFormatting sqref="E147:E162">
    <cfRule type="expression" dxfId="2519" priority="1343">
      <formula>OR((wld_vlcm_model_result="Excluded"),(wld_vlcm_model_chosen="Baselines"))</formula>
    </cfRule>
  </conditionalFormatting>
  <conditionalFormatting sqref="E240:E255">
    <cfRule type="expression" dxfId="2518" priority="1213">
      <formula>OR((wld_vlcm_model_result="Excluded"),(wld_vlcm_model_chosen="Baselines"))</formula>
    </cfRule>
  </conditionalFormatting>
  <conditionalFormatting sqref="E333:E348">
    <cfRule type="expression" dxfId="2517" priority="1071">
      <formula>OR((wld_vlcm_model_result="Excluded"),(wld_vlcm_model_chosen="Baselines"))</formula>
    </cfRule>
  </conditionalFormatting>
  <conditionalFormatting sqref="E426:E441">
    <cfRule type="expression" dxfId="2516" priority="867">
      <formula>OR((wld_vlcm_model_result="Excluded"),(wld_vlcm_model_chosen="Baselines"))</formula>
    </cfRule>
  </conditionalFormatting>
  <conditionalFormatting sqref="E519:E534">
    <cfRule type="expression" dxfId="2515" priority="664">
      <formula>OR((wld_vlcm_model_result="Excluded"),(wld_vlcm_model_chosen="Baselines"))</formula>
    </cfRule>
  </conditionalFormatting>
  <conditionalFormatting sqref="E612:E627">
    <cfRule type="expression" dxfId="2514"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7" activePane="bottomLeft" state="frozen"/>
      <selection pane="bottomLeft"/>
    </sheetView>
  </sheetViews>
  <sheetFormatPr defaultColWidth="11" defaultRowHeight="15" x14ac:dyDescent="0.2"/>
  <cols>
    <col min="1" max="1" width="2.875" style="8" customWidth="1"/>
    <col min="2" max="2" width="79.875" style="2" customWidth="1"/>
    <col min="3" max="3" width="70.875" style="8" customWidth="1"/>
    <col min="4" max="4" width="70.875" style="2" customWidth="1"/>
    <col min="5" max="5" width="83.625" style="8" customWidth="1"/>
    <col min="6" max="6" width="24" style="8" bestFit="1" customWidth="1"/>
    <col min="7" max="7" width="10.875" style="8" customWidth="1"/>
    <col min="8" max="12" width="11" style="8" customWidth="1"/>
    <col min="13" max="16384" width="11" style="8"/>
  </cols>
  <sheetData>
    <row r="1" spans="1:10" s="2" customFormat="1" ht="15.95" customHeight="1" x14ac:dyDescent="0.2">
      <c r="A1" s="311"/>
      <c r="F1" s="8"/>
      <c r="G1" s="8"/>
      <c r="H1" s="8"/>
      <c r="I1" s="8"/>
      <c r="J1" s="8"/>
    </row>
    <row r="2" spans="1:10" s="2" customFormat="1" ht="54" customHeight="1" x14ac:dyDescent="0.2">
      <c r="B2" s="625" t="s">
        <v>3323</v>
      </c>
      <c r="C2" s="626"/>
      <c r="D2" s="626"/>
      <c r="E2" s="627"/>
      <c r="F2" s="8"/>
      <c r="G2" s="8"/>
      <c r="H2" s="8"/>
      <c r="I2" s="8"/>
      <c r="J2" s="8"/>
    </row>
    <row r="3" spans="1:10" s="2" customFormat="1" ht="20.100000000000001" customHeight="1" x14ac:dyDescent="0.2">
      <c r="B3" s="628" t="s">
        <v>3324</v>
      </c>
      <c r="C3" s="629"/>
      <c r="D3" s="629"/>
      <c r="E3" s="630"/>
      <c r="F3" s="8"/>
      <c r="G3" s="8"/>
      <c r="H3" s="8"/>
      <c r="I3" s="8"/>
      <c r="J3" s="8"/>
    </row>
    <row r="5" spans="1:10" ht="33.950000000000003" customHeight="1" x14ac:dyDescent="0.2">
      <c r="B5" s="208" t="s">
        <v>201</v>
      </c>
      <c r="C5" s="208" t="s">
        <v>3325</v>
      </c>
      <c r="D5" s="294"/>
      <c r="E5" s="294"/>
    </row>
    <row r="6" spans="1:10" s="2" customFormat="1" x14ac:dyDescent="0.25">
      <c r="D6" s="10"/>
      <c r="E6" s="3"/>
      <c r="F6" s="3"/>
    </row>
    <row r="7" spans="1:10" ht="15.95" customHeight="1" x14ac:dyDescent="0.2"/>
    <row r="8" spans="1:10" ht="33.950000000000003" customHeight="1" x14ac:dyDescent="0.2">
      <c r="B8" s="552" t="s">
        <v>201</v>
      </c>
      <c r="C8" s="553"/>
      <c r="D8" s="553"/>
      <c r="E8" s="553"/>
    </row>
    <row r="10" spans="1:10" ht="30" customHeight="1" x14ac:dyDescent="0.2">
      <c r="B10" s="553" t="s">
        <v>3326</v>
      </c>
      <c r="C10" s="553"/>
      <c r="D10" s="553"/>
      <c r="E10" s="553"/>
    </row>
    <row r="11" spans="1:10" ht="20.100000000000001" customHeight="1" x14ac:dyDescent="0.2">
      <c r="B11" s="557"/>
      <c r="C11" s="557"/>
      <c r="D11" s="557"/>
      <c r="E11" s="557"/>
    </row>
    <row r="12" spans="1:10" ht="20.100000000000001" customHeight="1" x14ac:dyDescent="0.2">
      <c r="B12" s="307" t="s">
        <v>37</v>
      </c>
      <c r="C12" s="308" t="s">
        <v>276</v>
      </c>
      <c r="D12" s="308" t="s">
        <v>277</v>
      </c>
      <c r="E12" s="308" t="s">
        <v>5</v>
      </c>
    </row>
    <row r="13" spans="1:10" ht="20.100000000000001" customHeight="1" x14ac:dyDescent="0.2">
      <c r="B13" s="4" t="s">
        <v>3327</v>
      </c>
      <c r="C13" s="362" t="str">
        <f>CONCATENATE(prefix_portable_component,"-fm01.",sample_vvs_dr_parent_dns_zone)</f>
        <v>flt-fm01.rainpole.io</v>
      </c>
      <c r="D13" s="347"/>
      <c r="E13" s="32"/>
    </row>
    <row r="14" spans="1:10" ht="20.100000000000001" customHeight="1" x14ac:dyDescent="0.2">
      <c r="B14" s="528" t="s">
        <v>3328</v>
      </c>
      <c r="C14" s="529"/>
      <c r="D14" s="529"/>
      <c r="E14" s="530"/>
    </row>
    <row r="15" spans="1:10" ht="20.100000000000001" customHeight="1" x14ac:dyDescent="0.2">
      <c r="B15" s="4" t="s">
        <v>88</v>
      </c>
      <c r="C15" s="362" t="str">
        <f>CONCATENATE("DNS=",sample_vvs_dr_dns1_ip)</f>
        <v>DNS=10.21.10.4</v>
      </c>
      <c r="D15" s="347"/>
      <c r="E15" s="32"/>
    </row>
    <row r="16" spans="1:10" ht="20.100000000000001" customHeight="1" x14ac:dyDescent="0.2">
      <c r="B16" s="528" t="s">
        <v>3329</v>
      </c>
      <c r="C16" s="529"/>
      <c r="D16" s="529"/>
      <c r="E16" s="530"/>
    </row>
    <row r="17" spans="2:5" ht="20.100000000000001" customHeight="1" x14ac:dyDescent="0.2">
      <c r="B17" s="361" t="s">
        <v>3330</v>
      </c>
      <c r="C17" s="362" t="s">
        <v>77</v>
      </c>
      <c r="D17" s="347"/>
      <c r="E17" s="32"/>
    </row>
    <row r="18" spans="2:5" ht="15.95" customHeight="1" x14ac:dyDescent="0.2"/>
    <row r="19" spans="2:5" ht="30" customHeight="1" x14ac:dyDescent="0.2">
      <c r="B19" s="553" t="s">
        <v>3331</v>
      </c>
      <c r="C19" s="553"/>
      <c r="D19" s="553"/>
      <c r="E19" s="553"/>
    </row>
    <row r="20" spans="2:5" ht="20.100000000000001" customHeight="1" x14ac:dyDescent="0.2">
      <c r="B20" s="307" t="s">
        <v>37</v>
      </c>
      <c r="C20" s="308" t="s">
        <v>276</v>
      </c>
      <c r="D20" s="308" t="s">
        <v>277</v>
      </c>
      <c r="E20" s="308" t="s">
        <v>5</v>
      </c>
    </row>
    <row r="21" spans="2:5" ht="20.100000000000001" customHeight="1" x14ac:dyDescent="0.2">
      <c r="B21" s="4" t="s">
        <v>3332</v>
      </c>
      <c r="C21" s="362" t="str">
        <f>CONCATENATE(prefix_portable_component,"-ops01a.",sample_vvs_dr_parent_dns_zone)</f>
        <v>flt-ops01a.rainpole.io</v>
      </c>
      <c r="D21" s="347"/>
      <c r="E21" s="32"/>
    </row>
    <row r="22" spans="2:5" ht="20.100000000000001" customHeight="1" x14ac:dyDescent="0.2">
      <c r="B22" s="4" t="s">
        <v>259</v>
      </c>
      <c r="C22" s="362" t="s">
        <v>3333</v>
      </c>
      <c r="D22" s="347"/>
      <c r="E22" s="32"/>
    </row>
    <row r="23" spans="2:5" ht="20.100000000000001" customHeight="1" x14ac:dyDescent="0.2">
      <c r="B23" s="4" t="s">
        <v>3334</v>
      </c>
      <c r="C23" s="362" t="str">
        <f>CONCATENATE("ntp0",".",other_instance,".",sample_vvs_dr_parent_dns_zone)</f>
        <v>ntp0.lax.rainpole.io</v>
      </c>
      <c r="D23" s="347"/>
      <c r="E23" s="32"/>
    </row>
    <row r="24" spans="2:5" ht="15.95" customHeight="1" x14ac:dyDescent="0.2"/>
    <row r="25" spans="2:5" ht="30" customHeight="1" x14ac:dyDescent="0.2">
      <c r="B25" s="553" t="s">
        <v>3335</v>
      </c>
      <c r="C25" s="553"/>
      <c r="D25" s="553"/>
      <c r="E25" s="553"/>
    </row>
    <row r="26" spans="2:5" ht="20.100000000000001" customHeight="1" x14ac:dyDescent="0.2">
      <c r="B26" s="557"/>
      <c r="C26" s="557"/>
      <c r="D26" s="557"/>
      <c r="E26" s="557"/>
    </row>
    <row r="27" spans="2:5" ht="20.100000000000001" customHeight="1" x14ac:dyDescent="0.2">
      <c r="B27" s="307" t="s">
        <v>37</v>
      </c>
      <c r="C27" s="308" t="s">
        <v>276</v>
      </c>
      <c r="D27" s="308" t="s">
        <v>277</v>
      </c>
      <c r="E27" s="308" t="s">
        <v>5</v>
      </c>
    </row>
    <row r="28" spans="2:5" ht="20.100000000000001" customHeight="1" x14ac:dyDescent="0.2">
      <c r="B28" s="4" t="s">
        <v>3332</v>
      </c>
      <c r="C28" s="362" t="str">
        <f>sample_vvs_dr_flt_ops_nodea_fqdn</f>
        <v>flt-ops01a.rainpole.io</v>
      </c>
      <c r="D28" s="337" t="str">
        <f>vvs_dr_flt_ops_nodea_fqdn</f>
        <v>Value Missing</v>
      </c>
      <c r="E28" s="32"/>
    </row>
    <row r="29" spans="2:5" ht="20.100000000000001" customHeight="1" x14ac:dyDescent="0.2">
      <c r="B29" s="528" t="s">
        <v>3328</v>
      </c>
      <c r="C29" s="529"/>
      <c r="D29" s="529"/>
      <c r="E29" s="530"/>
    </row>
    <row r="30" spans="2:5" ht="20.100000000000001" customHeight="1" x14ac:dyDescent="0.2">
      <c r="B30" s="4" t="s">
        <v>88</v>
      </c>
      <c r="C30" s="362" t="str">
        <f>CONCATENATE("DNS=",sample_vvs_dr_dns1_ip)</f>
        <v>DNS=10.21.10.4</v>
      </c>
      <c r="D30" s="337" t="str">
        <f>IF(ISBLANK(D15),"Value Missing",D15)</f>
        <v>Value Missing</v>
      </c>
      <c r="E30" s="32"/>
    </row>
    <row r="31" spans="2:5" ht="20.100000000000001" customHeight="1" x14ac:dyDescent="0.2">
      <c r="B31" s="528" t="s">
        <v>3329</v>
      </c>
      <c r="C31" s="529"/>
      <c r="D31" s="529"/>
      <c r="E31" s="530"/>
    </row>
    <row r="32" spans="2:5" ht="20.100000000000001" customHeight="1" x14ac:dyDescent="0.2">
      <c r="B32" s="361" t="s">
        <v>3330</v>
      </c>
      <c r="C32" s="362" t="str">
        <f>sample_vvs_dr_parent_dns_zone</f>
        <v>rainpole.io</v>
      </c>
      <c r="D32" s="337" t="str">
        <f t="array" ref="D32">vvs_dr_parent_dns_zone</f>
        <v>Value Missing</v>
      </c>
      <c r="E32" s="32"/>
    </row>
    <row r="33" spans="2:5" ht="20.100000000000001" customHeight="1" x14ac:dyDescent="0.2">
      <c r="B33" s="4" t="s">
        <v>2408</v>
      </c>
      <c r="C33" s="362" t="str">
        <f>CONCATENATE(prefix_portable_component,"-ops01b.",sample_vvs_dr_parent_dns_zone)</f>
        <v>flt-ops01b.rainpole.io</v>
      </c>
      <c r="D33" s="347"/>
      <c r="E33" s="32"/>
    </row>
    <row r="34" spans="2:5" ht="20.100000000000001" customHeight="1" x14ac:dyDescent="0.2">
      <c r="B34" s="4" t="s">
        <v>2414</v>
      </c>
      <c r="C34" s="362" t="str">
        <f>CONCATENATE(prefix_portable_component,"-ops01c.",sample_vvs_dr_parent_dns_zone)</f>
        <v>flt-ops01c.rainpole.io</v>
      </c>
      <c r="D34" s="347"/>
      <c r="E34" s="32"/>
    </row>
    <row r="35" spans="2:5" ht="20.100000000000001" customHeight="1" x14ac:dyDescent="0.2">
      <c r="B35" s="4" t="s">
        <v>2418</v>
      </c>
      <c r="C35" s="362" t="str">
        <f>CONCATENATE(prefix_portable_component,"-logs01a",".",sample_vvs_dr_parent_dns_zone)</f>
        <v>flt-logs01a.rainpole.io</v>
      </c>
      <c r="D35" s="347"/>
      <c r="E35" s="32"/>
    </row>
    <row r="36" spans="2:5" ht="20.100000000000001" customHeight="1" x14ac:dyDescent="0.2">
      <c r="B36" s="4" t="s">
        <v>2423</v>
      </c>
      <c r="C36" s="362" t="str">
        <f>CONCATENATE(prefix_portable_component,"-logs01b",".",sample_vvs_dr_parent_dns_zone)</f>
        <v>flt-logs01b.rainpole.io</v>
      </c>
      <c r="D36" s="347"/>
      <c r="E36" s="32"/>
    </row>
    <row r="37" spans="2:5" ht="20.100000000000001" customHeight="1" x14ac:dyDescent="0.2">
      <c r="B37" s="4" t="s">
        <v>2427</v>
      </c>
      <c r="C37" s="362" t="str">
        <f>CONCATENATE(prefix_portable_component,"-logs01c",".",sample_vvs_dr_parent_dns_zone)</f>
        <v>flt-logs01c.rainpole.io</v>
      </c>
      <c r="D37" s="347"/>
      <c r="E37" s="32"/>
    </row>
    <row r="38" spans="2:5" ht="20.100000000000001" customHeight="1" x14ac:dyDescent="0.2">
      <c r="B38" s="4" t="s">
        <v>2432</v>
      </c>
      <c r="C38" s="362" t="str">
        <f>CONCATENATE(prefix_portable_component,"-net01a",".",sample_vvs_dr_parent_dns_zone)</f>
        <v>flt-net01a.rainpole.io</v>
      </c>
      <c r="D38" s="347"/>
      <c r="E38" s="32"/>
    </row>
    <row r="39" spans="2:5" ht="20.100000000000001" customHeight="1" x14ac:dyDescent="0.2">
      <c r="B39" s="4" t="s">
        <v>2437</v>
      </c>
      <c r="C39" s="362" t="str">
        <f>CONCATENATE(prefix_portable_component,"-net01b",".",sample_vvs_dr_parent_dns_zone)</f>
        <v>flt-net01b.rainpole.io</v>
      </c>
      <c r="D39" s="347"/>
      <c r="E39" s="32"/>
    </row>
    <row r="40" spans="2:5" ht="20.100000000000001" customHeight="1" x14ac:dyDescent="0.2">
      <c r="B40" s="4" t="s">
        <v>2440</v>
      </c>
      <c r="C40" s="362" t="str">
        <f>CONCATENATE(prefix_portable_component,"-net01c",".",sample_vvs_dr_parent_dns_zone)</f>
        <v>flt-net01c.rainpole.io</v>
      </c>
      <c r="D40" s="347"/>
      <c r="E40" s="32"/>
    </row>
    <row r="41" spans="2:5" ht="15.95" customHeight="1" x14ac:dyDescent="0.2"/>
    <row r="42" spans="2:5" ht="30" customHeight="1" x14ac:dyDescent="0.2">
      <c r="B42" s="553" t="s">
        <v>3336</v>
      </c>
      <c r="C42" s="553"/>
      <c r="D42" s="553"/>
      <c r="E42" s="553"/>
    </row>
    <row r="43" spans="2:5" ht="20.100000000000001" customHeight="1" x14ac:dyDescent="0.2">
      <c r="B43" s="557"/>
      <c r="C43" s="557"/>
      <c r="D43" s="557"/>
      <c r="E43" s="557"/>
    </row>
    <row r="44" spans="2:5" ht="20.100000000000001" customHeight="1" x14ac:dyDescent="0.2">
      <c r="B44" s="307" t="s">
        <v>37</v>
      </c>
      <c r="C44" s="308" t="s">
        <v>276</v>
      </c>
      <c r="D44" s="308" t="s">
        <v>277</v>
      </c>
      <c r="E44" s="308" t="s">
        <v>5</v>
      </c>
    </row>
    <row r="45" spans="2:5" ht="20.100000000000001" customHeight="1" x14ac:dyDescent="0.2">
      <c r="B45" s="4" t="s">
        <v>3332</v>
      </c>
      <c r="C45" s="362" t="str">
        <f>sample_vvs_dr_flt_ops_nodea_fqdn</f>
        <v>flt-ops01a.rainpole.io</v>
      </c>
      <c r="D45" s="337" t="str">
        <f>vvs_dr_flt_ops_nodea_fqdn</f>
        <v>Value Missing</v>
      </c>
      <c r="E45" s="32"/>
    </row>
    <row r="46" spans="2:5" ht="20.100000000000001" customHeight="1" x14ac:dyDescent="0.2">
      <c r="B46" s="4" t="s">
        <v>3337</v>
      </c>
      <c r="C46" s="362" t="str">
        <f>sample_vvs_dr_ntp1_server</f>
        <v>ntp0.lax.rainpole.io</v>
      </c>
      <c r="D46" s="337" t="str">
        <f>vvs_dr_ntp1_server</f>
        <v>Value Missing</v>
      </c>
      <c r="E46" s="32"/>
    </row>
    <row r="47" spans="2:5" ht="15.95" customHeight="1" x14ac:dyDescent="0.2"/>
    <row r="48" spans="2:5" ht="30" customHeight="1" x14ac:dyDescent="0.2">
      <c r="B48" s="553" t="s">
        <v>3338</v>
      </c>
      <c r="C48" s="553"/>
      <c r="D48" s="553"/>
      <c r="E48" s="553"/>
    </row>
    <row r="49" spans="2:5" ht="20.100000000000001" customHeight="1" x14ac:dyDescent="0.2">
      <c r="B49" s="557"/>
      <c r="C49" s="557"/>
      <c r="D49" s="557"/>
      <c r="E49" s="557"/>
    </row>
    <row r="50" spans="2:5" ht="20.100000000000001" customHeight="1" x14ac:dyDescent="0.2">
      <c r="B50" s="307" t="s">
        <v>37</v>
      </c>
      <c r="C50" s="308" t="s">
        <v>276</v>
      </c>
      <c r="D50" s="308" t="s">
        <v>277</v>
      </c>
      <c r="E50" s="308" t="s">
        <v>5</v>
      </c>
    </row>
    <row r="51" spans="2:5" ht="20.100000000000001" customHeight="1" x14ac:dyDescent="0.2">
      <c r="B51" s="4" t="s">
        <v>2418</v>
      </c>
      <c r="C51" s="362" t="str">
        <f>sample_vvs_dr_flt_logs_nodea_fqdn</f>
        <v>flt-logs01a.rainpole.io</v>
      </c>
      <c r="D51" s="337" t="str">
        <f>vvs_dr_flt_logs_nodea_fqdn</f>
        <v>Value Missing</v>
      </c>
      <c r="E51" s="32"/>
    </row>
    <row r="52" spans="2:5" ht="20.100000000000001" customHeight="1" x14ac:dyDescent="0.2">
      <c r="B52" s="4" t="s">
        <v>3337</v>
      </c>
      <c r="C52" s="362" t="str">
        <f>sample_vvs_dr_ntp1_server</f>
        <v>ntp0.lax.rainpole.io</v>
      </c>
      <c r="D52" s="337" t="str">
        <f>vvs_dr_ntp1_server</f>
        <v>Value Missing</v>
      </c>
      <c r="E52" s="32"/>
    </row>
    <row r="53" spans="2:5" ht="20.100000000000001" customHeight="1" x14ac:dyDescent="0.2">
      <c r="B53" s="4" t="s">
        <v>2423</v>
      </c>
      <c r="C53" s="362" t="str">
        <f>sample_vvs_dr_flt_logs_nodeb_fqdn</f>
        <v>flt-logs01b.rainpole.io</v>
      </c>
      <c r="D53" s="337" t="str">
        <f>vvs_dr_flt_logs_nodeb_fqdn</f>
        <v>Value Missing</v>
      </c>
      <c r="E53" s="32"/>
    </row>
    <row r="54" spans="2:5" ht="20.100000000000001" customHeight="1" x14ac:dyDescent="0.2">
      <c r="B54" s="4" t="s">
        <v>2427</v>
      </c>
      <c r="C54" s="362" t="str">
        <f>sample_vvs_dr_flt_logs_nodec_fqdn</f>
        <v>flt-logs01c.rainpole.io</v>
      </c>
      <c r="D54" s="337" t="str">
        <f>vvs_dr_flt_logs_nodec_fqdn</f>
        <v>Value Missing</v>
      </c>
      <c r="E54" s="32"/>
    </row>
    <row r="55" spans="2:5" ht="15.95" customHeight="1" x14ac:dyDescent="0.2"/>
    <row r="56" spans="2:5" ht="30" customHeight="1" x14ac:dyDescent="0.2">
      <c r="B56" s="553" t="s">
        <v>3339</v>
      </c>
      <c r="C56" s="553"/>
      <c r="D56" s="553"/>
      <c r="E56" s="553"/>
    </row>
    <row r="57" spans="2:5" ht="20.100000000000001" customHeight="1" x14ac:dyDescent="0.2">
      <c r="B57" s="557"/>
      <c r="C57" s="557"/>
      <c r="D57" s="557"/>
      <c r="E57" s="557"/>
    </row>
    <row r="58" spans="2:5" ht="20.100000000000001" customHeight="1" x14ac:dyDescent="0.2">
      <c r="B58" s="307" t="s">
        <v>37</v>
      </c>
      <c r="C58" s="308" t="s">
        <v>276</v>
      </c>
      <c r="D58" s="308" t="s">
        <v>277</v>
      </c>
      <c r="E58" s="308" t="s">
        <v>5</v>
      </c>
    </row>
    <row r="59" spans="2:5" ht="20.100000000000001" customHeight="1" x14ac:dyDescent="0.2">
      <c r="B59" s="4" t="s">
        <v>2432</v>
      </c>
      <c r="C59" s="362" t="str">
        <f>sample_vvs_dr_flt_net_nodea_fqdn</f>
        <v>flt-net01a.rainpole.io</v>
      </c>
      <c r="D59" s="337" t="str">
        <f>vvs_dr_flt_net_nodea_fqdn</f>
        <v>Value Missing</v>
      </c>
      <c r="E59" s="32"/>
    </row>
    <row r="60" spans="2:5" ht="20.100000000000001" customHeight="1" x14ac:dyDescent="0.2">
      <c r="B60" s="4" t="s">
        <v>3337</v>
      </c>
      <c r="C60" s="362" t="str">
        <f>sample_vvs_dr_ntp1_server</f>
        <v>ntp0.lax.rainpole.io</v>
      </c>
      <c r="D60" s="337" t="str">
        <f>vvs_dr_ntp1_server</f>
        <v>Value Missing</v>
      </c>
      <c r="E60" s="32"/>
    </row>
    <row r="61" spans="2:5" ht="20.100000000000001" customHeight="1" x14ac:dyDescent="0.2">
      <c r="B61" s="4" t="s">
        <v>2437</v>
      </c>
      <c r="C61" s="362" t="str">
        <f>sample_vvs_dr_flt_net_nodeb_fqdn</f>
        <v>flt-net01b.rainpole.io</v>
      </c>
      <c r="D61" s="337" t="str">
        <f>vvs_dr_flt_net_nodeb_fqdn</f>
        <v>Value Missing</v>
      </c>
      <c r="E61" s="32"/>
    </row>
    <row r="62" spans="2:5" ht="20.100000000000001" customHeight="1" x14ac:dyDescent="0.2">
      <c r="B62" s="4" t="s">
        <v>2440</v>
      </c>
      <c r="C62" s="362" t="str">
        <f>sample_vvs_dr_flt_net_nodec_fqdn</f>
        <v>flt-net01c.rainpole.io</v>
      </c>
      <c r="D62" s="337" t="str">
        <f>vvs_dr_flt_net_nodec_fqdn</f>
        <v>Value Missing</v>
      </c>
      <c r="E62" s="32"/>
    </row>
    <row r="63" spans="2:5" ht="15.95" customHeight="1" x14ac:dyDescent="0.2"/>
    <row r="64" spans="2:5" ht="30" customHeight="1" x14ac:dyDescent="0.2">
      <c r="B64" s="553" t="s">
        <v>3340</v>
      </c>
      <c r="C64" s="553"/>
      <c r="D64" s="553"/>
      <c r="E64" s="553"/>
    </row>
    <row r="65" spans="2:5" ht="20.100000000000001" customHeight="1" x14ac:dyDescent="0.2">
      <c r="B65" s="557"/>
      <c r="C65" s="557"/>
      <c r="D65" s="557"/>
      <c r="E65" s="557"/>
    </row>
    <row r="66" spans="2:5" ht="20.100000000000001" customHeight="1" x14ac:dyDescent="0.2">
      <c r="B66" s="307" t="s">
        <v>37</v>
      </c>
      <c r="C66" s="308" t="s">
        <v>276</v>
      </c>
      <c r="D66" s="308" t="s">
        <v>277</v>
      </c>
      <c r="E66" s="308" t="s">
        <v>5</v>
      </c>
    </row>
    <row r="67" spans="2:5" ht="20.100000000000001" customHeight="1" x14ac:dyDescent="0.2">
      <c r="B67" s="4" t="s">
        <v>3341</v>
      </c>
      <c r="C67" s="362" t="str">
        <f>CONCATENATE(prefix_portable_component,"-auto01",".",sample_vvs_dr_parent_dns_zone)</f>
        <v>flt-auto01.rainpole.io</v>
      </c>
      <c r="D67" s="347"/>
      <c r="E67" s="32"/>
    </row>
    <row r="68" spans="2:5" ht="20.100000000000001" customHeight="1" x14ac:dyDescent="0.2">
      <c r="B68" s="4" t="s">
        <v>3342</v>
      </c>
      <c r="C68" s="362" t="s">
        <v>3343</v>
      </c>
      <c r="D68" s="337" t="str">
        <f>C68</f>
        <v>automation</v>
      </c>
      <c r="E68" s="32"/>
    </row>
    <row r="69" spans="2:5" ht="20.100000000000001" customHeight="1" x14ac:dyDescent="0.2">
      <c r="B69" s="4" t="s">
        <v>3344</v>
      </c>
      <c r="C69" s="362" t="str">
        <f>CONCATENATE(prefix_other_region_az1_cidr,"10.4")</f>
        <v>10.21.10.4</v>
      </c>
      <c r="D69" s="347"/>
      <c r="E69" s="32"/>
    </row>
    <row r="70" spans="2:5" ht="20.100000000000001" customHeight="1" x14ac:dyDescent="0.2">
      <c r="B70" s="4" t="s">
        <v>3344</v>
      </c>
      <c r="C70" s="362" t="str">
        <f>CONCATENATE(prefix_other_region_az1_cidr,"10.5")</f>
        <v>10.21.10.5</v>
      </c>
      <c r="D70" s="347"/>
      <c r="E70" s="32"/>
    </row>
    <row r="71" spans="2:5" ht="15.95" customHeight="1" x14ac:dyDescent="0.2"/>
    <row r="72" spans="2:5" ht="33.950000000000003" customHeight="1" x14ac:dyDescent="0.2">
      <c r="B72" s="553" t="s">
        <v>3345</v>
      </c>
      <c r="C72" s="553"/>
      <c r="D72" s="553"/>
      <c r="E72" s="553"/>
    </row>
    <row r="73" spans="2:5" ht="20.100000000000001" customHeight="1" x14ac:dyDescent="0.2">
      <c r="B73" s="557"/>
      <c r="C73" s="557"/>
      <c r="D73" s="557"/>
      <c r="E73" s="557"/>
    </row>
    <row r="74" spans="2:5" ht="20.100000000000001" customHeight="1" x14ac:dyDescent="0.2">
      <c r="B74" s="307" t="s">
        <v>37</v>
      </c>
      <c r="C74" s="308" t="s">
        <v>276</v>
      </c>
      <c r="D74" s="308" t="s">
        <v>277</v>
      </c>
      <c r="E74" s="308" t="s">
        <v>5</v>
      </c>
    </row>
    <row r="75" spans="2:5" ht="20.100000000000001" customHeight="1" x14ac:dyDescent="0.2">
      <c r="B75" s="4" t="s">
        <v>3346</v>
      </c>
      <c r="C75" s="362" t="str">
        <f>sample_xreg_vra_virtual_fqdn</f>
        <v>flt-auto01.rainpole.io</v>
      </c>
      <c r="D75" s="337" t="str">
        <f>vvs_dr_flt_auto_fqdn</f>
        <v>Value Missing</v>
      </c>
      <c r="E75" s="32"/>
    </row>
    <row r="76" spans="2:5" ht="20.100000000000001" customHeight="1" x14ac:dyDescent="0.2">
      <c r="B76" s="4" t="s">
        <v>3342</v>
      </c>
      <c r="C76" s="362" t="s">
        <v>3343</v>
      </c>
      <c r="D76" s="337" t="str">
        <f>C76</f>
        <v>automation</v>
      </c>
      <c r="E76" s="32"/>
    </row>
    <row r="77" spans="2:5" ht="20.100000000000001" customHeight="1" x14ac:dyDescent="0.2">
      <c r="B77" s="4" t="s">
        <v>3347</v>
      </c>
      <c r="C77" s="362" t="str">
        <f>sample_vvs_dr_ntp1_server</f>
        <v>ntp0.lax.rainpole.io</v>
      </c>
      <c r="D77" s="337" t="str">
        <f>vvs_dr_ntp1_server</f>
        <v>Value Missing</v>
      </c>
      <c r="E77" s="32"/>
    </row>
    <row r="78" spans="2:5" ht="15.95" customHeight="1" x14ac:dyDescent="0.2"/>
    <row r="79" spans="2:5" ht="30" customHeight="1" x14ac:dyDescent="0.2">
      <c r="B79" s="553" t="s">
        <v>3348</v>
      </c>
      <c r="C79" s="553"/>
      <c r="D79" s="553"/>
      <c r="E79" s="553"/>
    </row>
    <row r="80" spans="2:5" ht="20.100000000000001" customHeight="1" x14ac:dyDescent="0.2">
      <c r="B80" s="557"/>
      <c r="C80" s="557"/>
      <c r="D80" s="557"/>
      <c r="E80" s="557"/>
    </row>
    <row r="81" spans="2:5" ht="20.100000000000001" customHeight="1" x14ac:dyDescent="0.2">
      <c r="B81" s="307" t="s">
        <v>37</v>
      </c>
      <c r="C81" s="308" t="s">
        <v>276</v>
      </c>
      <c r="D81" s="308" t="s">
        <v>277</v>
      </c>
      <c r="E81" s="308" t="s">
        <v>5</v>
      </c>
    </row>
    <row r="82" spans="2:5" ht="20.100000000000001" customHeight="1" x14ac:dyDescent="0.2">
      <c r="B82" s="4" t="s">
        <v>3341</v>
      </c>
      <c r="C82" s="362" t="str">
        <f>sample_vvs_dr_flt_ops_nodea_fqdn</f>
        <v>flt-ops01a.rainpole.io</v>
      </c>
      <c r="D82" s="337" t="str">
        <f>vvs_dr_flt_ops_nodea_fqdn</f>
        <v>Value Missing</v>
      </c>
      <c r="E82" s="32"/>
    </row>
    <row r="83" spans="2:5" ht="20.100000000000001" customHeight="1" x14ac:dyDescent="0.2">
      <c r="B83" s="4" t="s">
        <v>3342</v>
      </c>
      <c r="C83" s="362" t="s">
        <v>3349</v>
      </c>
      <c r="D83" s="337" t="s">
        <v>3349</v>
      </c>
      <c r="E83" s="32"/>
    </row>
    <row r="84" spans="2:5" ht="20.100000000000001" customHeight="1" x14ac:dyDescent="0.2">
      <c r="B84" s="4" t="s">
        <v>3344</v>
      </c>
      <c r="C84" s="362" t="str">
        <f>CONCATENATE(prefix_other_region_az1_cidr,"10.4")</f>
        <v>10.21.10.4</v>
      </c>
      <c r="D84" s="337" t="str">
        <f>vvs_dr_dns1_ip</f>
        <v>Value Missing</v>
      </c>
      <c r="E84" s="32"/>
    </row>
    <row r="85" spans="2:5" ht="20.100000000000001" customHeight="1" x14ac:dyDescent="0.2">
      <c r="B85" s="4" t="s">
        <v>3344</v>
      </c>
      <c r="C85" s="362" t="str">
        <f>sample_vvs_dr_dns2_ip</f>
        <v>10.21.10.5</v>
      </c>
      <c r="D85" s="337" t="str">
        <f t="array" ref="D85">vvs_dr_dns2_ip</f>
        <v>Value Missing</v>
      </c>
      <c r="E85" s="32"/>
    </row>
    <row r="86" spans="2:5" ht="15.95" customHeight="1" x14ac:dyDescent="0.2"/>
    <row r="87" spans="2:5" ht="33.950000000000003" customHeight="1" x14ac:dyDescent="0.2">
      <c r="B87" s="553" t="s">
        <v>3350</v>
      </c>
      <c r="C87" s="553"/>
      <c r="D87" s="553"/>
      <c r="E87" s="553"/>
    </row>
    <row r="88" spans="2:5" ht="20.100000000000001" customHeight="1" x14ac:dyDescent="0.2">
      <c r="B88" s="557"/>
      <c r="C88" s="557"/>
      <c r="D88" s="557"/>
      <c r="E88" s="557"/>
    </row>
    <row r="89" spans="2:5" ht="20.100000000000001" customHeight="1" x14ac:dyDescent="0.2">
      <c r="B89" s="307" t="s">
        <v>37</v>
      </c>
      <c r="C89" s="308" t="s">
        <v>276</v>
      </c>
      <c r="D89" s="308" t="s">
        <v>277</v>
      </c>
      <c r="E89" s="308" t="s">
        <v>5</v>
      </c>
    </row>
    <row r="90" spans="2:5" ht="20.100000000000001" customHeight="1" x14ac:dyDescent="0.2">
      <c r="B90" s="4" t="s">
        <v>3341</v>
      </c>
      <c r="C90" s="362" t="str">
        <f>sample_vvs_dr_flt_ops_nodea_fqdn</f>
        <v>flt-ops01a.rainpole.io</v>
      </c>
      <c r="D90" s="337" t="str">
        <f>vvs_dr_flt_ops_nodea_fqdn</f>
        <v>Value Missing</v>
      </c>
      <c r="E90" s="32"/>
    </row>
    <row r="91" spans="2:5" ht="20.100000000000001" customHeight="1" x14ac:dyDescent="0.2">
      <c r="B91" s="4" t="s">
        <v>3342</v>
      </c>
      <c r="C91" s="362" t="s">
        <v>3349</v>
      </c>
      <c r="D91" s="337" t="s">
        <v>3349</v>
      </c>
      <c r="E91" s="32"/>
    </row>
    <row r="92" spans="2:5" ht="20.100000000000001" customHeight="1" x14ac:dyDescent="0.2">
      <c r="B92" s="4" t="s">
        <v>3347</v>
      </c>
      <c r="C92" s="362" t="str">
        <f>sample_vvs_dr_ntp1_server</f>
        <v>ntp0.lax.rainpole.io</v>
      </c>
      <c r="D92" s="337" t="str">
        <f>vvs_dr_ntp1_server</f>
        <v>Value Missing</v>
      </c>
      <c r="E92" s="32"/>
    </row>
    <row r="93" spans="2:5" ht="15.95" customHeight="1" x14ac:dyDescent="0.2"/>
    <row r="94" spans="2:5" ht="33.950000000000003" customHeight="1" x14ac:dyDescent="0.2">
      <c r="B94" s="552" t="s">
        <v>3351</v>
      </c>
      <c r="C94" s="553"/>
      <c r="D94" s="553"/>
      <c r="E94" s="553"/>
    </row>
    <row r="95" spans="2:5" ht="15.95" customHeight="1" x14ac:dyDescent="0.2"/>
    <row r="96" spans="2:5" ht="33.950000000000003" customHeight="1" x14ac:dyDescent="0.2">
      <c r="B96" s="553" t="s">
        <v>3352</v>
      </c>
      <c r="C96" s="553"/>
      <c r="D96" s="553"/>
      <c r="E96" s="553"/>
    </row>
    <row r="97" spans="2:6" ht="20.100000000000001" customHeight="1" x14ac:dyDescent="0.2">
      <c r="B97" s="557"/>
      <c r="C97" s="557"/>
      <c r="D97" s="557"/>
      <c r="E97" s="557"/>
    </row>
    <row r="98" spans="2:6" ht="20.100000000000001" customHeight="1" x14ac:dyDescent="0.2">
      <c r="B98" s="307" t="s">
        <v>37</v>
      </c>
      <c r="C98" s="308" t="s">
        <v>276</v>
      </c>
      <c r="D98" s="308" t="s">
        <v>277</v>
      </c>
      <c r="E98" s="308" t="s">
        <v>5</v>
      </c>
    </row>
    <row r="99" spans="2:6" ht="20.100000000000001" customHeight="1" x14ac:dyDescent="0.2">
      <c r="B99" s="4" t="s">
        <v>815</v>
      </c>
      <c r="C99" s="362" t="str">
        <f>CONCATENATE(this_instance,"-m01-vc01.",sample_child_dns_zone)</f>
        <v>sfo-m01-vc01.sfo.rainpole.io</v>
      </c>
      <c r="D99" s="347"/>
      <c r="E99" s="32"/>
    </row>
    <row r="100" spans="2:6" ht="20.100000000000001" customHeight="1" x14ac:dyDescent="0.2">
      <c r="B100" s="361" t="s">
        <v>1165</v>
      </c>
      <c r="C100" s="362" t="str">
        <f>CONCATENATE(this_instance,"-m01-cl01")</f>
        <v>sfo-m01-cl01</v>
      </c>
      <c r="D100" s="347"/>
      <c r="E100" s="32"/>
    </row>
    <row r="101" spans="2:6" ht="20.100000000000001" customHeight="1" x14ac:dyDescent="0.2">
      <c r="B101" s="361" t="s">
        <v>3189</v>
      </c>
      <c r="C101" s="89" t="str">
        <f>CONCATENATE(this_instance,"-m01-vlr01")</f>
        <v>sfo-m01-vlr01</v>
      </c>
      <c r="D101" s="347"/>
      <c r="E101" s="32"/>
    </row>
    <row r="102" spans="2:6" ht="20.100000000000001" customHeight="1" x14ac:dyDescent="0.2">
      <c r="B102" s="361" t="s">
        <v>3191</v>
      </c>
      <c r="C102" s="362" t="str">
        <f>sample_vvs_dr_mgmt_cl01_cluster</f>
        <v>sfo-m01-cl01</v>
      </c>
      <c r="D102" s="337" t="str">
        <f>vvs_dr_mgmt_cl01_cluster</f>
        <v>Value Missing</v>
      </c>
      <c r="E102" s="32"/>
    </row>
    <row r="103" spans="2:6" ht="20.100000000000001" customHeight="1" x14ac:dyDescent="0.2">
      <c r="B103" s="361" t="s">
        <v>587</v>
      </c>
      <c r="C103" s="362" t="str">
        <f>CONCATENATE(this_instance,"-m01-cl01-ds-vsan01")</f>
        <v>sfo-m01-cl01-ds-vsan01</v>
      </c>
      <c r="D103" s="347"/>
      <c r="E103" s="32"/>
    </row>
    <row r="104" spans="2:6" ht="20.100000000000001" customHeight="1" x14ac:dyDescent="0.2">
      <c r="B104" s="4" t="s">
        <v>3192</v>
      </c>
      <c r="C104" s="362" t="str">
        <f>CONCATENATE(this_instance,"-m01-cl01-vds01-pg-vm-mgmt")</f>
        <v>sfo-m01-cl01-vds01-pg-vm-mgmt</v>
      </c>
      <c r="D104" s="347"/>
      <c r="E104" s="32"/>
    </row>
    <row r="105" spans="2:6" ht="20.100000000000001" customHeight="1" x14ac:dyDescent="0.2">
      <c r="B105" s="4" t="s">
        <v>749</v>
      </c>
      <c r="C105" s="362" t="str">
        <f>CONCATENATE(sample_vvs_mgmt_dr_vlr_hostname,".",sample_child_dns_zone)</f>
        <v>sfo-m01-vlr01.sfo.rainpole.io</v>
      </c>
      <c r="D105" s="347"/>
      <c r="E105" s="32"/>
      <c r="F105" s="2"/>
    </row>
    <row r="106" spans="2:6" ht="20.100000000000001" customHeight="1" x14ac:dyDescent="0.2">
      <c r="B106" s="4" t="s">
        <v>3193</v>
      </c>
      <c r="C106" s="362" t="str">
        <f>sample_mgmt_vrms_root_password</f>
        <v>VMw@re1!</v>
      </c>
      <c r="D106" s="347"/>
      <c r="E106" s="32"/>
    </row>
    <row r="107" spans="2:6" ht="20.100000000000001" customHeight="1" x14ac:dyDescent="0.2">
      <c r="B107" s="361" t="s">
        <v>3194</v>
      </c>
      <c r="C107" s="362" t="str">
        <f>sample_mgmt_vrms_admin_password</f>
        <v>VMw@re1!</v>
      </c>
      <c r="D107" s="347"/>
      <c r="E107" s="32"/>
    </row>
    <row r="108" spans="2:6" ht="20.100000000000001" customHeight="1" x14ac:dyDescent="0.2">
      <c r="B108" s="361" t="s">
        <v>746</v>
      </c>
      <c r="C108" s="362" t="str">
        <f>CONCATENATE("ntp0.",this_instance,".rainpole.io")</f>
        <v>ntp0.sfo.rainpole.io</v>
      </c>
      <c r="D108" s="337"/>
      <c r="E108" s="32"/>
    </row>
    <row r="109" spans="2:6" ht="20.100000000000001" customHeight="1" x14ac:dyDescent="0.2">
      <c r="B109" s="4" t="s">
        <v>708</v>
      </c>
      <c r="C109" s="362" t="str">
        <f>IF(mgmt_dpg_reuse_result="Included",CONCATENATE(prefix_mgmt_az1_cidr,"10.1"),CONCATENATE(prefix_mgmt_az1_cidr,"11.1"))</f>
        <v>10.11.10.1</v>
      </c>
      <c r="D109" s="347"/>
      <c r="E109" s="32"/>
    </row>
    <row r="110" spans="2:6" ht="20.100000000000001" customHeight="1" x14ac:dyDescent="0.2">
      <c r="B110" s="361" t="s">
        <v>354</v>
      </c>
      <c r="C110" s="362" t="str">
        <f>CONCATENATE(this_instance,".rainpole.io")</f>
        <v>sfo.rainpole.io</v>
      </c>
      <c r="D110" s="347"/>
      <c r="E110" s="32"/>
    </row>
    <row r="111" spans="2:6" ht="20.100000000000001" customHeight="1" x14ac:dyDescent="0.2">
      <c r="B111" s="361" t="s">
        <v>3195</v>
      </c>
      <c r="C111" s="362" t="str">
        <f>CONCATENATE(this_instance,".rainpole.io")</f>
        <v>sfo.rainpole.io</v>
      </c>
      <c r="D111" s="347"/>
      <c r="E111" s="32"/>
    </row>
    <row r="112" spans="2:6" ht="20.100000000000001" customHeight="1" x14ac:dyDescent="0.2">
      <c r="B112" s="361" t="s">
        <v>3196</v>
      </c>
      <c r="C112" s="362" t="str">
        <f>CONCATENATE(sample_region_dns1_ip,",",sample_region_dns2_ip)</f>
        <v>10.11.10.4,10.11.10.5</v>
      </c>
      <c r="D112" s="347"/>
      <c r="E112" s="32"/>
    </row>
    <row r="113" spans="2:5" ht="20.100000000000001" customHeight="1" x14ac:dyDescent="0.2">
      <c r="B113" s="361" t="s">
        <v>3197</v>
      </c>
      <c r="C113" s="89" t="str">
        <f>IF(mgmt_dpg_reuse_result="Included",CONCATENATE(prefix_mgmt_az1_cidr,"10.125"),CONCATENATE(prefix_mgmt_az1_cidr,"11.125"))</f>
        <v>10.11.10.125</v>
      </c>
      <c r="D113" s="347"/>
      <c r="E113" s="100" t="s">
        <v>3353</v>
      </c>
    </row>
    <row r="114" spans="2:5" ht="20.100000000000001" customHeight="1" x14ac:dyDescent="0.2">
      <c r="B114" s="361" t="s">
        <v>3198</v>
      </c>
      <c r="C114" s="362">
        <v>24</v>
      </c>
      <c r="D114" s="347"/>
      <c r="E114" s="32"/>
    </row>
    <row r="115" spans="2:5" ht="15.95" customHeight="1" x14ac:dyDescent="0.2"/>
    <row r="116" spans="2:5" ht="33.950000000000003" customHeight="1" x14ac:dyDescent="0.2">
      <c r="B116" s="553" t="s">
        <v>3354</v>
      </c>
      <c r="C116" s="553"/>
      <c r="D116" s="553"/>
      <c r="E116" s="553"/>
    </row>
    <row r="117" spans="2:5" ht="20.100000000000001" customHeight="1" x14ac:dyDescent="0.2">
      <c r="B117" s="557"/>
      <c r="C117" s="557"/>
      <c r="D117" s="557"/>
      <c r="E117" s="557"/>
    </row>
    <row r="118" spans="2:5" ht="20.100000000000001" customHeight="1" x14ac:dyDescent="0.2">
      <c r="B118" s="307" t="s">
        <v>37</v>
      </c>
      <c r="C118" s="308" t="s">
        <v>276</v>
      </c>
      <c r="D118" s="308" t="s">
        <v>277</v>
      </c>
      <c r="E118" s="308" t="s">
        <v>5</v>
      </c>
    </row>
    <row r="119" spans="2:5" ht="20.100000000000001" customHeight="1" x14ac:dyDescent="0.2">
      <c r="B119" s="4" t="s">
        <v>3200</v>
      </c>
      <c r="C119" s="362" t="str">
        <f>CONCATENATE(sample_vvs_mgmt_dr_vlr_fqdn,":5480")</f>
        <v>sfo-m01-vlr01.sfo.rainpole.io:5480</v>
      </c>
      <c r="D119" s="337" t="str">
        <f>CONCATENATE(vvs_mgmt_dr_vlr_fqdn,":5480")</f>
        <v>Value Missing:5480</v>
      </c>
      <c r="E119" s="32"/>
    </row>
    <row r="120" spans="2:5" ht="20.100000000000001" customHeight="1" x14ac:dyDescent="0.2">
      <c r="B120" s="4" t="s">
        <v>546</v>
      </c>
      <c r="C120" s="85" t="str">
        <f>sample_ca_organization_unit</f>
        <v>Rainpole</v>
      </c>
      <c r="D120" s="347"/>
      <c r="E120" s="32"/>
    </row>
    <row r="121" spans="2:5" ht="20.100000000000001" customHeight="1" x14ac:dyDescent="0.2">
      <c r="B121" s="4" t="s">
        <v>3355</v>
      </c>
      <c r="C121" s="85" t="str">
        <f>sample_ca_organization</f>
        <v>IT</v>
      </c>
      <c r="D121" s="347"/>
      <c r="E121" s="32"/>
    </row>
    <row r="122" spans="2:5" ht="20.100000000000001" customHeight="1" x14ac:dyDescent="0.2">
      <c r="B122" s="4" t="s">
        <v>553</v>
      </c>
      <c r="C122" s="85" t="str">
        <f>sample_ca_locality</f>
        <v>San Francisco</v>
      </c>
      <c r="D122" s="347"/>
      <c r="E122" s="32"/>
    </row>
    <row r="123" spans="2:5" ht="20.100000000000001" customHeight="1" x14ac:dyDescent="0.2">
      <c r="B123" s="4" t="s">
        <v>551</v>
      </c>
      <c r="C123" s="85" t="str">
        <f>sample_ca_state</f>
        <v>CA</v>
      </c>
      <c r="D123" s="347"/>
      <c r="E123" s="32"/>
    </row>
    <row r="124" spans="2:5" ht="20.100000000000001" customHeight="1" x14ac:dyDescent="0.2">
      <c r="B124" s="4" t="s">
        <v>549</v>
      </c>
      <c r="C124" s="85" t="str">
        <f>sample_ca_country</f>
        <v>US</v>
      </c>
      <c r="D124" s="347"/>
      <c r="E124" s="32"/>
    </row>
    <row r="125" spans="2:5" ht="20.100000000000001" customHeight="1" x14ac:dyDescent="0.2">
      <c r="B125" s="4" t="s">
        <v>527</v>
      </c>
      <c r="C125" s="85" t="str">
        <f>sample_vvs_mgmt_dr_vlr_fqdn</f>
        <v>sfo-m01-vlr01.sfo.rainpole.io</v>
      </c>
      <c r="D125" s="337" t="str">
        <f>vvs_mgmt_dr_vlr_fqdn</f>
        <v>Value Missing</v>
      </c>
      <c r="E125" s="32"/>
    </row>
    <row r="126" spans="2:5" ht="20.100000000000001" customHeight="1" x14ac:dyDescent="0.2">
      <c r="B126" s="4" t="s">
        <v>3356</v>
      </c>
      <c r="C126" s="85" t="str">
        <f>sample_mgmt_vrms_mgmt_ip</f>
        <v>10.11.10.125</v>
      </c>
      <c r="D126" s="337" t="str">
        <f>mgmt_vrms_mgmt_ip</f>
        <v>Value Missing</v>
      </c>
      <c r="E126" s="32"/>
    </row>
    <row r="127" spans="2:5" ht="20.100000000000001" customHeight="1" x14ac:dyDescent="0.2">
      <c r="B127" s="4" t="s">
        <v>3357</v>
      </c>
      <c r="C127" s="362" t="s">
        <v>3358</v>
      </c>
      <c r="D127" s="347"/>
      <c r="E127" s="32"/>
    </row>
    <row r="128" spans="2:5" ht="15.95" customHeight="1" x14ac:dyDescent="0.2"/>
    <row r="129" spans="2:5" ht="33.950000000000003" customHeight="1" x14ac:dyDescent="0.2">
      <c r="B129" s="553" t="s">
        <v>3359</v>
      </c>
      <c r="C129" s="553"/>
      <c r="D129" s="553"/>
      <c r="E129" s="553"/>
    </row>
    <row r="130" spans="2:5" ht="20.100000000000001" customHeight="1" x14ac:dyDescent="0.2">
      <c r="B130" s="557"/>
      <c r="C130" s="557"/>
      <c r="D130" s="557"/>
      <c r="E130" s="557"/>
    </row>
    <row r="131" spans="2:5" ht="20.100000000000001" customHeight="1" x14ac:dyDescent="0.2">
      <c r="B131" s="307" t="s">
        <v>37</v>
      </c>
      <c r="C131" s="308" t="s">
        <v>276</v>
      </c>
      <c r="D131" s="308" t="s">
        <v>277</v>
      </c>
      <c r="E131" s="308" t="s">
        <v>5</v>
      </c>
    </row>
    <row r="132" spans="2:5" ht="20.100000000000001" customHeight="1" x14ac:dyDescent="0.2">
      <c r="B132" s="361" t="s">
        <v>3360</v>
      </c>
      <c r="C132" s="362" t="str">
        <f>sample_vvs_dr_mgmt_vc_fqdn</f>
        <v>sfo-m01-vc01.sfo.rainpole.io</v>
      </c>
      <c r="D132" s="337" t="str">
        <f>vvs_dr_mgmt_vc_fqdn</f>
        <v>Value Missing</v>
      </c>
      <c r="E132" s="32"/>
    </row>
    <row r="133" spans="2:5" ht="20.100000000000001" customHeight="1" x14ac:dyDescent="0.2">
      <c r="B133" s="361" t="s">
        <v>202</v>
      </c>
      <c r="C133" s="362" t="s">
        <v>355</v>
      </c>
      <c r="D133" s="347"/>
      <c r="E133" s="32"/>
    </row>
    <row r="134" spans="2:5" ht="20.100000000000001" customHeight="1" x14ac:dyDescent="0.2">
      <c r="B134" s="361" t="s">
        <v>3361</v>
      </c>
      <c r="C134" s="362" t="str">
        <f>IF(mgmt_domain_chosen="First Instance","svc_sfo-m01-vlr01_sfo-m01-vc01","svc_lax-m01-vlr01_lax-m01-vc01")</f>
        <v>svc_sfo-m01-vlr01_sfo-m01-vc01</v>
      </c>
      <c r="D134" s="347"/>
      <c r="E134" s="32"/>
    </row>
    <row r="135" spans="2:5" ht="20.100000000000001" customHeight="1" x14ac:dyDescent="0.2">
      <c r="B135" s="361" t="s">
        <v>3362</v>
      </c>
      <c r="C135" s="362" t="s">
        <v>379</v>
      </c>
      <c r="D135" s="347"/>
      <c r="E135" s="32"/>
    </row>
    <row r="136" spans="2:5" ht="15.95" customHeight="1" x14ac:dyDescent="0.2"/>
    <row r="137" spans="2:5" ht="33.950000000000003" customHeight="1" x14ac:dyDescent="0.2">
      <c r="B137" s="553" t="s">
        <v>3363</v>
      </c>
      <c r="C137" s="553"/>
      <c r="D137" s="553"/>
      <c r="E137" s="553"/>
    </row>
    <row r="138" spans="2:5" ht="20.100000000000001" customHeight="1" x14ac:dyDescent="0.2">
      <c r="B138" s="557"/>
      <c r="C138" s="557"/>
      <c r="D138" s="557"/>
      <c r="E138" s="557"/>
    </row>
    <row r="139" spans="2:5" ht="20.100000000000001" customHeight="1" x14ac:dyDescent="0.2">
      <c r="B139" s="307" t="s">
        <v>37</v>
      </c>
      <c r="C139" s="308" t="s">
        <v>276</v>
      </c>
      <c r="D139" s="308" t="s">
        <v>277</v>
      </c>
      <c r="E139" s="308" t="s">
        <v>5</v>
      </c>
    </row>
    <row r="140" spans="2:5" ht="20.100000000000001" customHeight="1" x14ac:dyDescent="0.2">
      <c r="B140" s="361" t="s">
        <v>3360</v>
      </c>
      <c r="C140" s="362" t="str">
        <f>sample_vvs_dr_mgmt_vc_fqdn</f>
        <v>sfo-m01-vc01.sfo.rainpole.io</v>
      </c>
      <c r="D140" s="337" t="str">
        <f>vvs_dr_mgmt_vc_fqdn</f>
        <v>Value Missing</v>
      </c>
      <c r="E140" s="32"/>
    </row>
    <row r="141" spans="2:5" ht="20.100000000000001" customHeight="1" x14ac:dyDescent="0.2">
      <c r="B141" s="361" t="s">
        <v>202</v>
      </c>
      <c r="C141" s="362" t="str">
        <f>sample_vvs_dr_sso_domain</f>
        <v>vsphere.local</v>
      </c>
      <c r="D141" s="337" t="str">
        <f>vvs_dr_sso_domain</f>
        <v>Value Missing</v>
      </c>
      <c r="E141" s="32"/>
    </row>
    <row r="142" spans="2:5" ht="20.100000000000001" customHeight="1" x14ac:dyDescent="0.2">
      <c r="B142" s="361" t="s">
        <v>3364</v>
      </c>
      <c r="C142" s="362" t="str">
        <f>IF(mgmt_domain_chosen="First Instance","svc_sfo-m01-vlr01_sfo-m01-vc01","svc_lax-m01-vlr01_lax-m01-vc01")</f>
        <v>svc_sfo-m01-vlr01_sfo-m01-vc01</v>
      </c>
      <c r="D142" s="337" t="str">
        <f>vvs_dr_vr_username</f>
        <v>Value Missing</v>
      </c>
      <c r="E142" s="32"/>
    </row>
    <row r="143" spans="2:5" ht="15.95" customHeight="1" x14ac:dyDescent="0.2">
      <c r="B143" s="23"/>
      <c r="C143" s="142"/>
    </row>
    <row r="144" spans="2:5" ht="33.950000000000003" customHeight="1" x14ac:dyDescent="0.2">
      <c r="B144" s="553" t="s">
        <v>3365</v>
      </c>
      <c r="C144" s="553"/>
      <c r="D144" s="553"/>
      <c r="E144" s="553"/>
    </row>
    <row r="145" spans="2:5" ht="20.100000000000001" customHeight="1" x14ac:dyDescent="0.2">
      <c r="B145" s="557"/>
      <c r="C145" s="557"/>
      <c r="D145" s="557"/>
      <c r="E145" s="557"/>
    </row>
    <row r="146" spans="2:5" ht="20.100000000000001" customHeight="1" x14ac:dyDescent="0.2">
      <c r="B146" s="307" t="s">
        <v>37</v>
      </c>
      <c r="C146" s="308" t="s">
        <v>276</v>
      </c>
      <c r="D146" s="308" t="s">
        <v>277</v>
      </c>
      <c r="E146" s="308" t="s">
        <v>5</v>
      </c>
    </row>
    <row r="147" spans="2:5" ht="20.100000000000001" customHeight="1" x14ac:dyDescent="0.2">
      <c r="B147" s="295" t="s">
        <v>3366</v>
      </c>
      <c r="C147" s="362" t="str">
        <f>sample_vvs_mgmt_dr_vlr_fqdn</f>
        <v>sfo-m01-vlr01.sfo.rainpole.io</v>
      </c>
      <c r="D147" s="337" t="str">
        <f>CONCATENATE(vvs_mgmt_dr_vlr_fqdn,":5480")</f>
        <v>Value Missing:5480</v>
      </c>
      <c r="E147" s="32"/>
    </row>
    <row r="148" spans="2:5" ht="20.100000000000001" customHeight="1" x14ac:dyDescent="0.2">
      <c r="B148" s="295" t="s">
        <v>3203</v>
      </c>
      <c r="C148" s="362" t="str">
        <f>sample_mgmt_vc_fqdn</f>
        <v>sfo-m01-vc01.sfo.rainpole.io</v>
      </c>
      <c r="D148" s="337" t="str">
        <f>vvs_dr_mgmt_vc_fqdn</f>
        <v>Value Missing</v>
      </c>
      <c r="E148" s="32"/>
    </row>
    <row r="149" spans="2:5" ht="20.100000000000001" customHeight="1" x14ac:dyDescent="0.2">
      <c r="B149" s="295" t="s">
        <v>565</v>
      </c>
      <c r="C149" s="362" t="str">
        <f>IF(mgmt_domain_chosen="First Instance","svc_sfo-m01-vlr01_sfo-m01-vc01@vsphere.local","svc_lax-m01-vlr01_lax-m01-vc01@vsphere.local")</f>
        <v>svc_sfo-m01-vlr01_sfo-m01-vc01@vsphere.local</v>
      </c>
      <c r="D149" s="337" t="str">
        <f>CONCATENATE(vvs_dr_vr_username,"@",vvs_dr_sso_domain)</f>
        <v>Value Missing@Value Missing</v>
      </c>
      <c r="E149" s="32"/>
    </row>
    <row r="150" spans="2:5" ht="20.100000000000001" customHeight="1" x14ac:dyDescent="0.2">
      <c r="B150" s="295" t="s">
        <v>296</v>
      </c>
      <c r="C150" s="362" t="s">
        <v>379</v>
      </c>
      <c r="D150" s="337" t="str">
        <f>vvs_dr_vr_password</f>
        <v>Value Missing</v>
      </c>
      <c r="E150" s="32"/>
    </row>
    <row r="151" spans="2:5" ht="20.100000000000001" customHeight="1" x14ac:dyDescent="0.2">
      <c r="B151" s="295" t="s">
        <v>2026</v>
      </c>
      <c r="C151" s="362" t="str">
        <f>sample_mgmt_vc_fqdn</f>
        <v>sfo-m01-vc01.sfo.rainpole.io</v>
      </c>
      <c r="D151" s="337" t="str">
        <f>vvs_dr_mgmt_vc_fqdn</f>
        <v>Value Missing</v>
      </c>
      <c r="E151" s="32"/>
    </row>
    <row r="152" spans="2:5" ht="20.100000000000001" customHeight="1" x14ac:dyDescent="0.2">
      <c r="B152" s="295" t="s">
        <v>3088</v>
      </c>
      <c r="C152" s="362" t="str">
        <f>UPPER(sample_mgmt_sddc_domain)</f>
        <v>SFO-M01</v>
      </c>
      <c r="D152" s="347"/>
      <c r="E152" s="32"/>
    </row>
    <row r="153" spans="2:5" ht="20.100000000000001" customHeight="1" x14ac:dyDescent="0.2">
      <c r="B153" s="295" t="s">
        <v>3204</v>
      </c>
      <c r="C153" s="362" t="str">
        <f>CONCATENATE("vlr-administrator@",sample_parent_dns_zone)</f>
        <v>vlr-administrator@rainpole.io</v>
      </c>
      <c r="D153" s="347"/>
      <c r="E153" s="32"/>
    </row>
    <row r="154" spans="2:5" ht="20.100000000000001" customHeight="1" x14ac:dyDescent="0.2">
      <c r="B154" s="295" t="s">
        <v>3205</v>
      </c>
      <c r="C154" s="84" t="str">
        <f>sample_vvs_mgmt_dr_vlr_fqdn</f>
        <v>sfo-m01-vlr01.sfo.rainpole.io</v>
      </c>
      <c r="D154" s="253" t="str">
        <f>vvs_mgmt_dr_vlr_fqdn</f>
        <v>Value Missing</v>
      </c>
      <c r="E154" s="32"/>
    </row>
    <row r="155" spans="2:5" ht="15.95" customHeight="1" x14ac:dyDescent="0.2">
      <c r="B155" s="23"/>
      <c r="C155" s="142"/>
    </row>
    <row r="156" spans="2:5" ht="33.950000000000003" customHeight="1" x14ac:dyDescent="0.2">
      <c r="B156" s="553" t="s">
        <v>3367</v>
      </c>
      <c r="C156" s="553"/>
      <c r="D156" s="553"/>
      <c r="E156" s="553"/>
    </row>
    <row r="157" spans="2:5" ht="20.100000000000001" customHeight="1" x14ac:dyDescent="0.2">
      <c r="B157" s="557"/>
      <c r="C157" s="557"/>
      <c r="D157" s="557"/>
      <c r="E157" s="557"/>
    </row>
    <row r="158" spans="2:5" ht="20.100000000000001" customHeight="1" x14ac:dyDescent="0.2">
      <c r="B158" s="307" t="s">
        <v>37</v>
      </c>
      <c r="C158" s="308" t="s">
        <v>276</v>
      </c>
      <c r="D158" s="308" t="s">
        <v>277</v>
      </c>
      <c r="E158" s="308" t="s">
        <v>5</v>
      </c>
    </row>
    <row r="159" spans="2:5" ht="20.100000000000001" customHeight="1" x14ac:dyDescent="0.2">
      <c r="B159" s="361" t="s">
        <v>815</v>
      </c>
      <c r="C159" s="362" t="str">
        <f>sample_vvs_dr_mgmt_vc_fqdn</f>
        <v>sfo-m01-vc01.sfo.rainpole.io</v>
      </c>
      <c r="D159" s="337" t="str">
        <f>vvs_dr_mgmt_vc_fqdn</f>
        <v>Value Missing</v>
      </c>
      <c r="E159" s="32"/>
    </row>
    <row r="160" spans="2:5" ht="20.100000000000001" customHeight="1" x14ac:dyDescent="0.2">
      <c r="B160" s="361" t="s">
        <v>3207</v>
      </c>
      <c r="C160" s="362" t="str">
        <f>sample_mgmt_cl01_vds01_name</f>
        <v>sfo-m01-cl01-vds01</v>
      </c>
      <c r="D160" s="347"/>
      <c r="E160" s="32"/>
    </row>
    <row r="161" spans="2:5" ht="20.100000000000001" customHeight="1" x14ac:dyDescent="0.2">
      <c r="B161" s="417" t="s">
        <v>3208</v>
      </c>
      <c r="C161" s="418"/>
      <c r="D161" s="418"/>
      <c r="E161" s="419"/>
    </row>
    <row r="162" spans="2:5" ht="20.100000000000001" customHeight="1" x14ac:dyDescent="0.2">
      <c r="B162" s="361" t="s">
        <v>259</v>
      </c>
      <c r="C162" s="80" t="str">
        <f>CONCATENATE(this_instance,"01-m01-cl01-vds01-pg-vrms")</f>
        <v>sfo01-m01-cl01-vds01-pg-vrms</v>
      </c>
      <c r="D162" s="347"/>
      <c r="E162" s="32"/>
    </row>
    <row r="163" spans="2:5" ht="20.100000000000001" customHeight="1" x14ac:dyDescent="0.2">
      <c r="B163" s="22" t="s">
        <v>398</v>
      </c>
      <c r="C163" s="80" t="str">
        <f>CONCATENATE(prefix_mgmt_az1_vlan,"09")</f>
        <v>1109</v>
      </c>
      <c r="D163" s="347"/>
      <c r="E163" s="210"/>
    </row>
    <row r="164" spans="2:5" ht="15.95" customHeight="1" x14ac:dyDescent="0.2"/>
    <row r="165" spans="2:5" ht="33.950000000000003" customHeight="1" x14ac:dyDescent="0.2">
      <c r="B165" s="553" t="s">
        <v>3368</v>
      </c>
      <c r="C165" s="553"/>
      <c r="D165" s="553"/>
      <c r="E165" s="553"/>
    </row>
    <row r="166" spans="2:5" ht="20.100000000000001" customHeight="1" x14ac:dyDescent="0.2">
      <c r="B166" s="557"/>
      <c r="C166" s="557"/>
      <c r="D166" s="557"/>
      <c r="E166" s="557"/>
    </row>
    <row r="167" spans="2:5" ht="20.100000000000001" customHeight="1" x14ac:dyDescent="0.2">
      <c r="B167" s="307" t="s">
        <v>37</v>
      </c>
      <c r="C167" s="308" t="s">
        <v>276</v>
      </c>
      <c r="D167" s="308" t="s">
        <v>277</v>
      </c>
      <c r="E167" s="308" t="s">
        <v>5</v>
      </c>
    </row>
    <row r="168" spans="2:5" ht="20.100000000000001" customHeight="1" x14ac:dyDescent="0.2">
      <c r="B168" s="361" t="s">
        <v>815</v>
      </c>
      <c r="C168" s="362" t="str">
        <f>sample_vvs_dr_mgmt_vc_fqdn</f>
        <v>sfo-m01-vc01.sfo.rainpole.io</v>
      </c>
      <c r="D168" s="337" t="str">
        <f>vvs_dr_mgmt_vc_fqdn</f>
        <v>Value Missing</v>
      </c>
      <c r="E168" s="32"/>
    </row>
    <row r="169" spans="2:5" ht="20.100000000000001" customHeight="1" x14ac:dyDescent="0.2">
      <c r="B169" s="361" t="s">
        <v>1165</v>
      </c>
      <c r="C169" s="362" t="str">
        <f>CONCATENATE(this_instance,"-m01-cl01")</f>
        <v>sfo-m01-cl01</v>
      </c>
      <c r="D169" s="347"/>
      <c r="E169" s="32"/>
    </row>
    <row r="170" spans="2:5" ht="20.100000000000001" customHeight="1" x14ac:dyDescent="0.2">
      <c r="B170" s="4" t="s">
        <v>1040</v>
      </c>
      <c r="C170" s="362" t="str">
        <f>sample_mgmt_vrms_pg</f>
        <v>sfo01-m01-cl01-vds01-pg-vrms</v>
      </c>
      <c r="D170" s="337" t="str">
        <f>mgmt_vrms_pg</f>
        <v>Value Missing</v>
      </c>
      <c r="E170" s="32"/>
    </row>
    <row r="171" spans="2:5" ht="20.100000000000001" customHeight="1" x14ac:dyDescent="0.2">
      <c r="B171" s="4" t="s">
        <v>400</v>
      </c>
      <c r="C171" s="80" t="str">
        <f>CONCATENATE(prefix_mgmt_az1_cidr,"9.0/24")</f>
        <v>10.11.9.0/24</v>
      </c>
      <c r="D171" s="347"/>
      <c r="E171" s="289"/>
    </row>
    <row r="172" spans="2:5" ht="20.100000000000001" customHeight="1" x14ac:dyDescent="0.2">
      <c r="B172" s="152" t="s">
        <v>707</v>
      </c>
      <c r="C172" s="80" t="s">
        <v>612</v>
      </c>
      <c r="D172" s="347"/>
      <c r="E172" s="289"/>
    </row>
    <row r="173" spans="2:5" ht="20.100000000000001" customHeight="1" x14ac:dyDescent="0.2">
      <c r="B173" s="4" t="s">
        <v>399</v>
      </c>
      <c r="C173" s="80" t="str">
        <f>CONCATENATE(prefix_mgmt_az1_cidr,"9.1")</f>
        <v>10.11.9.1</v>
      </c>
      <c r="D173" s="347"/>
      <c r="E173" s="289"/>
    </row>
    <row r="174" spans="2:5" ht="20.100000000000001" customHeight="1" x14ac:dyDescent="0.2">
      <c r="B174" s="22" t="s">
        <v>401</v>
      </c>
      <c r="C174" s="80">
        <v>9000</v>
      </c>
      <c r="D174" s="347"/>
      <c r="E174" s="289"/>
    </row>
    <row r="175" spans="2:5" ht="20.100000000000001" customHeight="1" x14ac:dyDescent="0.2">
      <c r="B175" s="528" t="s">
        <v>3220</v>
      </c>
      <c r="C175" s="529"/>
      <c r="D175" s="529"/>
      <c r="E175" s="530"/>
    </row>
    <row r="176" spans="2:5" ht="20.100000000000001" customHeight="1" x14ac:dyDescent="0.2">
      <c r="B176" s="361" t="str">
        <f t="array" ref="B176:B191">mgmt_az1_host_fqdns</f>
        <v>labesxvcf01.vcf.lab.local</v>
      </c>
      <c r="C176" s="89" t="str">
        <f>CONCATENATE(prefix_mgmt_az1_cidr,"9.101")</f>
        <v>10.11.9.101</v>
      </c>
      <c r="D176" s="347"/>
      <c r="E176" s="100" t="s">
        <v>3369</v>
      </c>
    </row>
    <row r="177" spans="2:5" ht="20.100000000000001" customHeight="1" x14ac:dyDescent="0.2">
      <c r="B177" s="361" t="str">
        <v>labesxvcf02.vcf.lab.local</v>
      </c>
      <c r="C177" s="89" t="str">
        <f>CONCATENATE(prefix_mgmt_az1_cidr,"9.102")</f>
        <v>10.11.9.102</v>
      </c>
      <c r="D177" s="347"/>
      <c r="E177" s="100" t="s">
        <v>3370</v>
      </c>
    </row>
    <row r="178" spans="2:5" ht="20.100000000000001" customHeight="1" x14ac:dyDescent="0.2">
      <c r="B178" s="361" t="str">
        <v>labesxvcf03.vcf.lab.local</v>
      </c>
      <c r="C178" s="89" t="str">
        <f>CONCATENATE(prefix_mgmt_az1_cidr,"9.103")</f>
        <v>10.11.9.103</v>
      </c>
      <c r="D178" s="347"/>
      <c r="E178" s="100" t="s">
        <v>3371</v>
      </c>
    </row>
    <row r="179" spans="2:5" ht="20.100000000000001" customHeight="1" x14ac:dyDescent="0.2">
      <c r="B179" s="361" t="str">
        <v>labesxvcf04.vcf.lab.local</v>
      </c>
      <c r="C179" s="89" t="str">
        <f>CONCATENATE(prefix_mgmt_az1_cidr,"9.104")</f>
        <v>10.11.9.104</v>
      </c>
      <c r="D179" s="347"/>
      <c r="E179" s="100" t="s">
        <v>3372</v>
      </c>
    </row>
    <row r="180" spans="2:5" ht="20.100000000000001" customHeight="1" x14ac:dyDescent="0.2">
      <c r="B180" s="361" t="str">
        <v>Value Missing</v>
      </c>
      <c r="C180" s="89" t="str">
        <f>CONCATENATE(prefix_mgmt_az1_cidr,"9.105")</f>
        <v>10.11.9.105</v>
      </c>
      <c r="D180" s="347"/>
      <c r="E180" s="100" t="s">
        <v>3373</v>
      </c>
    </row>
    <row r="181" spans="2:5" ht="20.100000000000001" customHeight="1" x14ac:dyDescent="0.2">
      <c r="B181" s="361" t="str">
        <v>Value Missing</v>
      </c>
      <c r="C181" s="89" t="str">
        <f>CONCATENATE(prefix_mgmt_az1_cidr,"9.106")</f>
        <v>10.11.9.106</v>
      </c>
      <c r="D181" s="347"/>
      <c r="E181" s="100" t="s">
        <v>3374</v>
      </c>
    </row>
    <row r="182" spans="2:5" ht="20.100000000000001" customHeight="1" x14ac:dyDescent="0.2">
      <c r="B182" s="4" t="str">
        <v>Value Missing</v>
      </c>
      <c r="C182" s="89" t="str">
        <f>CONCATENATE(prefix_mgmt_az1_cidr,"9.107")</f>
        <v>10.11.9.107</v>
      </c>
      <c r="D182" s="347"/>
      <c r="E182" s="100" t="s">
        <v>3375</v>
      </c>
    </row>
    <row r="183" spans="2:5" ht="20.100000000000001" customHeight="1" x14ac:dyDescent="0.2">
      <c r="B183" s="4" t="str">
        <v>Value Missing</v>
      </c>
      <c r="C183" s="89" t="str">
        <f>CONCATENATE(prefix_mgmt_az1_cidr,"9.108")</f>
        <v>10.11.9.108</v>
      </c>
      <c r="D183" s="347"/>
      <c r="E183" s="100" t="s">
        <v>3376</v>
      </c>
    </row>
    <row r="184" spans="2:5" ht="20.100000000000001" customHeight="1" x14ac:dyDescent="0.2">
      <c r="B184" s="4" t="str">
        <v>Value Missing</v>
      </c>
      <c r="C184" s="89" t="str">
        <f>CONCATENATE(prefix_mgmt_az1_cidr,"9.109")</f>
        <v>10.11.9.109</v>
      </c>
      <c r="D184" s="347"/>
      <c r="E184" s="100" t="s">
        <v>3377</v>
      </c>
    </row>
    <row r="185" spans="2:5" ht="20.100000000000001" customHeight="1" x14ac:dyDescent="0.2">
      <c r="B185" s="361" t="str">
        <v>Value Missing</v>
      </c>
      <c r="C185" s="89" t="str">
        <f>CONCATENATE(prefix_mgmt_az1_cidr,"9.110")</f>
        <v>10.11.9.110</v>
      </c>
      <c r="D185" s="347"/>
      <c r="E185" s="100" t="s">
        <v>3378</v>
      </c>
    </row>
    <row r="186" spans="2:5" ht="20.100000000000001" customHeight="1" x14ac:dyDescent="0.2">
      <c r="B186" s="361" t="str">
        <v>Value Missing</v>
      </c>
      <c r="C186" s="89" t="str">
        <f>CONCATENATE(prefix_mgmt_az1_cidr,"9.111")</f>
        <v>10.11.9.111</v>
      </c>
      <c r="D186" s="347"/>
      <c r="E186" s="100" t="s">
        <v>3379</v>
      </c>
    </row>
    <row r="187" spans="2:5" ht="20.100000000000001" customHeight="1" x14ac:dyDescent="0.2">
      <c r="B187" s="361" t="str">
        <v>Value Missing</v>
      </c>
      <c r="C187" s="89" t="str">
        <f>CONCATENATE(prefix_mgmt_az1_cidr,"9.112")</f>
        <v>10.11.9.112</v>
      </c>
      <c r="D187" s="347"/>
      <c r="E187" s="100" t="s">
        <v>3380</v>
      </c>
    </row>
    <row r="188" spans="2:5" ht="20.100000000000001" customHeight="1" x14ac:dyDescent="0.2">
      <c r="B188" s="358" t="str">
        <v>Value Missing</v>
      </c>
      <c r="C188" s="89" t="str">
        <f>CONCATENATE(prefix_mgmt_az1_cidr,"9.113")</f>
        <v>10.11.9.113</v>
      </c>
      <c r="D188" s="347"/>
      <c r="E188" s="100" t="s">
        <v>3381</v>
      </c>
    </row>
    <row r="189" spans="2:5" ht="20.100000000000001" customHeight="1" x14ac:dyDescent="0.2">
      <c r="B189" s="358" t="str">
        <v>Value Missing</v>
      </c>
      <c r="C189" s="89" t="str">
        <f>CONCATENATE(prefix_mgmt_az1_cidr,"9.114")</f>
        <v>10.11.9.114</v>
      </c>
      <c r="D189" s="347"/>
      <c r="E189" s="100" t="s">
        <v>3382</v>
      </c>
    </row>
    <row r="190" spans="2:5" ht="20.100000000000001" customHeight="1" x14ac:dyDescent="0.2">
      <c r="B190" s="358" t="str">
        <v>Value Missing</v>
      </c>
      <c r="C190" s="89" t="str">
        <f>CONCATENATE(prefix_mgmt_az1_cidr,"9.115")</f>
        <v>10.11.9.115</v>
      </c>
      <c r="D190" s="347"/>
      <c r="E190" s="100" t="s">
        <v>3383</v>
      </c>
    </row>
    <row r="191" spans="2:5" ht="20.100000000000001" customHeight="1" x14ac:dyDescent="0.2">
      <c r="B191" s="358" t="str">
        <v>Value Missing</v>
      </c>
      <c r="C191" s="89" t="str">
        <f>CONCATENATE(prefix_mgmt_az1_cidr,"9.116")</f>
        <v>10.11.9.116</v>
      </c>
      <c r="D191" s="347"/>
      <c r="E191" s="100" t="s">
        <v>3384</v>
      </c>
    </row>
    <row r="192" spans="2:5" ht="20.100000000000001" customHeight="1" x14ac:dyDescent="0.2">
      <c r="B192" s="528" t="s">
        <v>3237</v>
      </c>
      <c r="C192" s="529"/>
      <c r="D192" s="529"/>
      <c r="E192" s="530"/>
    </row>
    <row r="193" spans="2:5" ht="20.100000000000001" customHeight="1" x14ac:dyDescent="0.2">
      <c r="B193" s="361" t="str">
        <f t="array" ref="B193:B208">mgmt_az2_host_fqdns</f>
        <v>Value Missing</v>
      </c>
      <c r="C193" s="89" t="str">
        <f>CONCATENATE(prefix_mgmt_az1_cidr,"9.201")</f>
        <v>10.11.9.201</v>
      </c>
      <c r="D193" s="347"/>
      <c r="E193" s="100" t="s">
        <v>3369</v>
      </c>
    </row>
    <row r="194" spans="2:5" ht="20.100000000000001" customHeight="1" x14ac:dyDescent="0.2">
      <c r="B194" s="361" t="str">
        <v>Value Missing</v>
      </c>
      <c r="C194" s="89" t="str">
        <f>CONCATENATE(prefix_mgmt_az1_cidr,"9.202")</f>
        <v>10.11.9.202</v>
      </c>
      <c r="D194" s="347"/>
      <c r="E194" s="100" t="s">
        <v>3370</v>
      </c>
    </row>
    <row r="195" spans="2:5" ht="20.100000000000001" customHeight="1" x14ac:dyDescent="0.2">
      <c r="B195" s="361" t="str">
        <v>Value Missing</v>
      </c>
      <c r="C195" s="89" t="str">
        <f>CONCATENATE(prefix_mgmt_az1_cidr,"9.203")</f>
        <v>10.11.9.203</v>
      </c>
      <c r="D195" s="347"/>
      <c r="E195" s="100" t="s">
        <v>3371</v>
      </c>
    </row>
    <row r="196" spans="2:5" ht="20.100000000000001" customHeight="1" x14ac:dyDescent="0.2">
      <c r="B196" s="361" t="str">
        <v>Value Missing</v>
      </c>
      <c r="C196" s="89" t="str">
        <f>CONCATENATE(prefix_mgmt_az1_cidr,"9.204")</f>
        <v>10.11.9.204</v>
      </c>
      <c r="D196" s="347"/>
      <c r="E196" s="100" t="s">
        <v>3372</v>
      </c>
    </row>
    <row r="197" spans="2:5" ht="20.100000000000001" customHeight="1" x14ac:dyDescent="0.2">
      <c r="B197" s="361" t="str">
        <v>Value Missing</v>
      </c>
      <c r="C197" s="89" t="str">
        <f>CONCATENATE(prefix_mgmt_az1_cidr,"9.205")</f>
        <v>10.11.9.205</v>
      </c>
      <c r="D197" s="347"/>
      <c r="E197" s="100" t="s">
        <v>3373</v>
      </c>
    </row>
    <row r="198" spans="2:5" ht="20.100000000000001" customHeight="1" x14ac:dyDescent="0.2">
      <c r="B198" s="361" t="str">
        <v>Value Missing</v>
      </c>
      <c r="C198" s="89" t="str">
        <f>CONCATENATE(prefix_mgmt_az1_cidr,"9.206")</f>
        <v>10.11.9.206</v>
      </c>
      <c r="D198" s="347"/>
      <c r="E198" s="100" t="s">
        <v>3374</v>
      </c>
    </row>
    <row r="199" spans="2:5" ht="20.100000000000001" customHeight="1" x14ac:dyDescent="0.2">
      <c r="B199" s="4" t="str">
        <v>Value Missing</v>
      </c>
      <c r="C199" s="89" t="str">
        <f>CONCATENATE(prefix_mgmt_az1_cidr,"9.207")</f>
        <v>10.11.9.207</v>
      </c>
      <c r="D199" s="347"/>
      <c r="E199" s="100" t="s">
        <v>3375</v>
      </c>
    </row>
    <row r="200" spans="2:5" ht="20.100000000000001" customHeight="1" x14ac:dyDescent="0.2">
      <c r="B200" s="4" t="str">
        <v>Value Missing</v>
      </c>
      <c r="C200" s="89" t="str">
        <f>CONCATENATE(prefix_mgmt_az1_cidr,"9.208")</f>
        <v>10.11.9.208</v>
      </c>
      <c r="D200" s="347"/>
      <c r="E200" s="100" t="s">
        <v>3376</v>
      </c>
    </row>
    <row r="201" spans="2:5" ht="20.100000000000001" customHeight="1" x14ac:dyDescent="0.2">
      <c r="B201" s="4" t="str">
        <v>Value Missing</v>
      </c>
      <c r="C201" s="89" t="str">
        <f>CONCATENATE(prefix_mgmt_az1_cidr,"9.209")</f>
        <v>10.11.9.209</v>
      </c>
      <c r="D201" s="347"/>
      <c r="E201" s="100" t="s">
        <v>3377</v>
      </c>
    </row>
    <row r="202" spans="2:5" ht="20.100000000000001" customHeight="1" x14ac:dyDescent="0.2">
      <c r="B202" s="361" t="str">
        <v>Value Missing</v>
      </c>
      <c r="C202" s="89" t="str">
        <f>CONCATENATE(prefix_mgmt_az1_cidr,"9.210")</f>
        <v>10.11.9.210</v>
      </c>
      <c r="D202" s="347"/>
      <c r="E202" s="100" t="s">
        <v>3378</v>
      </c>
    </row>
    <row r="203" spans="2:5" ht="20.100000000000001" customHeight="1" x14ac:dyDescent="0.2">
      <c r="B203" s="361" t="str">
        <v>Value Missing</v>
      </c>
      <c r="C203" s="89" t="str">
        <f>CONCATENATE(prefix_mgmt_az1_cidr,"9.211")</f>
        <v>10.11.9.211</v>
      </c>
      <c r="D203" s="347"/>
      <c r="E203" s="100" t="s">
        <v>3379</v>
      </c>
    </row>
    <row r="204" spans="2:5" ht="20.100000000000001" customHeight="1" x14ac:dyDescent="0.2">
      <c r="B204" s="361" t="str">
        <v>Value Missing</v>
      </c>
      <c r="C204" s="89" t="str">
        <f>CONCATENATE(prefix_mgmt_az1_cidr,"9.212")</f>
        <v>10.11.9.212</v>
      </c>
      <c r="D204" s="347"/>
      <c r="E204" s="100" t="s">
        <v>3380</v>
      </c>
    </row>
    <row r="205" spans="2:5" ht="20.100000000000001" customHeight="1" x14ac:dyDescent="0.2">
      <c r="B205" s="361" t="str">
        <v>Value Missing</v>
      </c>
      <c r="C205" s="89" t="str">
        <f>CONCATENATE(prefix_mgmt_az1_cidr,"9.213")</f>
        <v>10.11.9.213</v>
      </c>
      <c r="D205" s="347"/>
      <c r="E205" s="100" t="s">
        <v>3381</v>
      </c>
    </row>
    <row r="206" spans="2:5" ht="20.100000000000001" customHeight="1" x14ac:dyDescent="0.2">
      <c r="B206" s="361" t="str">
        <v>Value Missing</v>
      </c>
      <c r="C206" s="89" t="str">
        <f>CONCATENATE(prefix_mgmt_az1_cidr,"9.214")</f>
        <v>10.11.9.214</v>
      </c>
      <c r="D206" s="347"/>
      <c r="E206" s="100" t="s">
        <v>3382</v>
      </c>
    </row>
    <row r="207" spans="2:5" ht="20.100000000000001" customHeight="1" x14ac:dyDescent="0.2">
      <c r="B207" s="361" t="str">
        <v>Value Missing</v>
      </c>
      <c r="C207" s="89" t="str">
        <f>CONCATENATE(prefix_mgmt_az1_cidr,"9.215")</f>
        <v>10.11.9.215</v>
      </c>
      <c r="D207" s="347"/>
      <c r="E207" s="100" t="s">
        <v>3383</v>
      </c>
    </row>
    <row r="208" spans="2:5" ht="20.100000000000001" customHeight="1" x14ac:dyDescent="0.2">
      <c r="B208" s="361" t="str">
        <v>Value Missing</v>
      </c>
      <c r="C208" s="89" t="str">
        <f>CONCATENATE(prefix_mgmt_az1_cidr,"9.216")</f>
        <v>10.11.9.216</v>
      </c>
      <c r="D208" s="347"/>
      <c r="E208" s="100" t="s">
        <v>3384</v>
      </c>
    </row>
    <row r="209" spans="2:5" ht="15.95" customHeight="1" x14ac:dyDescent="0.2"/>
    <row r="210" spans="2:5" ht="33.950000000000003" customHeight="1" x14ac:dyDescent="0.2">
      <c r="B210" s="552" t="s">
        <v>3385</v>
      </c>
      <c r="C210" s="553"/>
      <c r="D210" s="553"/>
      <c r="E210" s="553"/>
    </row>
    <row r="211" spans="2:5" ht="15.95" customHeight="1" x14ac:dyDescent="0.2"/>
    <row r="212" spans="2:5" ht="33.950000000000003" customHeight="1" x14ac:dyDescent="0.2">
      <c r="B212" s="553" t="s">
        <v>3386</v>
      </c>
      <c r="C212" s="553"/>
      <c r="D212" s="553"/>
      <c r="E212" s="553"/>
    </row>
    <row r="213" spans="2:5" ht="20.100000000000001" customHeight="1" x14ac:dyDescent="0.2">
      <c r="B213" s="557"/>
      <c r="C213" s="557"/>
      <c r="D213" s="557"/>
      <c r="E213" s="557"/>
    </row>
    <row r="214" spans="2:5" ht="20.100000000000001" customHeight="1" x14ac:dyDescent="0.2">
      <c r="B214" s="307" t="s">
        <v>37</v>
      </c>
      <c r="C214" s="308" t="s">
        <v>276</v>
      </c>
      <c r="D214" s="308" t="s">
        <v>277</v>
      </c>
      <c r="E214" s="308" t="s">
        <v>5</v>
      </c>
    </row>
    <row r="215" spans="2:5" ht="20.100000000000001" customHeight="1" x14ac:dyDescent="0.2">
      <c r="B215" s="295" t="s">
        <v>3387</v>
      </c>
      <c r="C215" s="362" t="str">
        <f>sample_vvs_dr_mgmt_vc_fqdn</f>
        <v>sfo-m01-vc01.sfo.rainpole.io</v>
      </c>
      <c r="D215" s="337" t="str">
        <f>vvs_dr_mgmt_vc_fqdn</f>
        <v>Value Missing</v>
      </c>
      <c r="E215" s="32"/>
    </row>
    <row r="216" spans="2:5" ht="20.100000000000001" customHeight="1" x14ac:dyDescent="0.2">
      <c r="B216" s="295" t="s">
        <v>3266</v>
      </c>
      <c r="C216" s="362" t="str">
        <f>sample_vvs_dr_mgmt_vc_fqdn</f>
        <v>sfo-m01-vc01.sfo.rainpole.io</v>
      </c>
      <c r="D216" s="337" t="str">
        <f>vvs_dr_mgmt_vc_fqdn</f>
        <v>Value Missing</v>
      </c>
      <c r="E216" s="32"/>
    </row>
    <row r="217" spans="2:5" ht="20.100000000000001" customHeight="1" x14ac:dyDescent="0.2">
      <c r="B217" s="295" t="s">
        <v>3203</v>
      </c>
      <c r="C217" s="362" t="str">
        <f>CONCATENATE(other_instance,"-m01-vc01.",other_instance,".",sample_parent_dns_zone)</f>
        <v>lax-m01-vc01.lax.rainpole.io</v>
      </c>
      <c r="D217" s="347"/>
      <c r="E217" s="32"/>
    </row>
    <row r="218" spans="2:5" ht="20.100000000000001" customHeight="1" x14ac:dyDescent="0.2">
      <c r="B218" s="295" t="s">
        <v>565</v>
      </c>
      <c r="C218" s="362" t="str">
        <f>IF(mgmt_domain_chosen="First Instance","svc_lax-m01-vlr01_lax-m01-vc01@vsphere.local","svc_sfo-m01-vlr01_sfo-m01-vc01@vsphere.local")</f>
        <v>svc_lax-m01-vlr01_lax-m01-vc01@vsphere.local</v>
      </c>
      <c r="D218" s="347"/>
      <c r="E218" s="32"/>
    </row>
    <row r="219" spans="2:5" ht="20.100000000000001" customHeight="1" x14ac:dyDescent="0.2">
      <c r="B219" s="295" t="s">
        <v>296</v>
      </c>
      <c r="C219" s="362" t="s">
        <v>379</v>
      </c>
      <c r="D219" s="347"/>
      <c r="E219" s="32"/>
    </row>
    <row r="220" spans="2:5" ht="20.100000000000001" customHeight="1" x14ac:dyDescent="0.2">
      <c r="B220" s="295" t="s">
        <v>3269</v>
      </c>
      <c r="C220" s="362" t="str">
        <f>sample_mgmt_srm_recovery_vcenter_fqdn</f>
        <v>lax-m01-vc01.lax.rainpole.io</v>
      </c>
      <c r="D220" s="337" t="str">
        <f>mgmt_srm_recovery_vcenter_fqdn</f>
        <v>Value Missing</v>
      </c>
      <c r="E220" s="32"/>
    </row>
    <row r="221" spans="2:5" ht="15.95" customHeight="1" x14ac:dyDescent="0.2">
      <c r="B221" s="298"/>
      <c r="C221" s="142"/>
    </row>
    <row r="222" spans="2:5" ht="33.950000000000003" customHeight="1" x14ac:dyDescent="0.2">
      <c r="B222" s="553" t="s">
        <v>3388</v>
      </c>
      <c r="C222" s="553"/>
      <c r="D222" s="553"/>
      <c r="E222" s="553"/>
    </row>
    <row r="223" spans="2:5" ht="20.100000000000001" customHeight="1" x14ac:dyDescent="0.2">
      <c r="B223" s="557"/>
      <c r="C223" s="557"/>
      <c r="D223" s="557"/>
      <c r="E223" s="557"/>
    </row>
    <row r="224" spans="2:5" ht="20.100000000000001" customHeight="1" x14ac:dyDescent="0.2">
      <c r="B224" s="307" t="s">
        <v>37</v>
      </c>
      <c r="C224" s="308" t="s">
        <v>276</v>
      </c>
      <c r="D224" s="308" t="s">
        <v>277</v>
      </c>
      <c r="E224" s="308" t="s">
        <v>5</v>
      </c>
    </row>
    <row r="225" spans="2:5" ht="20.100000000000001" customHeight="1" x14ac:dyDescent="0.2">
      <c r="B225" s="295" t="s">
        <v>3387</v>
      </c>
      <c r="C225" s="362" t="str">
        <f>sample_vvs_dr_mgmt_vc_fqdn</f>
        <v>sfo-m01-vc01.sfo.rainpole.io</v>
      </c>
      <c r="D225" s="337" t="str">
        <f>vvs_dr_mgmt_vc_fqdn</f>
        <v>Value Missing</v>
      </c>
      <c r="E225" s="32"/>
    </row>
    <row r="226" spans="2:5" ht="20.100000000000001" customHeight="1" x14ac:dyDescent="0.2">
      <c r="B226" s="295" t="s">
        <v>2026</v>
      </c>
      <c r="C226" s="362" t="str">
        <f>sample_vvs_dr_mgmt_vc_fqdn</f>
        <v>sfo-m01-vc01.sfo.rainpole.io</v>
      </c>
      <c r="D226" s="337" t="str">
        <f>vvs_dr_mgmt_vc_fqdn</f>
        <v>Value Missing</v>
      </c>
      <c r="E226" s="32"/>
    </row>
    <row r="227" spans="2:5" ht="20.100000000000001" customHeight="1" x14ac:dyDescent="0.2">
      <c r="B227" s="295" t="s">
        <v>3389</v>
      </c>
      <c r="C227" s="362" t="str">
        <f>sample_vvs_mgmt_dr_vlr_fqdn</f>
        <v>sfo-m01-vlr01.sfo.rainpole.io</v>
      </c>
      <c r="D227" s="337" t="str">
        <f>vvs_mgmt_dr_vlr_fqdn</f>
        <v>Value Missing</v>
      </c>
      <c r="E227" s="32"/>
    </row>
    <row r="228" spans="2:5" ht="20.100000000000001" customHeight="1" x14ac:dyDescent="0.2">
      <c r="B228" s="295" t="s">
        <v>3390</v>
      </c>
      <c r="C228" s="362" t="s">
        <v>3391</v>
      </c>
      <c r="D228" s="347"/>
      <c r="E228" s="32"/>
    </row>
    <row r="229" spans="2:5" ht="20.100000000000001" customHeight="1" x14ac:dyDescent="0.2">
      <c r="B229" s="295" t="s">
        <v>3392</v>
      </c>
      <c r="C229" s="362" t="s">
        <v>3391</v>
      </c>
      <c r="D229" s="347"/>
      <c r="E229" s="32"/>
    </row>
    <row r="230" spans="2:5" ht="15.95" customHeight="1" x14ac:dyDescent="0.2"/>
    <row r="231" spans="2:5" ht="33.950000000000003" customHeight="1" x14ac:dyDescent="0.2">
      <c r="B231" s="553" t="s">
        <v>3393</v>
      </c>
      <c r="C231" s="553"/>
      <c r="D231" s="553"/>
      <c r="E231" s="553"/>
    </row>
    <row r="232" spans="2:5" ht="20.100000000000001" customHeight="1" x14ac:dyDescent="0.2">
      <c r="B232" s="557"/>
      <c r="C232" s="557"/>
      <c r="D232" s="557"/>
      <c r="E232" s="557"/>
    </row>
    <row r="233" spans="2:5" ht="20.100000000000001" customHeight="1" x14ac:dyDescent="0.2">
      <c r="B233" s="307" t="s">
        <v>37</v>
      </c>
      <c r="C233" s="308" t="s">
        <v>276</v>
      </c>
      <c r="D233" s="308" t="s">
        <v>277</v>
      </c>
      <c r="E233" s="308" t="s">
        <v>5</v>
      </c>
    </row>
    <row r="234" spans="2:5" ht="20.100000000000001" customHeight="1" x14ac:dyDescent="0.2">
      <c r="B234" s="295" t="s">
        <v>3387</v>
      </c>
      <c r="C234" s="362" t="str">
        <f>sample_vvs_dr_mgmt_vc_fqdn</f>
        <v>sfo-m01-vc01.sfo.rainpole.io</v>
      </c>
      <c r="D234" s="337" t="str">
        <f>vvs_dr_mgmt_vc_fqdn</f>
        <v>Value Missing</v>
      </c>
      <c r="E234" s="32"/>
    </row>
    <row r="235" spans="2:5" ht="20.100000000000001" customHeight="1" x14ac:dyDescent="0.2">
      <c r="B235" s="295" t="s">
        <v>3394</v>
      </c>
      <c r="C235" s="362" t="str">
        <f>CONCATENATE(sample_mgmt_vc_fqdn," &lt;--&gt; ",sample_mgmt_srm_recovery_vcenter_fqdn)</f>
        <v>sfo-m01-vc01.sfo.rainpole.io &lt;--&gt; lax-m01-vc01.lax.rainpole.io</v>
      </c>
      <c r="D235" s="337" t="str">
        <f>CONCATENATE(vvs_dr_mgmt_vc_fqdn," &lt;--&gt; ",mgmt_srm_recovery_vcenter_fqdn)</f>
        <v>Value Missing &lt;--&gt; Value Missing</v>
      </c>
      <c r="E235" s="32"/>
    </row>
    <row r="236" spans="2:5" ht="20.100000000000001" customHeight="1" x14ac:dyDescent="0.2">
      <c r="B236" s="4" t="s">
        <v>3395</v>
      </c>
      <c r="C236" s="362" t="str">
        <f>CONCATENATE(sample_mgmt_cl01_vds01_name," --&gt; ",sample_flt_custom_network_x_reg_pg)</f>
        <v>sfo-m01-cl01-vds01 --&gt; sfo-m01-cl01-vds01-pg-vm-mgmt</v>
      </c>
      <c r="D236" s="347"/>
      <c r="E236" s="32"/>
    </row>
    <row r="237" spans="2:5" ht="20.100000000000001" customHeight="1" x14ac:dyDescent="0.2">
      <c r="B237" s="4" t="s">
        <v>3396</v>
      </c>
      <c r="C237" s="362" t="str">
        <f>CONCATENATE(other_instance,"-m01-cl01-vds01"," --&gt; ",other_instance,"-m01-cl01-vds01-pg-vm-fleet")</f>
        <v>lax-m01-cl01-vds01 --&gt; lax-m01-cl01-vds01-pg-vm-fleet</v>
      </c>
      <c r="D237" s="347"/>
      <c r="E237" s="32"/>
    </row>
    <row r="238" spans="2:5" ht="20.100000000000001" customHeight="1" x14ac:dyDescent="0.2">
      <c r="B238" s="4" t="s">
        <v>3397</v>
      </c>
      <c r="C238" s="362" t="str">
        <f>CONCATENATE(sample_mgmt_srm_recovery_vcenter_fqdn," --&gt; ",this_instance,"-m01-DC")</f>
        <v>lax-m01-vc01.lax.rainpole.io --&gt; sfo-m01-DC</v>
      </c>
      <c r="D238" s="347"/>
      <c r="E238" s="32"/>
    </row>
    <row r="239" spans="2:5" ht="20.100000000000001" customHeight="1" x14ac:dyDescent="0.2">
      <c r="B239" s="4" t="s">
        <v>3398</v>
      </c>
      <c r="C239" s="362" t="str">
        <f>CONCATENATE(sample_mgmt_srm_recovery_vcenter_fqdn," --&gt; ",other_instance,"-m01-DC")</f>
        <v>lax-m01-vc01.lax.rainpole.io --&gt; lax-m01-DC</v>
      </c>
      <c r="D239" s="347"/>
      <c r="E239" s="32"/>
    </row>
    <row r="240" spans="2:5" ht="20.100000000000001" customHeight="1" x14ac:dyDescent="0.2">
      <c r="B240" s="4" t="s">
        <v>3399</v>
      </c>
      <c r="C240" s="362" t="str">
        <f>CONCATENATE(this_instance,"-m01-DC"," --&gt; ",this_instance,"-m01-cl01")</f>
        <v>sfo-m01-DC --&gt; sfo-m01-cl01</v>
      </c>
      <c r="D240" s="347"/>
      <c r="E240" s="32"/>
    </row>
    <row r="241" spans="2:5" ht="20.100000000000001" customHeight="1" x14ac:dyDescent="0.2">
      <c r="B241" s="4" t="s">
        <v>3400</v>
      </c>
      <c r="C241" s="362" t="str">
        <f>CONCATENATE(other_instance,"-m01-DC"," --&gt; ",other_instance,"-m01-cl01")</f>
        <v>lax-m01-DC --&gt; lax-m01-cl01</v>
      </c>
      <c r="D241" s="347"/>
      <c r="E241" s="32"/>
    </row>
    <row r="242" spans="2:5" ht="15.95" customHeight="1" x14ac:dyDescent="0.2"/>
    <row r="243" spans="2:5" ht="33.950000000000003" customHeight="1" x14ac:dyDescent="0.2">
      <c r="B243" s="553" t="s">
        <v>3401</v>
      </c>
      <c r="C243" s="553"/>
      <c r="D243" s="553"/>
      <c r="E243" s="553"/>
    </row>
    <row r="244" spans="2:5" ht="20.100000000000001" customHeight="1" x14ac:dyDescent="0.2">
      <c r="B244" s="557"/>
      <c r="C244" s="557"/>
      <c r="D244" s="557"/>
      <c r="E244" s="557"/>
    </row>
    <row r="245" spans="2:5" ht="20.100000000000001" customHeight="1" x14ac:dyDescent="0.2">
      <c r="B245" s="307" t="s">
        <v>37</v>
      </c>
      <c r="C245" s="308" t="s">
        <v>276</v>
      </c>
      <c r="D245" s="308" t="s">
        <v>277</v>
      </c>
      <c r="E245" s="308" t="s">
        <v>5</v>
      </c>
    </row>
    <row r="246" spans="2:5" ht="20.100000000000001" customHeight="1" x14ac:dyDescent="0.2">
      <c r="B246" s="295" t="s">
        <v>3366</v>
      </c>
      <c r="C246" s="362" t="str">
        <f>sample_vvs_mgmt_dr_vlr_fqdn</f>
        <v>sfo-m01-vlr01.sfo.rainpole.io</v>
      </c>
      <c r="D246" s="337" t="str">
        <f>vvs_mgmt_dr_vlr_fqdn</f>
        <v>Value Missing</v>
      </c>
      <c r="E246" s="32"/>
    </row>
    <row r="247" spans="2:5" ht="20.100000000000001" customHeight="1" x14ac:dyDescent="0.2">
      <c r="B247" s="4" t="s">
        <v>3394</v>
      </c>
      <c r="C247" s="362" t="str">
        <f>CONCATENATE(sample_mgmt_vc_fqdn," &lt;--&gt; ",sample_mgmt_srm_recovery_vcenter_fqdn)</f>
        <v>sfo-m01-vc01.sfo.rainpole.io &lt;--&gt; lax-m01-vc01.lax.rainpole.io</v>
      </c>
      <c r="D247" s="337" t="str">
        <f>vs_dr_site_pair</f>
        <v>Value Missing &lt;--&gt; Value Missing</v>
      </c>
      <c r="E247" s="32"/>
    </row>
    <row r="248" spans="2:5" ht="20.100000000000001" customHeight="1" x14ac:dyDescent="0.2">
      <c r="B248" s="361" t="s">
        <v>3402</v>
      </c>
      <c r="C248" s="362" t="str">
        <f>CONCATENATE(prefix_portable_component,"-fm01")</f>
        <v>flt-fm01</v>
      </c>
      <c r="D248" s="337" t="str">
        <f t="array" ref="D248">vvs_dr_flt_fleet_manager_hostname</f>
        <v>Value Missing</v>
      </c>
      <c r="E248" s="32"/>
    </row>
    <row r="249" spans="2:5" ht="20.100000000000001" customHeight="1" x14ac:dyDescent="0.2">
      <c r="B249" s="361" t="s">
        <v>3402</v>
      </c>
      <c r="C249" s="362" t="str">
        <f>CONCATENATE(prefix_portable_component,"-ops01a")</f>
        <v>flt-ops01a</v>
      </c>
      <c r="D249" s="337" t="str">
        <f t="array" ref="D249">vvs_dr_flt_ops_nodea_hostname</f>
        <v>Value Missing</v>
      </c>
      <c r="E249" s="32"/>
    </row>
    <row r="250" spans="2:5" ht="20.100000000000001" customHeight="1" x14ac:dyDescent="0.2">
      <c r="B250" s="361" t="s">
        <v>3402</v>
      </c>
      <c r="C250" s="362" t="str">
        <f>CONCATENATE(prefix_portable_component,"-ops01b")</f>
        <v>flt-ops01b</v>
      </c>
      <c r="D250" s="337" t="str">
        <f t="array" ref="D250">vvs_dr_flt_ops_nodeb_hostname</f>
        <v>Value Missing</v>
      </c>
      <c r="E250" s="32"/>
    </row>
    <row r="251" spans="2:5" ht="20.100000000000001" customHeight="1" x14ac:dyDescent="0.2">
      <c r="B251" s="361" t="s">
        <v>3402</v>
      </c>
      <c r="C251" s="362" t="str">
        <f>CONCATENATE(prefix_portable_component,"-ops01c")</f>
        <v>flt-ops01c</v>
      </c>
      <c r="D251" s="337" t="str">
        <f t="array" ref="D251">vvs_dr_flt_ops_nodec_hostname</f>
        <v>Value Missing</v>
      </c>
      <c r="E251" s="32"/>
    </row>
    <row r="252" spans="2:5" ht="20.100000000000001" customHeight="1" x14ac:dyDescent="0.2">
      <c r="B252" s="361" t="s">
        <v>3403</v>
      </c>
      <c r="C252" s="362" t="str">
        <f>CONCATENATE(other_instance,"-m01-cl01-ds-vsan01")</f>
        <v>lax-m01-cl01-ds-vsan01</v>
      </c>
      <c r="D252" s="347"/>
      <c r="E252" s="32"/>
    </row>
    <row r="253" spans="2:5" ht="20.100000000000001" customHeight="1" x14ac:dyDescent="0.2">
      <c r="B253" s="361" t="s">
        <v>3404</v>
      </c>
      <c r="C253" s="362">
        <v>15</v>
      </c>
      <c r="D253" s="347"/>
      <c r="E253" s="32"/>
    </row>
    <row r="254" spans="2:5" ht="20.100000000000001" customHeight="1" x14ac:dyDescent="0.2">
      <c r="B254" s="361" t="s">
        <v>2337</v>
      </c>
      <c r="C254" s="362">
        <v>3</v>
      </c>
      <c r="D254" s="347"/>
      <c r="E254" s="32"/>
    </row>
    <row r="255" spans="2:5" ht="20.100000000000001" customHeight="1" x14ac:dyDescent="0.2">
      <c r="B255" s="4" t="s">
        <v>2343</v>
      </c>
      <c r="C255" s="362">
        <v>1</v>
      </c>
      <c r="D255" s="347"/>
      <c r="E255" s="32"/>
    </row>
    <row r="256" spans="2:5" ht="20.100000000000001" customHeight="1" x14ac:dyDescent="0.2">
      <c r="B256" s="4" t="s">
        <v>3405</v>
      </c>
      <c r="C256" s="362" t="s">
        <v>3406</v>
      </c>
      <c r="D256" s="347"/>
      <c r="E256" s="32"/>
    </row>
    <row r="257" spans="2:5" ht="20.100000000000001" customHeight="1" x14ac:dyDescent="0.2">
      <c r="B257" s="361" t="s">
        <v>3407</v>
      </c>
      <c r="C257" s="362" t="s">
        <v>3408</v>
      </c>
      <c r="D257" s="347"/>
      <c r="E257" s="32"/>
    </row>
    <row r="258" spans="2:5" ht="15.95" customHeight="1" x14ac:dyDescent="0.2"/>
    <row r="259" spans="2:5" ht="33.950000000000003" customHeight="1" x14ac:dyDescent="0.2">
      <c r="B259" s="553" t="s">
        <v>3409</v>
      </c>
      <c r="C259" s="553"/>
      <c r="D259" s="553"/>
      <c r="E259" s="553"/>
    </row>
    <row r="260" spans="2:5" ht="20.100000000000001" customHeight="1" x14ac:dyDescent="0.2">
      <c r="B260" s="557"/>
      <c r="C260" s="557"/>
      <c r="D260" s="557"/>
      <c r="E260" s="557"/>
    </row>
    <row r="261" spans="2:5" ht="20.100000000000001" customHeight="1" x14ac:dyDescent="0.2">
      <c r="B261" s="307" t="s">
        <v>37</v>
      </c>
      <c r="C261" s="308" t="s">
        <v>276</v>
      </c>
      <c r="D261" s="308" t="s">
        <v>277</v>
      </c>
      <c r="E261" s="308" t="s">
        <v>5</v>
      </c>
    </row>
    <row r="262" spans="2:5" ht="20.100000000000001" customHeight="1" x14ac:dyDescent="0.2">
      <c r="B262" s="295" t="s">
        <v>3366</v>
      </c>
      <c r="C262" s="362" t="str">
        <f>CONCATENATE(sample_vvs_mgmt_dr_vlr_fqdn,"/dr")</f>
        <v>sfo-m01-vlr01.sfo.rainpole.io/dr</v>
      </c>
      <c r="D262" s="337" t="str">
        <f>CONCATENATE(vvs_mgmt_dr_vlr_fqdn,"/dr")</f>
        <v>Value Missing/dr</v>
      </c>
      <c r="E262" s="32"/>
    </row>
    <row r="263" spans="2:5" ht="20.100000000000001" customHeight="1" x14ac:dyDescent="0.2">
      <c r="B263" s="295" t="s">
        <v>3394</v>
      </c>
      <c r="C263" s="362" t="str">
        <f>CONCATENATE(sample_mgmt_vc_fqdn," &lt;--&gt; ",sample_mgmt_srm_recovery_vcenter_fqdn)</f>
        <v>sfo-m01-vc01.sfo.rainpole.io &lt;--&gt; lax-m01-vc01.lax.rainpole.io</v>
      </c>
      <c r="D263" s="337" t="str">
        <f>vs_dr_site_pair</f>
        <v>Value Missing &lt;--&gt; Value Missing</v>
      </c>
      <c r="E263" s="32"/>
    </row>
    <row r="264" spans="2:5" ht="20.100000000000001" customHeight="1" x14ac:dyDescent="0.2">
      <c r="B264" s="295" t="s">
        <v>3410</v>
      </c>
      <c r="C264" s="362" t="str">
        <f>sample_mgmt_srm_vrops_rp</f>
        <v>VCF-OPS-RP</v>
      </c>
      <c r="D264" s="337" t="str">
        <f>mgmt_srm_vrops_rp</f>
        <v>Value Missing</v>
      </c>
      <c r="E264" s="32"/>
    </row>
    <row r="265" spans="2:5" ht="20.100000000000001" customHeight="1" x14ac:dyDescent="0.2">
      <c r="B265" s="295" t="s">
        <v>3411</v>
      </c>
      <c r="C265" s="362" t="str">
        <f>CONCATENATE(prefix_portable_component,"-fm01")</f>
        <v>flt-fm01</v>
      </c>
      <c r="D265" s="337" t="str">
        <f>vvs_dr_flt_fleet_manager_hostname</f>
        <v>Value Missing</v>
      </c>
      <c r="E265" s="32"/>
    </row>
    <row r="266" spans="2:5" ht="20.100000000000001" customHeight="1" x14ac:dyDescent="0.2">
      <c r="B266" s="295" t="s">
        <v>3412</v>
      </c>
      <c r="C266" s="362" t="str">
        <f>CONCATENATE(prefix_portable_component,"-ops01a")</f>
        <v>flt-ops01a</v>
      </c>
      <c r="D266" s="337" t="str">
        <f t="array" ref="D266">vvs_dr_flt_ops_nodea_hostname</f>
        <v>Value Missing</v>
      </c>
      <c r="E266" s="32"/>
    </row>
    <row r="267" spans="2:5" ht="20.100000000000001" customHeight="1" x14ac:dyDescent="0.2">
      <c r="B267" s="295" t="s">
        <v>3413</v>
      </c>
      <c r="C267" s="362" t="str">
        <f>CONCATENATE(prefix_portable_component,"-ops01b")</f>
        <v>flt-ops01b</v>
      </c>
      <c r="D267" s="337" t="str">
        <f t="array" ref="D267">vvs_dr_flt_ops_nodeb_hostname</f>
        <v>Value Missing</v>
      </c>
      <c r="E267" s="32"/>
    </row>
    <row r="268" spans="2:5" ht="20.100000000000001" customHeight="1" x14ac:dyDescent="0.2">
      <c r="B268" s="295" t="s">
        <v>3414</v>
      </c>
      <c r="C268" s="362" t="str">
        <f>CONCATENATE(prefix_portable_component,"-ops01c")</f>
        <v>flt-ops01c</v>
      </c>
      <c r="D268" s="337" t="str">
        <f t="array" ref="D268">vvs_dr_flt_ops_nodec_hostname</f>
        <v>Value Missing</v>
      </c>
      <c r="E268" s="32"/>
    </row>
    <row r="269" spans="2:5" ht="15.95" customHeight="1" x14ac:dyDescent="0.2"/>
    <row r="270" spans="2:5" ht="33.950000000000003" customHeight="1" x14ac:dyDescent="0.2">
      <c r="B270" s="553" t="s">
        <v>3415</v>
      </c>
      <c r="C270" s="553"/>
      <c r="D270" s="553"/>
      <c r="E270" s="553"/>
    </row>
    <row r="271" spans="2:5" ht="20.100000000000001" customHeight="1" x14ac:dyDescent="0.2">
      <c r="B271" s="557"/>
      <c r="C271" s="557"/>
      <c r="D271" s="557"/>
      <c r="E271" s="557"/>
    </row>
    <row r="272" spans="2:5" ht="20.100000000000001" customHeight="1" x14ac:dyDescent="0.2">
      <c r="B272" s="307" t="s">
        <v>37</v>
      </c>
      <c r="C272" s="308" t="s">
        <v>276</v>
      </c>
      <c r="D272" s="308" t="s">
        <v>277</v>
      </c>
      <c r="E272" s="308" t="s">
        <v>5</v>
      </c>
    </row>
    <row r="273" spans="2:5" ht="20.100000000000001" customHeight="1" x14ac:dyDescent="0.2">
      <c r="B273" s="295" t="s">
        <v>3366</v>
      </c>
      <c r="C273" s="362" t="str">
        <f>CONCATENATE(sample_vvs_mgmt_dr_vlr_fqdn,"/dr")</f>
        <v>sfo-m01-vlr01.sfo.rainpole.io/dr</v>
      </c>
      <c r="D273" s="337" t="str">
        <f>CONCATENATE(vvs_mgmt_dr_vlr_fqdn,"/dr")</f>
        <v>Value Missing/dr</v>
      </c>
      <c r="E273" s="32"/>
    </row>
    <row r="274" spans="2:5" ht="20.100000000000001" customHeight="1" x14ac:dyDescent="0.2">
      <c r="B274" s="295" t="s">
        <v>3394</v>
      </c>
      <c r="C274" s="362" t="str">
        <f>CONCATENATE(sample_mgmt_vc_fqdn," &lt;--&gt; ",sample_mgmt_srm_recovery_vcenter_fqdn)</f>
        <v>sfo-m01-vc01.sfo.rainpole.io &lt;--&gt; lax-m01-vc01.lax.rainpole.io</v>
      </c>
      <c r="D274" s="337" t="str">
        <f>vs_dr_site_pair</f>
        <v>Value Missing &lt;--&gt; Value Missing</v>
      </c>
      <c r="E274" s="32"/>
    </row>
    <row r="275" spans="2:5" ht="20.100000000000001" customHeight="1" x14ac:dyDescent="0.2">
      <c r="B275" s="295" t="s">
        <v>3416</v>
      </c>
      <c r="C275" s="362" t="str">
        <f>CONCATENATE(prefix_portable_component,"-logs01a")</f>
        <v>flt-logs01a</v>
      </c>
      <c r="D275" s="337" t="str">
        <f>vvs_dr_flt_logs_nodea_hostname</f>
        <v>Value Missing</v>
      </c>
      <c r="E275" s="32"/>
    </row>
    <row r="276" spans="2:5" ht="20.100000000000001" customHeight="1" x14ac:dyDescent="0.2">
      <c r="B276" s="295" t="s">
        <v>3417</v>
      </c>
      <c r="C276" s="362" t="str">
        <f>CONCATENATE(prefix_portable_component,"-logs01b")</f>
        <v>flt-logs01b</v>
      </c>
      <c r="D276" s="337" t="str">
        <f>vvs_dr_flt_logs_nodeb_hostname</f>
        <v>Value Missing</v>
      </c>
      <c r="E276" s="32"/>
    </row>
    <row r="277" spans="2:5" ht="20.100000000000001" customHeight="1" x14ac:dyDescent="0.2">
      <c r="B277" s="295" t="s">
        <v>3418</v>
      </c>
      <c r="C277" s="362" t="str">
        <f>CONCATENATE(prefix_portable_component,"-logs01c")</f>
        <v>flt-logs01c</v>
      </c>
      <c r="D277" s="337" t="str">
        <f>vvs_dr_flt_logs_nodec_hostname</f>
        <v>Value Missing</v>
      </c>
      <c r="E277" s="32"/>
    </row>
    <row r="278" spans="2:5" ht="20.100000000000001" customHeight="1" x14ac:dyDescent="0.2">
      <c r="B278" s="295" t="s">
        <v>3403</v>
      </c>
      <c r="C278" s="362" t="str">
        <f>sample_mgmt_srm_recovery_datastore</f>
        <v>lax-m01-cl01-ds-vsan01</v>
      </c>
      <c r="D278" s="337" t="str">
        <f>mgmt_srm_recovery_datastore</f>
        <v>Value Missing</v>
      </c>
      <c r="E278" s="32"/>
    </row>
    <row r="279" spans="2:5" ht="20.100000000000001" customHeight="1" x14ac:dyDescent="0.2">
      <c r="B279" s="295" t="s">
        <v>3404</v>
      </c>
      <c r="C279" s="362">
        <f>sample_mgmt_srm_rpo</f>
        <v>15</v>
      </c>
      <c r="D279" s="337" t="str">
        <f>mgmt_srm_rpo</f>
        <v>Value Missing</v>
      </c>
      <c r="E279" s="32"/>
    </row>
    <row r="280" spans="2:5" ht="20.100000000000001" customHeight="1" x14ac:dyDescent="0.2">
      <c r="B280" s="295" t="s">
        <v>2337</v>
      </c>
      <c r="C280" s="362">
        <f>sample_mgmt_srm_instances_per_day</f>
        <v>3</v>
      </c>
      <c r="D280" s="337" t="str">
        <f>mgmt_srm_instances_per_day</f>
        <v>Value Missing</v>
      </c>
      <c r="E280" s="32"/>
    </row>
    <row r="281" spans="2:5" ht="20.100000000000001" customHeight="1" x14ac:dyDescent="0.2">
      <c r="B281" s="295" t="s">
        <v>2343</v>
      </c>
      <c r="C281" s="362">
        <f>sample_mgmt_srm_days</f>
        <v>1</v>
      </c>
      <c r="D281" s="337" t="str">
        <f>mgmt_srm_days</f>
        <v>Value Missing</v>
      </c>
      <c r="E281" s="32"/>
    </row>
    <row r="282" spans="2:5" ht="20.100000000000001" customHeight="1" x14ac:dyDescent="0.2">
      <c r="B282" s="295" t="s">
        <v>3405</v>
      </c>
      <c r="C282" s="362" t="s">
        <v>3419</v>
      </c>
      <c r="D282" s="347"/>
      <c r="E282" s="32"/>
    </row>
    <row r="283" spans="2:5" ht="20.100000000000001" customHeight="1" x14ac:dyDescent="0.2">
      <c r="B283" s="295" t="s">
        <v>3407</v>
      </c>
      <c r="C283" s="362" t="s">
        <v>3420</v>
      </c>
      <c r="D283" s="347"/>
      <c r="E283" s="32"/>
    </row>
    <row r="284" spans="2:5" ht="15.95" customHeight="1" x14ac:dyDescent="0.2">
      <c r="B284" s="298"/>
      <c r="C284" s="142"/>
    </row>
    <row r="285" spans="2:5" ht="33.950000000000003" customHeight="1" x14ac:dyDescent="0.2">
      <c r="B285" s="553" t="s">
        <v>3421</v>
      </c>
      <c r="C285" s="553"/>
      <c r="D285" s="553"/>
      <c r="E285" s="553"/>
    </row>
    <row r="286" spans="2:5" ht="20.100000000000001" customHeight="1" x14ac:dyDescent="0.2">
      <c r="B286" s="557"/>
      <c r="C286" s="557"/>
      <c r="D286" s="557"/>
      <c r="E286" s="557"/>
    </row>
    <row r="287" spans="2:5" ht="20.100000000000001" customHeight="1" x14ac:dyDescent="0.2">
      <c r="B287" s="43" t="s">
        <v>259</v>
      </c>
      <c r="C287" s="43" t="s">
        <v>711</v>
      </c>
      <c r="D287" s="130" t="s">
        <v>277</v>
      </c>
      <c r="E287" s="43" t="s">
        <v>5</v>
      </c>
    </row>
    <row r="288" spans="2:5" ht="20.100000000000001" customHeight="1" x14ac:dyDescent="0.2">
      <c r="B288" s="295" t="s">
        <v>3366</v>
      </c>
      <c r="C288" s="362" t="str">
        <f>CONCATENATE(sample_vvs_mgmt_dr_vlr_fqdn,"/dr")</f>
        <v>sfo-m01-vlr01.sfo.rainpole.io/dr</v>
      </c>
      <c r="D288" s="337" t="str">
        <f>CONCATENATE(vvs_mgmt_dr_vlr_fqdn,"/dr")</f>
        <v>Value Missing/dr</v>
      </c>
      <c r="E288" s="32"/>
    </row>
    <row r="289" spans="2:5" ht="20.100000000000001" customHeight="1" x14ac:dyDescent="0.2">
      <c r="B289" s="295" t="s">
        <v>3394</v>
      </c>
      <c r="C289" s="362" t="str">
        <f>CONCATENATE(sample_mgmt_vc_fqdn," &lt;--&gt; ",sample_mgmt_srm_recovery_vcenter_fqdn)</f>
        <v>sfo-m01-vc01.sfo.rainpole.io &lt;--&gt; lax-m01-vc01.lax.rainpole.io</v>
      </c>
      <c r="D289" s="337" t="str">
        <f>vs_dr_site_pair</f>
        <v>Value Missing &lt;--&gt; Value Missing</v>
      </c>
      <c r="E289" s="32"/>
    </row>
    <row r="290" spans="2:5" ht="20.100000000000001" customHeight="1" x14ac:dyDescent="0.2">
      <c r="B290" s="295" t="s">
        <v>3410</v>
      </c>
      <c r="C290" s="362" t="str">
        <f>sample_mgmt_srm_logs_rp</f>
        <v>VCF-OPS-LOGS-RP</v>
      </c>
      <c r="D290" s="337" t="str">
        <f t="array" ref="D290">mgmt_srm_logs_rp</f>
        <v>Value Missing</v>
      </c>
      <c r="E290" s="32"/>
    </row>
    <row r="291" spans="2:5" ht="20.100000000000001" customHeight="1" x14ac:dyDescent="0.2">
      <c r="B291" s="295" t="s">
        <v>3416</v>
      </c>
      <c r="C291" s="362" t="str">
        <f>CONCATENATE(prefix_portable_component,"-logs01a")</f>
        <v>flt-logs01a</v>
      </c>
      <c r="D291" s="337" t="str">
        <f>vvs_dr_flt_logs_nodea_hostname</f>
        <v>Value Missing</v>
      </c>
      <c r="E291" s="32"/>
    </row>
    <row r="292" spans="2:5" ht="20.100000000000001" customHeight="1" x14ac:dyDescent="0.2">
      <c r="B292" s="295" t="s">
        <v>3417</v>
      </c>
      <c r="C292" s="362" t="str">
        <f>CONCATENATE(prefix_portable_component,"-logs01b")</f>
        <v>flt-logs01b</v>
      </c>
      <c r="D292" s="337" t="str">
        <f>vvs_dr_flt_logs_nodeb_hostname</f>
        <v>Value Missing</v>
      </c>
      <c r="E292" s="32"/>
    </row>
    <row r="293" spans="2:5" ht="20.100000000000001" customHeight="1" x14ac:dyDescent="0.2">
      <c r="B293" s="295" t="s">
        <v>3418</v>
      </c>
      <c r="C293" s="362" t="str">
        <f>CONCATENATE(prefix_portable_component,"-logs01c")</f>
        <v>flt-logs01c</v>
      </c>
      <c r="D293" s="337" t="str">
        <f>vvs_dr_flt_logs_nodec_hostname</f>
        <v>Value Missing</v>
      </c>
      <c r="E293" s="32"/>
    </row>
    <row r="294" spans="2:5" ht="15.95" customHeight="1" x14ac:dyDescent="0.2">
      <c r="B294" s="298"/>
      <c r="C294" s="142"/>
    </row>
    <row r="295" spans="2:5" ht="33.950000000000003" customHeight="1" x14ac:dyDescent="0.2">
      <c r="B295" s="553" t="s">
        <v>3422</v>
      </c>
      <c r="C295" s="553"/>
      <c r="D295" s="553"/>
      <c r="E295" s="553"/>
    </row>
    <row r="296" spans="2:5" ht="20.100000000000001" customHeight="1" x14ac:dyDescent="0.2">
      <c r="B296" s="557"/>
      <c r="C296" s="557"/>
      <c r="D296" s="557"/>
      <c r="E296" s="557"/>
    </row>
    <row r="297" spans="2:5" ht="20.100000000000001" customHeight="1" x14ac:dyDescent="0.2">
      <c r="B297" s="307" t="s">
        <v>37</v>
      </c>
      <c r="C297" s="308" t="s">
        <v>276</v>
      </c>
      <c r="D297" s="308" t="s">
        <v>277</v>
      </c>
      <c r="E297" s="308" t="s">
        <v>5</v>
      </c>
    </row>
    <row r="298" spans="2:5" ht="20.100000000000001" customHeight="1" x14ac:dyDescent="0.2">
      <c r="B298" s="295" t="s">
        <v>3366</v>
      </c>
      <c r="C298" s="362" t="str">
        <f>CONCATENATE(sample_vvs_mgmt_dr_vlr_fqdn,"/dr")</f>
        <v>sfo-m01-vlr01.sfo.rainpole.io/dr</v>
      </c>
      <c r="D298" s="337" t="str">
        <f>CONCATENATE(vvs_mgmt_dr_vlr_fqdn,"/dr")</f>
        <v>Value Missing/dr</v>
      </c>
      <c r="E298" s="32"/>
    </row>
    <row r="299" spans="2:5" ht="20.100000000000001" customHeight="1" x14ac:dyDescent="0.2">
      <c r="B299" s="295" t="s">
        <v>3394</v>
      </c>
      <c r="C299" s="362" t="str">
        <f>CONCATENATE(sample_mgmt_vc_fqdn," &lt;--&gt; ",sample_mgmt_srm_recovery_vcenter_fqdn)</f>
        <v>sfo-m01-vc01.sfo.rainpole.io &lt;--&gt; lax-m01-vc01.lax.rainpole.io</v>
      </c>
      <c r="D299" s="337" t="str">
        <f>vs_dr_site_pair</f>
        <v>Value Missing &lt;--&gt; Value Missing</v>
      </c>
      <c r="E299" s="32"/>
    </row>
    <row r="300" spans="2:5" ht="20.100000000000001" customHeight="1" x14ac:dyDescent="0.2">
      <c r="B300" s="295" t="s">
        <v>3423</v>
      </c>
      <c r="C300" s="362" t="str">
        <f>CONCATENATE(prefix_portable_component,"-net01a")</f>
        <v>flt-net01a</v>
      </c>
      <c r="D300" s="337" t="str">
        <f>vvs_dr_flt_net_nodea_hostname</f>
        <v>Value Missing</v>
      </c>
      <c r="E300" s="32"/>
    </row>
    <row r="301" spans="2:5" ht="20.100000000000001" customHeight="1" x14ac:dyDescent="0.2">
      <c r="B301" s="295" t="s">
        <v>3424</v>
      </c>
      <c r="C301" s="362" t="str">
        <f>CONCATENATE(prefix_portable_component,"-net01b")</f>
        <v>flt-net01b</v>
      </c>
      <c r="D301" s="337" t="str">
        <f>vvs_dr_flt_net_nodeb_hostname</f>
        <v>Value Missing</v>
      </c>
      <c r="E301" s="32"/>
    </row>
    <row r="302" spans="2:5" ht="20.100000000000001" customHeight="1" x14ac:dyDescent="0.2">
      <c r="B302" s="295" t="s">
        <v>3425</v>
      </c>
      <c r="C302" s="362" t="str">
        <f>CONCATENATE(prefix_portable_component,"-net01c")</f>
        <v>flt-net01c</v>
      </c>
      <c r="D302" s="337" t="str">
        <f>vvs_dr_flt_net_nodec_hostname</f>
        <v>Value Missing</v>
      </c>
      <c r="E302" s="32"/>
    </row>
    <row r="303" spans="2:5" ht="20.100000000000001" customHeight="1" x14ac:dyDescent="0.2">
      <c r="B303" s="295" t="s">
        <v>3403</v>
      </c>
      <c r="C303" s="362" t="str">
        <f>sample_mgmt_srm_recovery_datastore</f>
        <v>lax-m01-cl01-ds-vsan01</v>
      </c>
      <c r="D303" s="337" t="str">
        <f>mgmt_srm_recovery_datastore</f>
        <v>Value Missing</v>
      </c>
      <c r="E303" s="32"/>
    </row>
    <row r="304" spans="2:5" ht="20.100000000000001" customHeight="1" x14ac:dyDescent="0.2">
      <c r="B304" s="295" t="s">
        <v>3404</v>
      </c>
      <c r="C304" s="362">
        <f>sample_mgmt_srm_rpo</f>
        <v>15</v>
      </c>
      <c r="D304" s="337" t="str">
        <f>mgmt_srm_rpo</f>
        <v>Value Missing</v>
      </c>
      <c r="E304" s="32"/>
    </row>
    <row r="305" spans="2:5" ht="20.100000000000001" customHeight="1" x14ac:dyDescent="0.2">
      <c r="B305" s="295" t="s">
        <v>2337</v>
      </c>
      <c r="C305" s="362">
        <f>sample_mgmt_srm_instances_per_day</f>
        <v>3</v>
      </c>
      <c r="D305" s="337" t="str">
        <f>mgmt_srm_instances_per_day</f>
        <v>Value Missing</v>
      </c>
      <c r="E305" s="32"/>
    </row>
    <row r="306" spans="2:5" ht="20.100000000000001" customHeight="1" x14ac:dyDescent="0.2">
      <c r="B306" s="295" t="s">
        <v>2343</v>
      </c>
      <c r="C306" s="362">
        <f>sample_mgmt_srm_days</f>
        <v>1</v>
      </c>
      <c r="D306" s="337" t="str">
        <f>mgmt_srm_days</f>
        <v>Value Missing</v>
      </c>
      <c r="E306" s="32"/>
    </row>
    <row r="307" spans="2:5" ht="20.100000000000001" customHeight="1" x14ac:dyDescent="0.2">
      <c r="B307" s="295" t="s">
        <v>3405</v>
      </c>
      <c r="C307" s="362" t="s">
        <v>3426</v>
      </c>
      <c r="D307" s="347"/>
      <c r="E307" s="32"/>
    </row>
    <row r="308" spans="2:5" ht="20.100000000000001" customHeight="1" x14ac:dyDescent="0.2">
      <c r="B308" s="295" t="s">
        <v>3407</v>
      </c>
      <c r="C308" s="362" t="s">
        <v>3427</v>
      </c>
      <c r="D308" s="347"/>
      <c r="E308" s="32"/>
    </row>
    <row r="309" spans="2:5" ht="15.95" customHeight="1" x14ac:dyDescent="0.2">
      <c r="B309" s="298"/>
    </row>
    <row r="310" spans="2:5" ht="33.950000000000003" customHeight="1" x14ac:dyDescent="0.2">
      <c r="B310" s="553" t="s">
        <v>3428</v>
      </c>
      <c r="C310" s="553"/>
      <c r="D310" s="553"/>
      <c r="E310" s="553"/>
    </row>
    <row r="311" spans="2:5" ht="20.100000000000001" customHeight="1" x14ac:dyDescent="0.2">
      <c r="B311" s="557"/>
      <c r="C311" s="557"/>
      <c r="D311" s="557"/>
      <c r="E311" s="557"/>
    </row>
    <row r="312" spans="2:5" ht="20.100000000000001" customHeight="1" x14ac:dyDescent="0.2">
      <c r="B312" s="307" t="s">
        <v>37</v>
      </c>
      <c r="C312" s="308" t="s">
        <v>276</v>
      </c>
      <c r="D312" s="308" t="s">
        <v>277</v>
      </c>
      <c r="E312" s="308" t="s">
        <v>5</v>
      </c>
    </row>
    <row r="313" spans="2:5" ht="20.100000000000001" customHeight="1" x14ac:dyDescent="0.2">
      <c r="B313" s="295" t="s">
        <v>3366</v>
      </c>
      <c r="C313" s="362" t="str">
        <f>CONCATENATE(sample_vvs_mgmt_dr_vlr_fqdn,"/dr")</f>
        <v>sfo-m01-vlr01.sfo.rainpole.io/dr</v>
      </c>
      <c r="D313" s="337" t="str">
        <f>CONCATENATE(vvs_mgmt_dr_vlr_fqdn,"/dr")</f>
        <v>Value Missing/dr</v>
      </c>
      <c r="E313" s="32"/>
    </row>
    <row r="314" spans="2:5" ht="20.100000000000001" customHeight="1" x14ac:dyDescent="0.2">
      <c r="B314" s="295" t="s">
        <v>3394</v>
      </c>
      <c r="C314" s="362" t="str">
        <f>CONCATENATE(sample_mgmt_vc_fqdn," &lt;--&gt; ",sample_mgmt_srm_recovery_vcenter_fqdn)</f>
        <v>sfo-m01-vc01.sfo.rainpole.io &lt;--&gt; lax-m01-vc01.lax.rainpole.io</v>
      </c>
      <c r="D314" s="337" t="str">
        <f>vs_dr_site_pair</f>
        <v>Value Missing &lt;--&gt; Value Missing</v>
      </c>
      <c r="E314" s="32"/>
    </row>
    <row r="315" spans="2:5" ht="20.100000000000001" customHeight="1" x14ac:dyDescent="0.2">
      <c r="B315" s="295" t="s">
        <v>3410</v>
      </c>
      <c r="C315" s="362" t="str">
        <f>sample_mgmt_srm_net_rp</f>
        <v>VCF-OPS-NET-RP</v>
      </c>
      <c r="D315" s="347"/>
      <c r="E315" s="32"/>
    </row>
    <row r="316" spans="2:5" ht="20.100000000000001" customHeight="1" x14ac:dyDescent="0.2">
      <c r="B316" s="295" t="s">
        <v>3423</v>
      </c>
      <c r="C316" s="362" t="str">
        <f>CONCATENATE(prefix_portable_component,"-net01a")</f>
        <v>flt-net01a</v>
      </c>
      <c r="D316" s="337" t="str">
        <f>vvs_dr_flt_net_nodea_hostname</f>
        <v>Value Missing</v>
      </c>
      <c r="E316" s="32"/>
    </row>
    <row r="317" spans="2:5" ht="20.100000000000001" customHeight="1" x14ac:dyDescent="0.2">
      <c r="B317" s="295" t="s">
        <v>3424</v>
      </c>
      <c r="C317" s="362" t="str">
        <f>CONCATENATE(prefix_portable_component,"-net01b")</f>
        <v>flt-net01b</v>
      </c>
      <c r="D317" s="337" t="str">
        <f>vvs_dr_flt_net_nodeb_hostname</f>
        <v>Value Missing</v>
      </c>
      <c r="E317" s="32"/>
    </row>
    <row r="318" spans="2:5" ht="20.100000000000001" customHeight="1" x14ac:dyDescent="0.2">
      <c r="B318" s="295" t="s">
        <v>3425</v>
      </c>
      <c r="C318" s="362" t="str">
        <f>CONCATENATE(prefix_portable_component,"-net01c")</f>
        <v>flt-net01c</v>
      </c>
      <c r="D318" s="337" t="str">
        <f>vvs_dr_flt_net_nodec_hostname</f>
        <v>Value Missing</v>
      </c>
      <c r="E318" s="32"/>
    </row>
    <row r="319" spans="2:5" ht="15.95" customHeight="1" x14ac:dyDescent="0.25">
      <c r="B319" s="298"/>
      <c r="C319" s="290"/>
    </row>
    <row r="320" spans="2:5" ht="33.950000000000003" customHeight="1" x14ac:dyDescent="0.2">
      <c r="B320" s="553" t="s">
        <v>3429</v>
      </c>
      <c r="C320" s="553"/>
      <c r="D320" s="553"/>
      <c r="E320" s="553"/>
    </row>
    <row r="321" spans="2:5" ht="20.100000000000001" customHeight="1" x14ac:dyDescent="0.2">
      <c r="B321" s="557"/>
      <c r="C321" s="557"/>
      <c r="D321" s="557"/>
      <c r="E321" s="557"/>
    </row>
    <row r="322" spans="2:5" ht="20.100000000000001" customHeight="1" x14ac:dyDescent="0.2">
      <c r="B322" s="307" t="s">
        <v>37</v>
      </c>
      <c r="C322" s="308" t="s">
        <v>276</v>
      </c>
      <c r="D322" s="308" t="s">
        <v>277</v>
      </c>
      <c r="E322" s="308" t="s">
        <v>5</v>
      </c>
    </row>
    <row r="323" spans="2:5" ht="20.100000000000001" customHeight="1" x14ac:dyDescent="0.2">
      <c r="B323" s="295" t="s">
        <v>3111</v>
      </c>
      <c r="C323" s="362" t="str">
        <f>sample_mgmt_srm_recovery_vcenter_fqdn</f>
        <v>lax-m01-vc01.lax.rainpole.io</v>
      </c>
      <c r="D323" s="337" t="str">
        <f>mgmt_srm_recovery_vcenter_fqdn</f>
        <v>Value Missing</v>
      </c>
      <c r="E323" s="32"/>
    </row>
    <row r="324" spans="2:5" ht="20.100000000000001" customHeight="1" x14ac:dyDescent="0.2">
      <c r="B324" s="295" t="s">
        <v>1165</v>
      </c>
      <c r="C324" s="362" t="str">
        <f>CONCATENATE(other_instance,"-m01-cl01")</f>
        <v>lax-m01-cl01</v>
      </c>
      <c r="D324" s="347"/>
      <c r="E324" s="32"/>
    </row>
    <row r="325" spans="2:5" ht="20.100000000000001" customHeight="1" x14ac:dyDescent="0.2">
      <c r="B325" s="295" t="s">
        <v>3430</v>
      </c>
      <c r="C325" s="362" t="s">
        <v>3431</v>
      </c>
      <c r="D325" s="347"/>
      <c r="E325" s="32"/>
    </row>
    <row r="326" spans="2:5" ht="20.100000000000001" customHeight="1" x14ac:dyDescent="0.2">
      <c r="B326" s="295" t="s">
        <v>3432</v>
      </c>
      <c r="C326" s="362" t="str">
        <f>CONCATENATE(prefix_portable_component,"-ops01a")</f>
        <v>flt-ops01a</v>
      </c>
      <c r="D326" s="337" t="str">
        <f t="array" ref="D326">vvs_dr_flt_ops_nodea_hostname</f>
        <v>Value Missing</v>
      </c>
      <c r="E326" s="32"/>
    </row>
    <row r="327" spans="2:5" ht="20.100000000000001" customHeight="1" x14ac:dyDescent="0.2">
      <c r="B327" s="295" t="s">
        <v>3433</v>
      </c>
      <c r="C327" s="362" t="str">
        <f>CONCATENATE(prefix_portable_component,"-ops01b")</f>
        <v>flt-ops01b</v>
      </c>
      <c r="D327" s="337" t="str">
        <f t="array" ref="D327">vvs_dr_flt_ops_nodeb_hostname</f>
        <v>Value Missing</v>
      </c>
      <c r="E327" s="32"/>
    </row>
    <row r="328" spans="2:5" ht="20.100000000000001" customHeight="1" x14ac:dyDescent="0.2">
      <c r="B328" s="295" t="s">
        <v>3434</v>
      </c>
      <c r="C328" s="362" t="str">
        <f>CONCATENATE(prefix_portable_component,"-ops01c")</f>
        <v>flt-ops01c</v>
      </c>
      <c r="D328" s="337" t="str">
        <f t="array" ref="D328">vvs_dr_flt_ops_nodec_hostname</f>
        <v>Value Missing</v>
      </c>
      <c r="E328" s="32"/>
    </row>
    <row r="329" spans="2:5" ht="20.100000000000001" customHeight="1" x14ac:dyDescent="0.2">
      <c r="B329" s="295" t="s">
        <v>3435</v>
      </c>
      <c r="C329" s="362" t="s">
        <v>3436</v>
      </c>
      <c r="D329" s="347"/>
      <c r="E329" s="32"/>
    </row>
    <row r="330" spans="2:5" ht="20.100000000000001" customHeight="1" x14ac:dyDescent="0.2">
      <c r="B330" s="295" t="s">
        <v>3437</v>
      </c>
      <c r="C330" s="362" t="str">
        <f>CONCATENATE(prefix_portable_component,"-logs01a")</f>
        <v>flt-logs01a</v>
      </c>
      <c r="D330" s="337" t="str">
        <f>vvs_dr_flt_logs_nodea_hostname</f>
        <v>Value Missing</v>
      </c>
      <c r="E330" s="32"/>
    </row>
    <row r="331" spans="2:5" ht="20.100000000000001" customHeight="1" x14ac:dyDescent="0.2">
      <c r="B331" s="295" t="s">
        <v>3438</v>
      </c>
      <c r="C331" s="362" t="str">
        <f>CONCATENATE(prefix_portable_component,"-logs01b")</f>
        <v>flt-logs01b</v>
      </c>
      <c r="D331" s="337" t="str">
        <f>vvs_dr_flt_logs_nodeb_hostname</f>
        <v>Value Missing</v>
      </c>
      <c r="E331" s="32"/>
    </row>
    <row r="332" spans="2:5" ht="20.100000000000001" customHeight="1" x14ac:dyDescent="0.2">
      <c r="B332" s="295" t="s">
        <v>3439</v>
      </c>
      <c r="C332" s="362" t="str">
        <f>CONCATENATE(prefix_portable_component,"-logs01c")</f>
        <v>flt-logs01c</v>
      </c>
      <c r="D332" s="337" t="str">
        <f>vvs_dr_flt_logs_nodec_hostname</f>
        <v>Value Missing</v>
      </c>
      <c r="E332" s="32"/>
    </row>
    <row r="333" spans="2:5" ht="20.100000000000001" customHeight="1" x14ac:dyDescent="0.2">
      <c r="B333" s="295" t="s">
        <v>3440</v>
      </c>
      <c r="C333" s="362" t="s">
        <v>3441</v>
      </c>
      <c r="D333" s="347"/>
      <c r="E333" s="32"/>
    </row>
    <row r="334" spans="2:5" ht="20.100000000000001" customHeight="1" x14ac:dyDescent="0.2">
      <c r="B334" s="295" t="s">
        <v>3442</v>
      </c>
      <c r="C334" s="362" t="str">
        <f>CONCATENATE(prefix_portable_component,"-net01a")</f>
        <v>flt-net01a</v>
      </c>
      <c r="D334" s="337" t="str">
        <f>vvs_dr_flt_net_nodea_hostname</f>
        <v>Value Missing</v>
      </c>
      <c r="E334" s="32"/>
    </row>
    <row r="335" spans="2:5" ht="20.100000000000001" customHeight="1" x14ac:dyDescent="0.2">
      <c r="B335" s="295" t="s">
        <v>3443</v>
      </c>
      <c r="C335" s="362" t="str">
        <f>CONCATENATE(prefix_portable_component,"-net01b")</f>
        <v>flt-net01b</v>
      </c>
      <c r="D335" s="337" t="str">
        <f>vvs_dr_flt_net_nodeb_hostname</f>
        <v>Value Missing</v>
      </c>
      <c r="E335" s="32"/>
    </row>
    <row r="336" spans="2:5" ht="20.100000000000001" customHeight="1" x14ac:dyDescent="0.2">
      <c r="B336" s="295" t="s">
        <v>3444</v>
      </c>
      <c r="C336" s="362" t="str">
        <f>CONCATENATE(prefix_portable_component,"-net01c")</f>
        <v>flt-net01c</v>
      </c>
      <c r="D336" s="337" t="str">
        <f>vvs_dr_flt_net_nodec_hostname</f>
        <v>Value Missing</v>
      </c>
      <c r="E336" s="32"/>
    </row>
    <row r="337" spans="2:5" ht="15.95" customHeight="1" x14ac:dyDescent="0.2">
      <c r="B337" s="298"/>
      <c r="C337" s="142"/>
    </row>
    <row r="338" spans="2:5" ht="33.950000000000003" customHeight="1" x14ac:dyDescent="0.2">
      <c r="B338" s="553" t="s">
        <v>3445</v>
      </c>
      <c r="C338" s="553"/>
      <c r="D338" s="553"/>
      <c r="E338" s="553"/>
    </row>
    <row r="339" spans="2:5" ht="20.100000000000001" customHeight="1" x14ac:dyDescent="0.2">
      <c r="B339" s="557"/>
      <c r="C339" s="557"/>
      <c r="D339" s="557"/>
      <c r="E339" s="557"/>
    </row>
    <row r="340" spans="2:5" ht="20.100000000000001" customHeight="1" x14ac:dyDescent="0.2">
      <c r="B340" s="307" t="s">
        <v>37</v>
      </c>
      <c r="C340" s="308" t="s">
        <v>276</v>
      </c>
      <c r="D340" s="308" t="s">
        <v>277</v>
      </c>
      <c r="E340" s="308" t="s">
        <v>5</v>
      </c>
    </row>
    <row r="341" spans="2:5" ht="20.100000000000001" customHeight="1" x14ac:dyDescent="0.2">
      <c r="B341" s="4" t="s">
        <v>3111</v>
      </c>
      <c r="C341" s="362" t="str">
        <f>sample_mgmt_srm_recovery_vcenter_fqdn</f>
        <v>lax-m01-vc01.lax.rainpole.io</v>
      </c>
      <c r="D341" s="337" t="str">
        <f>mgmt_srm_recovery_vcenter_fqdn</f>
        <v>Value Missing</v>
      </c>
      <c r="E341" s="32"/>
    </row>
    <row r="342" spans="2:5" ht="20.100000000000001" customHeight="1" x14ac:dyDescent="0.2">
      <c r="B342" s="4" t="s">
        <v>1165</v>
      </c>
      <c r="C342" s="84" t="str">
        <f>sample_mgmt_srm_recovery_cluster</f>
        <v>lax-m01-cl01</v>
      </c>
      <c r="D342" s="211" t="str">
        <f>mgmt_srm_recovery_cluster</f>
        <v>Value Missing</v>
      </c>
      <c r="E342" s="32"/>
    </row>
    <row r="343" spans="2:5" ht="20.100000000000001" customHeight="1" x14ac:dyDescent="0.2">
      <c r="B343" s="528" t="s">
        <v>3446</v>
      </c>
      <c r="C343" s="529"/>
      <c r="D343" s="529"/>
      <c r="E343" s="530"/>
    </row>
    <row r="344" spans="2:5" ht="20.100000000000001" customHeight="1" x14ac:dyDescent="0.2">
      <c r="B344" s="4" t="s">
        <v>3430</v>
      </c>
      <c r="C344" s="362" t="str">
        <f>CONCATENATE(prefix_portable_component,"-vm-group-","vcf-operations")</f>
        <v>flt-vm-group-vcf-operations</v>
      </c>
      <c r="D344" s="347"/>
      <c r="E344" s="32"/>
    </row>
    <row r="345" spans="2:5" ht="20.100000000000001" customHeight="1" x14ac:dyDescent="0.2">
      <c r="B345" s="4" t="s">
        <v>3432</v>
      </c>
      <c r="C345" s="362" t="str">
        <f>CONCATENATE(prefix_portable_component,"-ops01a")</f>
        <v>flt-ops01a</v>
      </c>
      <c r="D345" s="337" t="str">
        <f t="array" ref="D345">vvs_dr_flt_ops_nodea_hostname</f>
        <v>Value Missing</v>
      </c>
      <c r="E345" s="32"/>
    </row>
    <row r="346" spans="2:5" ht="20.100000000000001" customHeight="1" x14ac:dyDescent="0.2">
      <c r="B346" s="4" t="s">
        <v>3433</v>
      </c>
      <c r="C346" s="362" t="str">
        <f>CONCATENATE(prefix_portable_component,"-ops01b")</f>
        <v>flt-ops01b</v>
      </c>
      <c r="D346" s="337" t="str">
        <f t="array" ref="D346">vvs_dr_flt_ops_nodeb_hostname</f>
        <v>Value Missing</v>
      </c>
      <c r="E346" s="32"/>
    </row>
    <row r="347" spans="2:5" ht="20.100000000000001" customHeight="1" x14ac:dyDescent="0.2">
      <c r="B347" s="4" t="s">
        <v>3434</v>
      </c>
      <c r="C347" s="362" t="str">
        <f>CONCATENATE(prefix_portable_component,"-ops01c")</f>
        <v>flt-ops01c</v>
      </c>
      <c r="D347" s="337" t="str">
        <f t="array" ref="D347">vvs_dr_flt_ops_nodec_hostname</f>
        <v>Value Missing</v>
      </c>
      <c r="E347" s="32"/>
    </row>
    <row r="348" spans="2:5" ht="20.100000000000001" customHeight="1" x14ac:dyDescent="0.2">
      <c r="B348" s="4" t="s">
        <v>3411</v>
      </c>
      <c r="C348" s="362" t="str">
        <f>sample_vvs_dr_flt_fleet_manager_hostname</f>
        <v>flt-fm01</v>
      </c>
      <c r="D348" s="337" t="str">
        <f>vvs_dr_flt_fleet_manager_hostname</f>
        <v>Value Missing</v>
      </c>
      <c r="E348" s="32"/>
    </row>
    <row r="349" spans="2:5" ht="20.100000000000001" customHeight="1" x14ac:dyDescent="0.2">
      <c r="B349" s="528" t="s">
        <v>3447</v>
      </c>
      <c r="C349" s="529"/>
      <c r="D349" s="529"/>
      <c r="E349" s="530"/>
    </row>
    <row r="350" spans="2:5" ht="20.100000000000001" customHeight="1" x14ac:dyDescent="0.2">
      <c r="B350" s="295" t="s">
        <v>3448</v>
      </c>
      <c r="C350" s="362" t="str">
        <f>CONCATENATE(prefix_portable_component,"-vm-group-","vcf-logs")</f>
        <v>flt-vm-group-vcf-logs</v>
      </c>
      <c r="D350" s="347"/>
      <c r="E350" s="32"/>
    </row>
    <row r="351" spans="2:5" ht="20.100000000000001" customHeight="1" x14ac:dyDescent="0.2">
      <c r="B351" s="295" t="s">
        <v>3449</v>
      </c>
      <c r="C351" s="362" t="str">
        <f>CONCATENATE(prefix_portable_component,"-logs01a")</f>
        <v>flt-logs01a</v>
      </c>
      <c r="D351" s="337" t="str">
        <f>vvs_dr_flt_logs_nodea_hostname</f>
        <v>Value Missing</v>
      </c>
      <c r="E351" s="32"/>
    </row>
    <row r="352" spans="2:5" ht="20.100000000000001" customHeight="1" x14ac:dyDescent="0.2">
      <c r="B352" s="295" t="s">
        <v>3450</v>
      </c>
      <c r="C352" s="362" t="str">
        <f>CONCATENATE(prefix_portable_component,"-logs01b")</f>
        <v>flt-logs01b</v>
      </c>
      <c r="D352" s="337" t="str">
        <f>vvs_dr_flt_logs_nodeb_hostname</f>
        <v>Value Missing</v>
      </c>
      <c r="E352" s="32"/>
    </row>
    <row r="353" spans="2:5" ht="20.100000000000001" customHeight="1" x14ac:dyDescent="0.2">
      <c r="B353" s="295" t="s">
        <v>3451</v>
      </c>
      <c r="C353" s="362" t="str">
        <f>CONCATENATE(prefix_portable_component,"-logs01c")</f>
        <v>flt-logs01c</v>
      </c>
      <c r="D353" s="337" t="str">
        <f>vvs_dr_flt_logs_nodec_hostname</f>
        <v>Value Missing</v>
      </c>
      <c r="E353" s="32"/>
    </row>
    <row r="354" spans="2:5" ht="20.100000000000001" customHeight="1" x14ac:dyDescent="0.2">
      <c r="B354" s="528" t="s">
        <v>3447</v>
      </c>
      <c r="C354" s="529"/>
      <c r="D354" s="529"/>
      <c r="E354" s="530"/>
    </row>
    <row r="355" spans="2:5" ht="20.100000000000001" customHeight="1" x14ac:dyDescent="0.2">
      <c r="B355" s="295" t="s">
        <v>3452</v>
      </c>
      <c r="C355" s="362" t="str">
        <f>CONCATENATE(prefix_portable_component,"-vm-group-","vcf-neworks")</f>
        <v>flt-vm-group-vcf-neworks</v>
      </c>
      <c r="D355" s="347"/>
      <c r="E355" s="32"/>
    </row>
    <row r="356" spans="2:5" ht="20.100000000000001" customHeight="1" x14ac:dyDescent="0.2">
      <c r="B356" s="295" t="s">
        <v>3453</v>
      </c>
      <c r="C356" s="362" t="str">
        <f>CONCATENATE(prefix_portable_component,"-net01a")</f>
        <v>flt-net01a</v>
      </c>
      <c r="D356" s="337" t="str">
        <f>vvs_dr_flt_net_nodea_hostname</f>
        <v>Value Missing</v>
      </c>
      <c r="E356" s="32"/>
    </row>
    <row r="357" spans="2:5" ht="20.100000000000001" customHeight="1" x14ac:dyDescent="0.2">
      <c r="B357" s="295" t="s">
        <v>3454</v>
      </c>
      <c r="C357" s="362" t="str">
        <f>CONCATENATE(prefix_portable_component,"-net01b")</f>
        <v>flt-net01b</v>
      </c>
      <c r="D357" s="337" t="str">
        <f>vvs_dr_flt_net_nodeb_hostname</f>
        <v>Value Missing</v>
      </c>
      <c r="E357" s="32"/>
    </row>
    <row r="358" spans="2:5" ht="20.100000000000001" customHeight="1" x14ac:dyDescent="0.2">
      <c r="B358" s="295" t="s">
        <v>3455</v>
      </c>
      <c r="C358" s="362" t="str">
        <f>CONCATENATE(prefix_portable_component,"-net01c")</f>
        <v>flt-net01c</v>
      </c>
      <c r="D358" s="337" t="str">
        <f>vvs_dr_flt_net_nodec_hostname</f>
        <v>Value Missing</v>
      </c>
      <c r="E358" s="32"/>
    </row>
    <row r="359" spans="2:5" ht="20.100000000000001" customHeight="1" x14ac:dyDescent="0.2">
      <c r="B359" s="528" t="s">
        <v>3447</v>
      </c>
      <c r="C359" s="529"/>
      <c r="D359" s="529"/>
      <c r="E359" s="530"/>
    </row>
    <row r="360" spans="2:5" ht="20.100000000000001" customHeight="1" x14ac:dyDescent="0.2">
      <c r="B360" s="295" t="s">
        <v>3456</v>
      </c>
      <c r="C360" s="362" t="s">
        <v>3457</v>
      </c>
      <c r="D360" s="347"/>
      <c r="E360" s="337"/>
    </row>
    <row r="361" spans="2:5" ht="20.100000000000001" customHeight="1" x14ac:dyDescent="0.2">
      <c r="B361" s="295" t="s">
        <v>3458</v>
      </c>
      <c r="C361" s="362" t="str">
        <f>C344</f>
        <v>flt-vm-group-vcf-operations</v>
      </c>
      <c r="D361" s="347"/>
      <c r="E361" s="337"/>
    </row>
    <row r="362" spans="2:5" ht="20.100000000000001" customHeight="1" x14ac:dyDescent="0.2">
      <c r="B362" s="295" t="s">
        <v>3459</v>
      </c>
      <c r="C362" s="362" t="s">
        <v>3460</v>
      </c>
      <c r="D362" s="347"/>
      <c r="E362" s="337"/>
    </row>
    <row r="363" spans="2:5" ht="20.100000000000001" customHeight="1" x14ac:dyDescent="0.2">
      <c r="B363" s="295" t="s">
        <v>3461</v>
      </c>
      <c r="C363" s="362" t="s">
        <v>3462</v>
      </c>
      <c r="D363" s="347"/>
      <c r="E363" s="337"/>
    </row>
    <row r="364" spans="2:5" ht="20.100000000000001" customHeight="1" x14ac:dyDescent="0.2">
      <c r="B364" s="295" t="s">
        <v>3463</v>
      </c>
      <c r="C364" s="362" t="s">
        <v>3464</v>
      </c>
      <c r="D364" s="347"/>
      <c r="E364" s="337"/>
    </row>
    <row r="365" spans="2:5" ht="20.100000000000001" customHeight="1" x14ac:dyDescent="0.2">
      <c r="B365" s="295" t="s">
        <v>3459</v>
      </c>
      <c r="C365" s="362" t="s">
        <v>3460</v>
      </c>
      <c r="D365" s="347"/>
      <c r="E365" s="32"/>
    </row>
    <row r="366" spans="2:5" ht="15.95" customHeight="1" x14ac:dyDescent="0.2">
      <c r="B366" s="298"/>
      <c r="C366" s="142"/>
    </row>
    <row r="367" spans="2:5" ht="33.950000000000003" customHeight="1" x14ac:dyDescent="0.2">
      <c r="B367" s="552" t="s">
        <v>3465</v>
      </c>
      <c r="C367" s="553"/>
      <c r="D367" s="553"/>
      <c r="E367" s="553"/>
    </row>
    <row r="368" spans="2:5" ht="15.95" customHeight="1" x14ac:dyDescent="0.2">
      <c r="B368" s="298"/>
      <c r="C368" s="142"/>
    </row>
    <row r="369" spans="2:5" ht="33.950000000000003" customHeight="1" x14ac:dyDescent="0.2">
      <c r="B369" s="553" t="s">
        <v>3466</v>
      </c>
      <c r="C369" s="553"/>
      <c r="D369" s="553"/>
      <c r="E369" s="553"/>
    </row>
    <row r="370" spans="2:5" ht="20.100000000000001" customHeight="1" x14ac:dyDescent="0.2">
      <c r="B370" s="557"/>
      <c r="C370" s="557"/>
      <c r="D370" s="557"/>
      <c r="E370" s="557"/>
    </row>
    <row r="371" spans="2:5" ht="20.100000000000001" customHeight="1" x14ac:dyDescent="0.2">
      <c r="B371" s="307" t="s">
        <v>37</v>
      </c>
      <c r="C371" s="308" t="s">
        <v>276</v>
      </c>
      <c r="D371" s="308" t="s">
        <v>277</v>
      </c>
      <c r="E371" s="308" t="s">
        <v>5</v>
      </c>
    </row>
    <row r="372" spans="2:5" ht="20.100000000000001" customHeight="1" x14ac:dyDescent="0.2">
      <c r="B372" s="4" t="s">
        <v>3332</v>
      </c>
      <c r="C372" s="362" t="str">
        <f>sample_vvs_dr_flt_ops_nodea_fqdn</f>
        <v>flt-ops01a.rainpole.io</v>
      </c>
      <c r="D372" s="337" t="str">
        <f>vvs_dr_flt_ops_nodea_fqdn</f>
        <v>Value Missing</v>
      </c>
      <c r="E372" s="32"/>
    </row>
    <row r="373" spans="2:5" ht="20.100000000000001" customHeight="1" x14ac:dyDescent="0.2">
      <c r="B373" s="528" t="s">
        <v>3467</v>
      </c>
      <c r="C373" s="529"/>
      <c r="D373" s="529"/>
      <c r="E373" s="530"/>
    </row>
    <row r="374" spans="2:5" ht="20.100000000000001" customHeight="1" x14ac:dyDescent="0.2">
      <c r="B374" s="295" t="s">
        <v>299</v>
      </c>
      <c r="C374" s="362" t="str">
        <f>sample_mgmt_srm_recovery_vcenter_fqdn</f>
        <v>lax-m01-vc01.lax.rainpole.io</v>
      </c>
      <c r="D374" s="337" t="str">
        <f>mgmt_srm_recovery_vcenter_fqdn</f>
        <v>Value Missing</v>
      </c>
      <c r="E374" s="32"/>
    </row>
    <row r="375" spans="2:5" ht="20.100000000000001" customHeight="1" x14ac:dyDescent="0.2">
      <c r="B375" s="295" t="s">
        <v>1165</v>
      </c>
      <c r="C375" s="362" t="str">
        <f>sample_mgmt_srm_recovery_cluster</f>
        <v>lax-m01-cl01</v>
      </c>
      <c r="D375" s="337" t="str">
        <f>mgmt_srm_recovery_cluster</f>
        <v>Value Missing</v>
      </c>
      <c r="E375" s="32"/>
    </row>
    <row r="376" spans="2:5" ht="20.100000000000001" customHeight="1" x14ac:dyDescent="0.2">
      <c r="B376" s="295" t="s">
        <v>706</v>
      </c>
      <c r="C376" s="362"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61"/>
      <c r="E376" s="32"/>
    </row>
    <row r="377" spans="2:5" ht="20.100000000000001" customHeight="1" x14ac:dyDescent="0.2">
      <c r="B377" s="295" t="s">
        <v>587</v>
      </c>
      <c r="C377" s="362" t="str">
        <f>sample_mgmt_srm_recovery_datastore</f>
        <v>lax-m01-cl01-ds-vsan01</v>
      </c>
      <c r="D377" s="337" t="str">
        <f>mgmt_srm_recovery_datastore</f>
        <v>Value Missing</v>
      </c>
      <c r="E377" s="32"/>
    </row>
    <row r="378" spans="2:5" ht="20.100000000000001" customHeight="1" x14ac:dyDescent="0.2">
      <c r="B378" s="528" t="s">
        <v>706</v>
      </c>
      <c r="C378" s="529"/>
      <c r="D378" s="529"/>
      <c r="E378" s="530"/>
    </row>
    <row r="379" spans="2:5" ht="20.100000000000001" customHeight="1" x14ac:dyDescent="0.2">
      <c r="B379" s="295" t="s">
        <v>354</v>
      </c>
      <c r="C379" s="362" t="str">
        <f>sample_parent_dns_zone</f>
        <v>rainpole.io</v>
      </c>
      <c r="D379" s="337" t="str">
        <f>vvs_dr_parent_dns_zone</f>
        <v>Value Missing</v>
      </c>
      <c r="E379" s="32"/>
    </row>
    <row r="380" spans="2:5" ht="20.100000000000001" customHeight="1" x14ac:dyDescent="0.2">
      <c r="B380" s="295" t="s">
        <v>1042</v>
      </c>
      <c r="C380" s="362" t="str">
        <f>sample_parent_dns_zone</f>
        <v>rainpole.io</v>
      </c>
      <c r="D380" s="337" t="str">
        <f>vvs_dr_parent_dns_zone</f>
        <v>Value Missing</v>
      </c>
      <c r="E380" s="32"/>
    </row>
    <row r="381" spans="2:5" ht="20.100000000000001" customHeight="1" x14ac:dyDescent="0.2">
      <c r="B381" s="295" t="s">
        <v>1043</v>
      </c>
      <c r="C381" s="362" t="str">
        <f>CONCATENATE(sample_vvs_dr_dns1_ip,",",sample_vvs_dr_dns2_ip)</f>
        <v>10.21.10.4,10.21.10.5</v>
      </c>
      <c r="D381" s="337" t="str">
        <f>CONCATENATE(vvs_dr_dns1_ip,",",vvs_dr_dns2_ip)</f>
        <v>Value Missing,Value Missing</v>
      </c>
      <c r="E381" s="32"/>
    </row>
    <row r="382" spans="2:5" ht="20.100000000000001" customHeight="1" x14ac:dyDescent="0.2">
      <c r="B382" s="295" t="s">
        <v>1046</v>
      </c>
      <c r="C382"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337"/>
      <c r="E382" s="32"/>
    </row>
    <row r="383" spans="2:5" ht="20.100000000000001" customHeight="1" x14ac:dyDescent="0.2">
      <c r="B383" s="295" t="s">
        <v>1047</v>
      </c>
      <c r="C383" s="362" t="s">
        <v>612</v>
      </c>
      <c r="D383" s="337"/>
      <c r="E383" s="32"/>
    </row>
    <row r="384" spans="2:5" ht="20.100000000000001" customHeight="1" x14ac:dyDescent="0.2">
      <c r="B384" s="528" t="s">
        <v>3342</v>
      </c>
      <c r="C384" s="529"/>
      <c r="D384" s="529"/>
      <c r="E384" s="530"/>
    </row>
    <row r="385" spans="1:12" ht="20.100000000000001" customHeight="1" x14ac:dyDescent="0.2">
      <c r="B385" s="295" t="s">
        <v>527</v>
      </c>
      <c r="C385" s="87" t="str">
        <f>sample_flt_vidb_vip_fqdn</f>
        <v>flt-idb01.rainpole.io</v>
      </c>
      <c r="D385" s="337"/>
      <c r="E385" s="32"/>
    </row>
    <row r="386" spans="1:12" ht="20.100000000000001" customHeight="1" x14ac:dyDescent="0.2">
      <c r="B386" s="295" t="s">
        <v>3468</v>
      </c>
      <c r="C386" s="87" t="str">
        <f>sample_flt_vidb_cert_alias</f>
        <v>flt-idb01-cert</v>
      </c>
      <c r="D386" s="337"/>
      <c r="E386" s="32"/>
    </row>
    <row r="387" spans="1:12" ht="20.100000000000001" customHeight="1" x14ac:dyDescent="0.2">
      <c r="B387" s="295" t="s">
        <v>1155</v>
      </c>
      <c r="C387" s="292" t="str">
        <f>sample_flt_vidb_password_alias</f>
        <v>flt-idb01-password</v>
      </c>
      <c r="D387" s="337"/>
      <c r="E387" s="32"/>
    </row>
    <row r="388" spans="1:12" ht="20.100000000000001" customHeight="1" x14ac:dyDescent="0.2">
      <c r="B388" s="295" t="s">
        <v>3469</v>
      </c>
      <c r="C388" s="87" t="str">
        <f>sample_flt_vidb_vip_fqdn</f>
        <v>flt-idb01.rainpole.io</v>
      </c>
      <c r="D388" s="337"/>
      <c r="E388" s="32"/>
    </row>
    <row r="389" spans="1:12" ht="20.100000000000001" customHeight="1" x14ac:dyDescent="0.2">
      <c r="B389" s="295" t="s">
        <v>1004</v>
      </c>
      <c r="C389" s="87" t="str">
        <f>sample_flt_vidb_node_prefix</f>
        <v>flt-idb</v>
      </c>
      <c r="D389" s="337"/>
      <c r="E389" s="32"/>
    </row>
    <row r="390" spans="1:12" ht="20.100000000000001" customHeight="1" x14ac:dyDescent="0.2">
      <c r="B390" s="295" t="s">
        <v>347</v>
      </c>
      <c r="C390" s="87" t="s">
        <v>1078</v>
      </c>
      <c r="D390" s="337"/>
      <c r="E390" s="32"/>
    </row>
    <row r="391" spans="1:12" ht="20.100000000000001" customHeight="1" x14ac:dyDescent="0.2">
      <c r="B391" s="295" t="s">
        <v>1063</v>
      </c>
      <c r="C391"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391" s="337"/>
      <c r="E391" s="32"/>
    </row>
    <row r="392" spans="1:12" ht="20.100000000000001" customHeight="1" x14ac:dyDescent="0.2">
      <c r="B392" s="295" t="s">
        <v>3470</v>
      </c>
      <c r="C392"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392" s="337"/>
      <c r="E392" s="32"/>
    </row>
    <row r="393" spans="1:12" ht="15.95" customHeight="1" x14ac:dyDescent="0.2">
      <c r="B393" s="298"/>
    </row>
    <row r="394" spans="1:12" ht="33.950000000000003" customHeight="1" x14ac:dyDescent="0.2">
      <c r="A394" s="120"/>
      <c r="B394" s="559" t="s">
        <v>3471</v>
      </c>
      <c r="C394" s="560"/>
      <c r="D394" s="560"/>
      <c r="E394" s="624"/>
      <c r="F394" s="120"/>
      <c r="G394" s="120"/>
      <c r="H394" s="120"/>
      <c r="I394" s="120"/>
      <c r="J394" s="120"/>
      <c r="K394" s="120"/>
      <c r="L394" s="120"/>
    </row>
    <row r="395" spans="1:12" ht="20.100000000000001" customHeight="1" x14ac:dyDescent="0.2">
      <c r="B395" s="557"/>
      <c r="C395" s="557"/>
      <c r="D395" s="557"/>
      <c r="E395" s="557"/>
    </row>
    <row r="396" spans="1:12" ht="20.100000000000001" customHeight="1" x14ac:dyDescent="0.2">
      <c r="A396" s="120"/>
      <c r="B396" s="307" t="s">
        <v>37</v>
      </c>
      <c r="C396" s="308" t="s">
        <v>276</v>
      </c>
      <c r="D396" s="308" t="s">
        <v>277</v>
      </c>
      <c r="E396" s="308" t="s">
        <v>5</v>
      </c>
      <c r="F396" s="120"/>
      <c r="G396" s="120"/>
      <c r="H396" s="120"/>
      <c r="I396" s="120"/>
      <c r="J396" s="120"/>
      <c r="K396" s="120"/>
      <c r="L396" s="120"/>
    </row>
    <row r="397" spans="1:12" ht="20.100000000000001" customHeight="1" x14ac:dyDescent="0.2">
      <c r="A397" s="120"/>
      <c r="B397" s="4" t="s">
        <v>3332</v>
      </c>
      <c r="C397" s="362" t="str">
        <f>sample_vvs_dr_flt_ops_nodea_fqdn</f>
        <v>flt-ops01a.rainpole.io</v>
      </c>
      <c r="D397" s="161" t="str">
        <f>vvs_dr_flt_ops_nodea_fqdn</f>
        <v>Value Missing</v>
      </c>
      <c r="E397" s="160"/>
      <c r="F397" s="120"/>
      <c r="G397" s="120"/>
      <c r="H397" s="120"/>
      <c r="I397" s="120"/>
      <c r="J397" s="120"/>
      <c r="K397" s="120"/>
      <c r="L397" s="120"/>
    </row>
    <row r="398" spans="1:12" ht="20.100000000000001" customHeight="1" x14ac:dyDescent="0.2">
      <c r="A398" s="120"/>
      <c r="B398" s="562" t="s">
        <v>3467</v>
      </c>
      <c r="C398" s="563"/>
      <c r="D398" s="563"/>
      <c r="E398" s="564"/>
      <c r="F398" s="120"/>
      <c r="G398" s="120"/>
      <c r="H398" s="120"/>
      <c r="I398" s="120"/>
      <c r="J398" s="120"/>
      <c r="K398" s="120"/>
      <c r="L398" s="120"/>
    </row>
    <row r="399" spans="1:12" ht="20.100000000000001" customHeight="1" x14ac:dyDescent="0.2">
      <c r="A399" s="120"/>
      <c r="B399" s="291" t="s">
        <v>299</v>
      </c>
      <c r="C399" s="362" t="s">
        <v>3472</v>
      </c>
      <c r="D399" s="161" t="str">
        <f>mgmt_srm_recovery_vcenter_fqdn</f>
        <v>Value Missing</v>
      </c>
      <c r="E399" s="160"/>
      <c r="F399" s="120"/>
      <c r="G399" s="120"/>
      <c r="H399" s="120"/>
      <c r="I399" s="120"/>
      <c r="J399" s="120"/>
      <c r="K399" s="120"/>
      <c r="L399" s="120"/>
    </row>
    <row r="400" spans="1:12" ht="20.100000000000001" customHeight="1" x14ac:dyDescent="0.2">
      <c r="A400" s="120"/>
      <c r="B400" s="291" t="s">
        <v>1165</v>
      </c>
      <c r="C400" s="362" t="s">
        <v>3473</v>
      </c>
      <c r="D400" s="161" t="str">
        <f>mgmt_srm_recovery_cluster</f>
        <v>Value Missing</v>
      </c>
      <c r="E400" s="160"/>
      <c r="F400" s="120"/>
      <c r="G400" s="120"/>
      <c r="H400" s="120"/>
      <c r="I400" s="120"/>
      <c r="J400" s="120"/>
      <c r="K400" s="120"/>
      <c r="L400" s="120"/>
    </row>
    <row r="401" spans="1:12" ht="20.100000000000001" customHeight="1" x14ac:dyDescent="0.2">
      <c r="A401" s="120"/>
      <c r="B401" s="291" t="s">
        <v>706</v>
      </c>
      <c r="C401" s="362" t="str">
        <f>sample_mgmt_srm_recovery_pg</f>
        <v>lax-m01-cl01-vds01-pg-vm-mgmt</v>
      </c>
      <c r="D401" s="161" t="str">
        <f t="array" ref="D401">mgmt_srm_recovery_pg</f>
        <v>Value Missing</v>
      </c>
      <c r="E401" s="160"/>
      <c r="F401" s="120"/>
      <c r="G401" s="120"/>
      <c r="H401" s="120"/>
      <c r="I401" s="120"/>
      <c r="J401" s="120"/>
      <c r="K401" s="120"/>
      <c r="L401" s="120"/>
    </row>
    <row r="402" spans="1:12" ht="20.100000000000001" customHeight="1" x14ac:dyDescent="0.2">
      <c r="A402" s="120"/>
      <c r="B402" s="291" t="s">
        <v>587</v>
      </c>
      <c r="C402" s="362" t="s">
        <v>3474</v>
      </c>
      <c r="D402" s="161" t="str">
        <f>mgmt_srm_recovery_datastore</f>
        <v>Value Missing</v>
      </c>
      <c r="E402" s="160"/>
      <c r="F402" s="120"/>
      <c r="G402" s="120"/>
      <c r="H402" s="120"/>
      <c r="I402" s="120"/>
      <c r="J402" s="120"/>
      <c r="K402" s="120"/>
      <c r="L402" s="120"/>
    </row>
    <row r="403" spans="1:12" ht="20.100000000000001" customHeight="1" x14ac:dyDescent="0.2">
      <c r="A403" s="120"/>
      <c r="B403" s="562" t="s">
        <v>706</v>
      </c>
      <c r="C403" s="563"/>
      <c r="D403" s="563"/>
      <c r="E403" s="564"/>
      <c r="F403" s="120"/>
      <c r="G403" s="120"/>
      <c r="H403" s="120"/>
      <c r="I403" s="120"/>
      <c r="J403" s="120"/>
      <c r="K403" s="120"/>
      <c r="L403" s="120"/>
    </row>
    <row r="404" spans="1:12" ht="20.100000000000001" customHeight="1" x14ac:dyDescent="0.2">
      <c r="A404" s="120"/>
      <c r="B404" s="291" t="s">
        <v>354</v>
      </c>
      <c r="C404" s="362" t="s">
        <v>77</v>
      </c>
      <c r="D404" s="337" t="str">
        <f>vvs_dr_parent_dns_zone</f>
        <v>Value Missing</v>
      </c>
      <c r="E404" s="160"/>
      <c r="F404" s="120"/>
      <c r="G404" s="120"/>
      <c r="H404" s="120"/>
      <c r="I404" s="120"/>
      <c r="J404" s="120"/>
      <c r="K404" s="120"/>
      <c r="L404" s="120"/>
    </row>
    <row r="405" spans="1:12" ht="20.100000000000001" customHeight="1" x14ac:dyDescent="0.2">
      <c r="A405" s="120"/>
      <c r="B405" s="291" t="s">
        <v>1042</v>
      </c>
      <c r="C405" s="362" t="s">
        <v>77</v>
      </c>
      <c r="D405" s="337" t="str">
        <f>vvs_dr_parent_dns_zone</f>
        <v>Value Missing</v>
      </c>
      <c r="E405" s="160"/>
      <c r="F405" s="120"/>
      <c r="G405" s="120"/>
      <c r="H405" s="120"/>
      <c r="I405" s="120"/>
      <c r="J405" s="120"/>
      <c r="K405" s="120"/>
      <c r="L405" s="120"/>
    </row>
    <row r="406" spans="1:12" ht="20.100000000000001" customHeight="1" x14ac:dyDescent="0.2">
      <c r="A406" s="120"/>
      <c r="B406" s="291" t="s">
        <v>1043</v>
      </c>
      <c r="C406" s="362" t="str">
        <f>CONCATENATE(sample_vvs_dr_dns1_ip,",",sample_vvs_dr_dns2_ip)</f>
        <v>10.21.10.4,10.21.10.5</v>
      </c>
      <c r="D406" s="337" t="str">
        <f>CONCATENATE(vvs_dr_dns1_ip,",",vvs_dr_dns2_ip)</f>
        <v>Value Missing,Value Missing</v>
      </c>
      <c r="E406" s="160"/>
      <c r="F406" s="120"/>
      <c r="G406" s="120"/>
      <c r="H406" s="120"/>
      <c r="I406" s="120"/>
      <c r="J406" s="120"/>
      <c r="K406" s="120"/>
      <c r="L406" s="120"/>
    </row>
    <row r="407" spans="1:12" ht="20.100000000000001" customHeight="1" x14ac:dyDescent="0.2">
      <c r="A407" s="120"/>
      <c r="B407" s="291" t="s">
        <v>1046</v>
      </c>
      <c r="C407" s="362"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61"/>
      <c r="E407" s="160"/>
      <c r="F407" s="120"/>
      <c r="G407" s="120"/>
      <c r="H407" s="120"/>
      <c r="I407" s="120"/>
      <c r="J407" s="120"/>
      <c r="K407" s="120"/>
      <c r="L407" s="120"/>
    </row>
    <row r="408" spans="1:12" ht="20.100000000000001" customHeight="1" x14ac:dyDescent="0.2">
      <c r="A408" s="120"/>
      <c r="B408" s="291" t="s">
        <v>1047</v>
      </c>
      <c r="C408" s="362" t="str">
        <f>sample_mgmt_srm_recovery_mask</f>
        <v>255.255.255.0</v>
      </c>
      <c r="D408" s="161" t="str">
        <f>mgmt_srm_recovery_mask</f>
        <v>Value Missing</v>
      </c>
      <c r="E408" s="160"/>
      <c r="F408" s="120"/>
      <c r="G408" s="120"/>
      <c r="H408" s="120"/>
      <c r="I408" s="120"/>
      <c r="J408" s="120"/>
      <c r="K408" s="120"/>
      <c r="L408" s="120"/>
    </row>
    <row r="409" spans="1:12" ht="20.100000000000001" customHeight="1" x14ac:dyDescent="0.2">
      <c r="A409" s="120"/>
      <c r="B409" s="562" t="s">
        <v>3342</v>
      </c>
      <c r="C409" s="563"/>
      <c r="D409" s="563"/>
      <c r="E409" s="564"/>
      <c r="F409" s="120"/>
      <c r="G409" s="120"/>
      <c r="H409" s="120"/>
      <c r="I409" s="120"/>
      <c r="J409" s="120"/>
      <c r="K409" s="120"/>
      <c r="L409" s="120"/>
    </row>
    <row r="410" spans="1:12" ht="20.100000000000001" customHeight="1" x14ac:dyDescent="0.2">
      <c r="A410" s="120"/>
      <c r="B410" s="291" t="s">
        <v>527</v>
      </c>
      <c r="C410" s="87" t="str">
        <f>sample_vcf_automation_vip_fqdn</f>
        <v>flt-auto01.rainpole.io</v>
      </c>
      <c r="D410" s="161"/>
      <c r="E410" s="160"/>
      <c r="F410" s="120"/>
      <c r="G410" s="120"/>
      <c r="H410" s="120"/>
      <c r="I410" s="120"/>
      <c r="J410" s="120"/>
      <c r="K410" s="120"/>
      <c r="L410" s="120"/>
    </row>
    <row r="411" spans="1:12" ht="20.100000000000001" customHeight="1" x14ac:dyDescent="0.2">
      <c r="A411" s="120"/>
      <c r="B411" s="291" t="s">
        <v>3468</v>
      </c>
      <c r="C411" s="87" t="str">
        <f>sample_vcf_automation_cert_alias</f>
        <v>flt-auto01-cert</v>
      </c>
      <c r="D411" s="161"/>
      <c r="E411" s="160"/>
      <c r="F411" s="120"/>
      <c r="G411" s="120"/>
      <c r="H411" s="120"/>
      <c r="I411" s="120"/>
      <c r="J411" s="120"/>
      <c r="K411" s="120"/>
      <c r="L411" s="120"/>
    </row>
    <row r="412" spans="1:12" ht="20.100000000000001" customHeight="1" x14ac:dyDescent="0.2">
      <c r="A412" s="120"/>
      <c r="B412" s="291" t="s">
        <v>1155</v>
      </c>
      <c r="C412" s="292" t="str">
        <f>sample_vcf_automation_root_password_alias</f>
        <v>flt-auto01-password</v>
      </c>
      <c r="D412" s="161"/>
      <c r="E412" s="160"/>
      <c r="F412" s="120"/>
      <c r="G412" s="120"/>
      <c r="H412" s="120"/>
      <c r="I412" s="120"/>
      <c r="J412" s="120"/>
      <c r="K412" s="120"/>
      <c r="L412" s="120"/>
    </row>
    <row r="413" spans="1:12" ht="20.100000000000001" customHeight="1" x14ac:dyDescent="0.2">
      <c r="A413" s="120"/>
      <c r="B413" s="291" t="s">
        <v>3469</v>
      </c>
      <c r="C413" s="87" t="str">
        <f>sample_vcf_automation_vip_fqdn</f>
        <v>flt-auto01.rainpole.io</v>
      </c>
      <c r="D413" s="161"/>
      <c r="E413" s="160"/>
      <c r="F413" s="120"/>
      <c r="G413" s="120"/>
      <c r="H413" s="120"/>
      <c r="I413" s="120"/>
      <c r="J413" s="120"/>
      <c r="K413" s="120"/>
      <c r="L413" s="120"/>
    </row>
    <row r="414" spans="1:12" ht="20.100000000000001" customHeight="1" x14ac:dyDescent="0.2">
      <c r="A414" s="120"/>
      <c r="B414" s="291" t="s">
        <v>1060</v>
      </c>
      <c r="C414" s="87" t="s">
        <v>1061</v>
      </c>
      <c r="D414" s="161"/>
      <c r="E414" s="160"/>
      <c r="F414" s="120"/>
      <c r="G414" s="120"/>
      <c r="H414" s="120"/>
      <c r="I414" s="120"/>
      <c r="J414" s="120"/>
      <c r="K414" s="120"/>
      <c r="L414" s="120"/>
    </row>
    <row r="415" spans="1:12" ht="20.100000000000001" customHeight="1" x14ac:dyDescent="0.2">
      <c r="A415" s="120"/>
      <c r="B415" s="291" t="s">
        <v>1004</v>
      </c>
      <c r="C415" s="87" t="str">
        <f>CONCATENATE(prefix_portable_component,"-auto")</f>
        <v>flt-auto</v>
      </c>
      <c r="D415" s="161"/>
      <c r="E415" s="160"/>
      <c r="F415" s="120"/>
      <c r="G415" s="120"/>
      <c r="H415" s="120"/>
      <c r="I415" s="120"/>
      <c r="J415" s="120"/>
      <c r="K415" s="120"/>
      <c r="L415" s="120"/>
    </row>
    <row r="416" spans="1:12" ht="20.100000000000001" customHeight="1" x14ac:dyDescent="0.2">
      <c r="A416" s="120"/>
      <c r="B416" s="291" t="s">
        <v>1063</v>
      </c>
      <c r="C416"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16" s="161"/>
      <c r="E416" s="160"/>
      <c r="F416" s="120"/>
      <c r="G416" s="120"/>
      <c r="H416" s="120"/>
      <c r="I416" s="120"/>
      <c r="J416" s="120"/>
      <c r="K416" s="120"/>
      <c r="L416" s="120"/>
    </row>
    <row r="417" spans="1:12" ht="20.100000000000001" customHeight="1" x14ac:dyDescent="0.2">
      <c r="A417" s="120"/>
      <c r="B417" s="291" t="s">
        <v>347</v>
      </c>
      <c r="C417" s="87" t="s">
        <v>1078</v>
      </c>
      <c r="D417" s="161"/>
      <c r="E417" s="160"/>
      <c r="F417" s="120"/>
      <c r="G417" s="120"/>
      <c r="H417" s="120"/>
      <c r="I417" s="120"/>
      <c r="J417" s="120"/>
      <c r="K417" s="120"/>
      <c r="L417" s="120"/>
    </row>
    <row r="418" spans="1:12" ht="20.100000000000001" customHeight="1" x14ac:dyDescent="0.2">
      <c r="A418" s="120"/>
      <c r="B418" s="291" t="s">
        <v>3470</v>
      </c>
      <c r="C418"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18" s="161"/>
      <c r="E418" s="160"/>
      <c r="F418" s="120"/>
      <c r="G418" s="120"/>
      <c r="H418" s="120"/>
      <c r="I418" s="120"/>
      <c r="J418" s="120"/>
      <c r="K418" s="120"/>
      <c r="L418" s="120"/>
    </row>
    <row r="419" spans="1:12" ht="15.95" customHeight="1" x14ac:dyDescent="0.2">
      <c r="B419" s="298"/>
    </row>
    <row r="420" spans="1:12" ht="33.950000000000003" customHeight="1" x14ac:dyDescent="0.2">
      <c r="B420" s="553" t="s">
        <v>3475</v>
      </c>
      <c r="C420" s="553"/>
      <c r="D420" s="553"/>
      <c r="E420" s="553"/>
    </row>
    <row r="421" spans="1:12" ht="20.100000000000001" customHeight="1" x14ac:dyDescent="0.2">
      <c r="B421" s="557"/>
      <c r="C421" s="557"/>
      <c r="D421" s="557"/>
      <c r="E421" s="557"/>
    </row>
    <row r="422" spans="1:12" ht="20.100000000000001" customHeight="1" x14ac:dyDescent="0.2">
      <c r="B422" s="307" t="s">
        <v>37</v>
      </c>
      <c r="C422" s="308" t="s">
        <v>276</v>
      </c>
      <c r="D422" s="308" t="s">
        <v>277</v>
      </c>
      <c r="E422" s="308" t="s">
        <v>5</v>
      </c>
    </row>
    <row r="423" spans="1:12" ht="20.100000000000001" customHeight="1" x14ac:dyDescent="0.2">
      <c r="B423" s="4" t="s">
        <v>3332</v>
      </c>
      <c r="C423" s="362" t="str">
        <f>sample_vvs_dr_flt_ops_nodea_fqdn</f>
        <v>flt-ops01a.rainpole.io</v>
      </c>
      <c r="D423" s="161" t="str">
        <f>vvs_dr_flt_ops_nodea_fqdn</f>
        <v>Value Missing</v>
      </c>
      <c r="E423" s="32"/>
    </row>
    <row r="424" spans="1:12" ht="20.100000000000001" customHeight="1" x14ac:dyDescent="0.2">
      <c r="B424" s="528" t="s">
        <v>3467</v>
      </c>
      <c r="C424" s="529"/>
      <c r="D424" s="529"/>
      <c r="E424" s="530"/>
    </row>
    <row r="425" spans="1:12" ht="20.100000000000001" customHeight="1" x14ac:dyDescent="0.2">
      <c r="B425" s="295" t="s">
        <v>299</v>
      </c>
      <c r="C425" s="362" t="str">
        <f>sample_mgmt_srm_recovery_vcenter_fqdn</f>
        <v>lax-m01-vc01.lax.rainpole.io</v>
      </c>
      <c r="D425" s="337" t="str">
        <f>mgmt_srm_recovery_vcenter_fqdn</f>
        <v>Value Missing</v>
      </c>
      <c r="E425" s="32"/>
    </row>
    <row r="426" spans="1:12" ht="20.100000000000001" customHeight="1" x14ac:dyDescent="0.2">
      <c r="B426" s="295" t="s">
        <v>1165</v>
      </c>
      <c r="C426" s="362" t="str">
        <f>sample_mgmt_srm_recovery_cluster</f>
        <v>lax-m01-cl01</v>
      </c>
      <c r="D426" s="337" t="str">
        <f>mgmt_srm_recovery_cluster</f>
        <v>Value Missing</v>
      </c>
      <c r="E426" s="32"/>
    </row>
    <row r="427" spans="1:12" ht="20.100000000000001" customHeight="1" x14ac:dyDescent="0.2">
      <c r="B427" s="295" t="s">
        <v>706</v>
      </c>
      <c r="C427" s="362" t="str">
        <f>sample_mgmt_srm_recovery_pg</f>
        <v>lax-m01-cl01-vds01-pg-vm-mgmt</v>
      </c>
      <c r="D427" s="337" t="str">
        <f t="array" ref="D427">mgmt_srm_recovery_pg</f>
        <v>Value Missing</v>
      </c>
      <c r="E427" s="32"/>
    </row>
    <row r="428" spans="1:12" ht="20.100000000000001" customHeight="1" x14ac:dyDescent="0.2">
      <c r="B428" s="295" t="s">
        <v>587</v>
      </c>
      <c r="C428" s="362" t="str">
        <f>sample_mgmt_srm_recovery_datastore</f>
        <v>lax-m01-cl01-ds-vsan01</v>
      </c>
      <c r="D428" s="337" t="str">
        <f>mgmt_srm_recovery_datastore</f>
        <v>Value Missing</v>
      </c>
      <c r="E428" s="32"/>
    </row>
    <row r="429" spans="1:12" ht="20.100000000000001" customHeight="1" x14ac:dyDescent="0.2">
      <c r="B429" s="528" t="s">
        <v>706</v>
      </c>
      <c r="C429" s="529"/>
      <c r="D429" s="529"/>
      <c r="E429" s="530"/>
    </row>
    <row r="430" spans="1:12" ht="20.100000000000001" customHeight="1" x14ac:dyDescent="0.2">
      <c r="B430" s="295" t="s">
        <v>354</v>
      </c>
      <c r="C430" s="362" t="str">
        <f>sample_parent_dns_zone</f>
        <v>rainpole.io</v>
      </c>
      <c r="D430" s="337" t="str">
        <f>vvs_dr_parent_dns_zone</f>
        <v>Value Missing</v>
      </c>
      <c r="E430" s="32"/>
    </row>
    <row r="431" spans="1:12" ht="20.100000000000001" customHeight="1" x14ac:dyDescent="0.2">
      <c r="B431" s="295" t="s">
        <v>1042</v>
      </c>
      <c r="C431" s="362" t="str">
        <f>sample_parent_dns_zone</f>
        <v>rainpole.io</v>
      </c>
      <c r="D431" s="337" t="str">
        <f>vvs_dr_parent_dns_zone</f>
        <v>Value Missing</v>
      </c>
      <c r="E431" s="32"/>
    </row>
    <row r="432" spans="1:12" ht="20.100000000000001" customHeight="1" x14ac:dyDescent="0.2">
      <c r="B432" s="295" t="s">
        <v>1043</v>
      </c>
      <c r="C432" s="362" t="str">
        <f>CONCATENATE(sample_vvs_dr_dns1_ip,",",sample_vvs_dr_dns2_ip)</f>
        <v>10.21.10.4,10.21.10.5</v>
      </c>
      <c r="D432" s="337" t="str">
        <f>CONCATENATE(vvs_dr_dns1_ip,",",vvs_dr_dns2_ip)</f>
        <v>Value Missing,Value Missing</v>
      </c>
      <c r="E432" s="32"/>
    </row>
    <row r="433" spans="2:5" ht="20.100000000000001" customHeight="1" x14ac:dyDescent="0.2">
      <c r="B433" s="295" t="s">
        <v>1046</v>
      </c>
      <c r="C433"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337"/>
      <c r="E433" s="32"/>
    </row>
    <row r="434" spans="2:5" ht="20.100000000000001" customHeight="1" x14ac:dyDescent="0.2">
      <c r="B434" s="295" t="s">
        <v>1047</v>
      </c>
      <c r="C434" s="362" t="s">
        <v>612</v>
      </c>
      <c r="D434" s="337" t="str">
        <f>mgmt_srm_recovery_mask</f>
        <v>Value Missing</v>
      </c>
      <c r="E434" s="32"/>
    </row>
    <row r="435" spans="2:5" ht="20.100000000000001" customHeight="1" x14ac:dyDescent="0.2">
      <c r="B435" s="528" t="s">
        <v>3342</v>
      </c>
      <c r="C435" s="529"/>
      <c r="D435" s="529"/>
      <c r="E435" s="530"/>
    </row>
    <row r="436" spans="2:5" ht="20.100000000000001" customHeight="1" x14ac:dyDescent="0.2">
      <c r="B436" s="295" t="s">
        <v>527</v>
      </c>
      <c r="C436" s="87" t="str">
        <f>sample_flt_vidb_vip_fqdn</f>
        <v>flt-idb01.rainpole.io</v>
      </c>
      <c r="D436" s="337"/>
      <c r="E436" s="32"/>
    </row>
    <row r="437" spans="2:5" ht="20.100000000000001" customHeight="1" x14ac:dyDescent="0.2">
      <c r="B437" s="295" t="s">
        <v>3468</v>
      </c>
      <c r="C437" s="87" t="str">
        <f>sample_flt_vidb_cert_alias</f>
        <v>flt-idb01-cert</v>
      </c>
      <c r="D437" s="337"/>
      <c r="E437" s="32"/>
    </row>
    <row r="438" spans="2:5" ht="20.100000000000001" customHeight="1" x14ac:dyDescent="0.2">
      <c r="B438" s="295" t="s">
        <v>1155</v>
      </c>
      <c r="C438" s="292" t="str">
        <f>sample_flt_vidb_password_alias</f>
        <v>flt-idb01-password</v>
      </c>
      <c r="D438" s="337"/>
      <c r="E438" s="32"/>
    </row>
    <row r="439" spans="2:5" ht="20.100000000000001" customHeight="1" x14ac:dyDescent="0.2">
      <c r="B439" s="295" t="s">
        <v>3469</v>
      </c>
      <c r="C439" s="87" t="str">
        <f>sample_flt_vidb_vip_fqdn</f>
        <v>flt-idb01.rainpole.io</v>
      </c>
      <c r="D439" s="337"/>
      <c r="E439" s="32"/>
    </row>
    <row r="440" spans="2:5" ht="20.100000000000001" customHeight="1" x14ac:dyDescent="0.2">
      <c r="B440" s="295" t="s">
        <v>1004</v>
      </c>
      <c r="C440" s="87" t="str">
        <f>sample_flt_vidb_node_prefix</f>
        <v>flt-idb</v>
      </c>
      <c r="D440" s="337"/>
      <c r="E440" s="32"/>
    </row>
    <row r="441" spans="2:5" ht="20.100000000000001" customHeight="1" x14ac:dyDescent="0.2">
      <c r="B441" s="295" t="s">
        <v>347</v>
      </c>
      <c r="C441" s="87" t="s">
        <v>1064</v>
      </c>
      <c r="D441" s="337"/>
      <c r="E441" s="32"/>
    </row>
    <row r="442" spans="2:5" ht="20.100000000000001" customHeight="1" x14ac:dyDescent="0.2">
      <c r="B442" s="295" t="s">
        <v>1063</v>
      </c>
      <c r="C442"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442" s="337"/>
      <c r="E442" s="32"/>
    </row>
    <row r="443" spans="2:5" ht="20.100000000000001" customHeight="1" x14ac:dyDescent="0.2">
      <c r="B443" s="295" t="s">
        <v>3470</v>
      </c>
      <c r="C443"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443" s="337"/>
      <c r="E443" s="32"/>
    </row>
    <row r="444" spans="2:5" ht="15.95" customHeight="1" x14ac:dyDescent="0.2">
      <c r="B444" s="298"/>
    </row>
    <row r="445" spans="2:5" ht="33.950000000000003" customHeight="1" x14ac:dyDescent="0.2">
      <c r="B445" s="559" t="s">
        <v>3476</v>
      </c>
      <c r="C445" s="560"/>
      <c r="D445" s="560"/>
      <c r="E445" s="624"/>
    </row>
    <row r="446" spans="2:5" ht="20.100000000000001" customHeight="1" x14ac:dyDescent="0.2">
      <c r="B446" s="557"/>
      <c r="C446" s="557"/>
      <c r="D446" s="557"/>
      <c r="E446" s="557"/>
    </row>
    <row r="447" spans="2:5" ht="20.100000000000001" customHeight="1" x14ac:dyDescent="0.2">
      <c r="B447" s="307" t="s">
        <v>37</v>
      </c>
      <c r="C447" s="308" t="s">
        <v>276</v>
      </c>
      <c r="D447" s="308" t="s">
        <v>277</v>
      </c>
      <c r="E447" s="308" t="s">
        <v>5</v>
      </c>
    </row>
    <row r="448" spans="2:5" ht="20.100000000000001" customHeight="1" x14ac:dyDescent="0.2">
      <c r="B448" s="291" t="s">
        <v>3341</v>
      </c>
      <c r="C448" s="362" t="str">
        <f>sample_vvs_dr_flt_ops_nodea_fqdn</f>
        <v>flt-ops01a.rainpole.io</v>
      </c>
      <c r="D448" s="161" t="str">
        <f>vvs_dr_flt_ops_nodea_fqdn</f>
        <v>Value Missing</v>
      </c>
      <c r="E448" s="160"/>
    </row>
    <row r="449" spans="2:5" ht="20.100000000000001" customHeight="1" x14ac:dyDescent="0.2">
      <c r="B449" s="621" t="s">
        <v>3467</v>
      </c>
      <c r="C449" s="622"/>
      <c r="D449" s="622"/>
      <c r="E449" s="623"/>
    </row>
    <row r="450" spans="2:5" ht="20.100000000000001" customHeight="1" x14ac:dyDescent="0.2">
      <c r="B450" s="291" t="s">
        <v>299</v>
      </c>
      <c r="C450" s="362" t="s">
        <v>3472</v>
      </c>
      <c r="D450" s="337" t="str">
        <f>mgmt_srm_recovery_vcenter_fqdn</f>
        <v>Value Missing</v>
      </c>
      <c r="E450" s="160"/>
    </row>
    <row r="451" spans="2:5" ht="20.100000000000001" customHeight="1" x14ac:dyDescent="0.2">
      <c r="B451" s="291" t="s">
        <v>1165</v>
      </c>
      <c r="C451" s="362" t="s">
        <v>3473</v>
      </c>
      <c r="D451" s="337" t="str">
        <f>mgmt_srm_recovery_cluster</f>
        <v>Value Missing</v>
      </c>
      <c r="E451" s="160"/>
    </row>
    <row r="452" spans="2:5" ht="20.100000000000001" customHeight="1" x14ac:dyDescent="0.2">
      <c r="B452" s="291" t="s">
        <v>706</v>
      </c>
      <c r="C452" s="362" t="str">
        <f>sample_mgmt_srm_recovery_pg</f>
        <v>lax-m01-cl01-vds01-pg-vm-mgmt</v>
      </c>
      <c r="D452" s="337" t="str">
        <f t="array" ref="D452">mgmt_srm_recovery_pg</f>
        <v>Value Missing</v>
      </c>
      <c r="E452" s="160"/>
    </row>
    <row r="453" spans="2:5" ht="20.100000000000001" customHeight="1" x14ac:dyDescent="0.2">
      <c r="B453" s="291" t="s">
        <v>587</v>
      </c>
      <c r="C453" s="362" t="s">
        <v>3474</v>
      </c>
      <c r="D453" s="337" t="str">
        <f>mgmt_srm_recovery_datastore</f>
        <v>Value Missing</v>
      </c>
      <c r="E453" s="160"/>
    </row>
    <row r="454" spans="2:5" ht="20.100000000000001" customHeight="1" x14ac:dyDescent="0.2">
      <c r="B454" s="621" t="s">
        <v>706</v>
      </c>
      <c r="C454" s="622"/>
      <c r="D454" s="622"/>
      <c r="E454" s="623"/>
    </row>
    <row r="455" spans="2:5" ht="20.100000000000001" customHeight="1" x14ac:dyDescent="0.2">
      <c r="B455" s="291" t="s">
        <v>354</v>
      </c>
      <c r="C455" s="362" t="s">
        <v>77</v>
      </c>
      <c r="D455" s="161" t="str">
        <f>vvs_dr_parent_dns_zone</f>
        <v>Value Missing</v>
      </c>
      <c r="E455" s="160"/>
    </row>
    <row r="456" spans="2:5" ht="20.100000000000001" customHeight="1" x14ac:dyDescent="0.2">
      <c r="B456" s="291" t="s">
        <v>1042</v>
      </c>
      <c r="C456" s="362" t="s">
        <v>77</v>
      </c>
      <c r="D456" s="161" t="str">
        <f>vvs_dr_parent_dns_zone</f>
        <v>Value Missing</v>
      </c>
      <c r="E456" s="160"/>
    </row>
    <row r="457" spans="2:5" ht="20.100000000000001" customHeight="1" x14ac:dyDescent="0.2">
      <c r="B457" s="291" t="s">
        <v>1043</v>
      </c>
      <c r="C457" s="362" t="str">
        <f>CONCATENATE(sample_vvs_dr_dns1_ip,",",sample_vvs_dr_dns2_ip)</f>
        <v>10.21.10.4,10.21.10.5</v>
      </c>
      <c r="D457" s="337" t="str">
        <f>CONCATENATE(vvs_dr_dns1_ip,",",vvs_dr_dns2_ip)</f>
        <v>Value Missing,Value Missing</v>
      </c>
      <c r="E457" s="160"/>
    </row>
    <row r="458" spans="2:5" ht="20.100000000000001" customHeight="1" x14ac:dyDescent="0.2">
      <c r="B458" s="291" t="s">
        <v>1046</v>
      </c>
      <c r="C458"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337"/>
      <c r="E458" s="160"/>
    </row>
    <row r="459" spans="2:5" ht="20.100000000000001" customHeight="1" x14ac:dyDescent="0.2">
      <c r="B459" s="291" t="s">
        <v>1047</v>
      </c>
      <c r="C459" s="362" t="s">
        <v>612</v>
      </c>
      <c r="D459" s="337" t="str">
        <f>mgmt_srm_recovery_mask</f>
        <v>Value Missing</v>
      </c>
      <c r="E459" s="160"/>
    </row>
    <row r="460" spans="2:5" ht="20.100000000000001" customHeight="1" x14ac:dyDescent="0.2">
      <c r="B460" s="621" t="s">
        <v>3342</v>
      </c>
      <c r="C460" s="622"/>
      <c r="D460" s="622"/>
      <c r="E460" s="623"/>
    </row>
    <row r="461" spans="2:5" ht="20.100000000000001" customHeight="1" x14ac:dyDescent="0.2">
      <c r="B461" s="291" t="s">
        <v>527</v>
      </c>
      <c r="C461" s="87" t="str">
        <f>sample_vcf_automation_vip_fqdn</f>
        <v>flt-auto01.rainpole.io</v>
      </c>
      <c r="D461" s="161"/>
      <c r="E461" s="160"/>
    </row>
    <row r="462" spans="2:5" ht="20.100000000000001" customHeight="1" x14ac:dyDescent="0.2">
      <c r="B462" s="291" t="s">
        <v>3468</v>
      </c>
      <c r="C462" s="87" t="str">
        <f>sample_vcf_automation_cert_alias</f>
        <v>flt-auto01-cert</v>
      </c>
      <c r="D462" s="161"/>
      <c r="E462" s="160"/>
    </row>
    <row r="463" spans="2:5" ht="20.100000000000001" customHeight="1" x14ac:dyDescent="0.2">
      <c r="B463" s="291" t="s">
        <v>1155</v>
      </c>
      <c r="C463" s="292" t="str">
        <f>sample_vcf_automation_root_password_alias</f>
        <v>flt-auto01-password</v>
      </c>
      <c r="D463" s="161"/>
      <c r="E463" s="160"/>
    </row>
    <row r="464" spans="2:5" ht="20.100000000000001" customHeight="1" x14ac:dyDescent="0.2">
      <c r="B464" s="291" t="s">
        <v>3469</v>
      </c>
      <c r="C464" s="87" t="str">
        <f>sample_vcf_automation_vip_fqdn</f>
        <v>flt-auto01.rainpole.io</v>
      </c>
      <c r="D464" s="161"/>
      <c r="E464" s="160"/>
    </row>
    <row r="465" spans="2:5" ht="20.100000000000001" customHeight="1" x14ac:dyDescent="0.2">
      <c r="B465" s="291" t="s">
        <v>1060</v>
      </c>
      <c r="C465" s="87" t="s">
        <v>1061</v>
      </c>
      <c r="D465" s="161"/>
      <c r="E465" s="160"/>
    </row>
    <row r="466" spans="2:5" ht="20.100000000000001" customHeight="1" x14ac:dyDescent="0.2">
      <c r="B466" s="291" t="s">
        <v>1004</v>
      </c>
      <c r="C466" s="87" t="str">
        <f>CONCATENATE(prefix_portable_component,"-auto")</f>
        <v>flt-auto</v>
      </c>
      <c r="D466" s="161"/>
      <c r="E466" s="160"/>
    </row>
    <row r="467" spans="2:5" ht="20.100000000000001" customHeight="1" x14ac:dyDescent="0.2">
      <c r="B467" s="291" t="s">
        <v>1063</v>
      </c>
      <c r="C467"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67" s="161"/>
      <c r="E467" s="160"/>
    </row>
    <row r="468" spans="2:5" ht="20.100000000000001" customHeight="1" x14ac:dyDescent="0.2">
      <c r="B468" s="291" t="s">
        <v>347</v>
      </c>
      <c r="C468" s="87" t="s">
        <v>1064</v>
      </c>
      <c r="D468" s="161"/>
      <c r="E468" s="160"/>
    </row>
    <row r="469" spans="2:5" ht="20.100000000000001" customHeight="1" x14ac:dyDescent="0.2">
      <c r="B469" s="291" t="s">
        <v>3470</v>
      </c>
      <c r="C469"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69" s="161"/>
      <c r="E469" s="160"/>
    </row>
    <row r="470" spans="2:5" ht="15.95" customHeight="1" x14ac:dyDescent="0.2">
      <c r="B470" s="293"/>
      <c r="C470" s="120"/>
      <c r="D470" s="35"/>
      <c r="E470" s="120"/>
    </row>
    <row r="471" spans="2:5" ht="33.950000000000003" customHeight="1" x14ac:dyDescent="0.2">
      <c r="B471" s="553" t="s">
        <v>3325</v>
      </c>
      <c r="C471" s="553"/>
      <c r="D471" s="553"/>
      <c r="E471" s="553"/>
    </row>
    <row r="472" spans="2:5" ht="15.95" customHeight="1" x14ac:dyDescent="0.2">
      <c r="B472" s="293"/>
      <c r="C472" s="120"/>
      <c r="D472" s="35"/>
      <c r="E472" s="120"/>
    </row>
    <row r="473" spans="2:5" ht="33.950000000000003" customHeight="1" x14ac:dyDescent="0.2">
      <c r="B473" s="553" t="s">
        <v>3477</v>
      </c>
      <c r="C473" s="553"/>
      <c r="D473" s="553"/>
      <c r="E473" s="553"/>
    </row>
    <row r="474" spans="2:5" ht="20.100000000000001" customHeight="1" x14ac:dyDescent="0.2">
      <c r="B474" s="557"/>
      <c r="C474" s="557"/>
      <c r="D474" s="557"/>
      <c r="E474" s="557"/>
    </row>
    <row r="475" spans="2:5" ht="20.100000000000001" customHeight="1" x14ac:dyDescent="0.2">
      <c r="B475" s="307" t="s">
        <v>37</v>
      </c>
      <c r="C475" s="308" t="s">
        <v>276</v>
      </c>
      <c r="D475" s="308" t="s">
        <v>277</v>
      </c>
      <c r="E475" s="308" t="s">
        <v>5</v>
      </c>
    </row>
    <row r="476" spans="2:5" ht="20.100000000000001" customHeight="1" x14ac:dyDescent="0.2">
      <c r="B476" s="361" t="s">
        <v>3360</v>
      </c>
      <c r="C476" s="362" t="str">
        <f>sample_vvs_dr_mgmt_vc_fqdn</f>
        <v>sfo-m01-vc01.sfo.rainpole.io</v>
      </c>
      <c r="D476" s="337" t="str">
        <f>vvs_dr_mgmt_vc_fqdn</f>
        <v>Value Missing</v>
      </c>
      <c r="E476" s="32"/>
    </row>
    <row r="477" spans="2:5" ht="20.100000000000001" customHeight="1" x14ac:dyDescent="0.2">
      <c r="B477" s="361" t="s">
        <v>202</v>
      </c>
      <c r="C477" s="362" t="str">
        <f>sample_vvs_dr_sso_domain</f>
        <v>vsphere.local</v>
      </c>
      <c r="D477" s="337" t="str">
        <f>vvs_dr_sso_domain</f>
        <v>Value Missing</v>
      </c>
      <c r="E477" s="32"/>
    </row>
    <row r="478" spans="2:5" ht="20.100000000000001" customHeight="1" x14ac:dyDescent="0.2">
      <c r="B478" s="4" t="s">
        <v>3478</v>
      </c>
      <c r="C478" s="362" t="s">
        <v>3479</v>
      </c>
      <c r="D478" s="347"/>
      <c r="E478" s="4"/>
    </row>
    <row r="479" spans="2:5" ht="20.100000000000001" customHeight="1" x14ac:dyDescent="0.2">
      <c r="B479" s="4" t="s">
        <v>3480</v>
      </c>
      <c r="C479" s="362" t="s">
        <v>379</v>
      </c>
      <c r="D479" s="347"/>
      <c r="E479" s="4"/>
    </row>
    <row r="480" spans="2:5" ht="20.100000000000001" customHeight="1" x14ac:dyDescent="0.2">
      <c r="B480" s="4" t="s">
        <v>3481</v>
      </c>
      <c r="C480" s="362" t="s">
        <v>3482</v>
      </c>
      <c r="D480" s="347"/>
      <c r="E480" s="4"/>
    </row>
    <row r="481" spans="2:5" ht="20.100000000000001" customHeight="1" x14ac:dyDescent="0.2">
      <c r="B481" s="4" t="s">
        <v>3483</v>
      </c>
      <c r="C481" s="362" t="s">
        <v>379</v>
      </c>
      <c r="D481" s="347"/>
      <c r="E481" s="4"/>
    </row>
    <row r="482" spans="2:5" ht="15.95" customHeight="1" x14ac:dyDescent="0.2"/>
    <row r="483" spans="2:5" ht="33.950000000000003" customHeight="1" x14ac:dyDescent="0.2">
      <c r="B483" s="553" t="s">
        <v>3484</v>
      </c>
      <c r="C483" s="553"/>
      <c r="D483" s="553"/>
      <c r="E483" s="553"/>
    </row>
    <row r="484" spans="2:5" ht="20.100000000000001" customHeight="1" x14ac:dyDescent="0.2">
      <c r="B484" s="557"/>
      <c r="C484" s="557"/>
      <c r="D484" s="557"/>
      <c r="E484" s="557"/>
    </row>
    <row r="485" spans="2:5" ht="20.100000000000001" customHeight="1" x14ac:dyDescent="0.2">
      <c r="B485" s="307" t="s">
        <v>37</v>
      </c>
      <c r="C485" s="308" t="s">
        <v>276</v>
      </c>
      <c r="D485" s="308" t="s">
        <v>277</v>
      </c>
      <c r="E485" s="308" t="s">
        <v>5</v>
      </c>
    </row>
    <row r="486" spans="2:5" ht="20.100000000000001" customHeight="1" x14ac:dyDescent="0.2">
      <c r="B486" s="4" t="s">
        <v>3360</v>
      </c>
      <c r="C486" s="362" t="str">
        <f>sample_vvs_dr_mgmt_vc_fqdn</f>
        <v>sfo-m01-vc01.sfo.rainpole.io</v>
      </c>
      <c r="D486" s="337" t="str">
        <f>vvs_dr_mgmt_vc_fqdn</f>
        <v>Value Missing</v>
      </c>
      <c r="E486" s="4"/>
    </row>
    <row r="487" spans="2:5" ht="20.100000000000001" customHeight="1" x14ac:dyDescent="0.2">
      <c r="B487" s="4" t="s">
        <v>202</v>
      </c>
      <c r="C487" s="362" t="str">
        <f>sample_vvs_dr_sso_domain</f>
        <v>vsphere.local</v>
      </c>
      <c r="D487" s="337" t="str">
        <f>vvs_dr_sso_domain</f>
        <v>Value Missing</v>
      </c>
      <c r="E487" s="4"/>
    </row>
    <row r="488" spans="2:5" ht="20.100000000000001" customHeight="1" x14ac:dyDescent="0.2">
      <c r="B488" s="4" t="s">
        <v>3485</v>
      </c>
      <c r="C488" s="362" t="str">
        <f>sample_xreg_vrops_vrms_sso_username</f>
        <v>svc-vcfops-vlsr</v>
      </c>
      <c r="D488" s="337" t="str">
        <f>xreg_vrops_vrms_sso_username</f>
        <v>Value Missing</v>
      </c>
      <c r="E488" s="4"/>
    </row>
    <row r="489" spans="2:5" ht="20.100000000000001" customHeight="1" x14ac:dyDescent="0.2">
      <c r="B489" s="4" t="s">
        <v>3486</v>
      </c>
      <c r="C489" s="362" t="s">
        <v>3487</v>
      </c>
      <c r="D489" s="337" t="str">
        <f>C489</f>
        <v>Read-Only</v>
      </c>
      <c r="E489" s="4"/>
    </row>
    <row r="490" spans="2:5" ht="20.100000000000001" customHeight="1" x14ac:dyDescent="0.2">
      <c r="B490" s="4" t="s">
        <v>3488</v>
      </c>
      <c r="C490" s="362" t="str">
        <f>sample_xreg_vrops_srm_sso_username</f>
        <v>svc-vcfops-vr</v>
      </c>
      <c r="D490" s="337" t="str">
        <f>xreg_vrops_srm_sso_username</f>
        <v>Value Missing</v>
      </c>
      <c r="E490" s="4"/>
    </row>
    <row r="491" spans="2:5" ht="20.100000000000001" customHeight="1" x14ac:dyDescent="0.2">
      <c r="B491" s="4" t="s">
        <v>3489</v>
      </c>
      <c r="C491" s="362" t="s">
        <v>3490</v>
      </c>
      <c r="D491" s="337" t="str">
        <f>C491</f>
        <v>VRM replication viewer</v>
      </c>
      <c r="E491" s="4"/>
    </row>
    <row r="492" spans="2:5" ht="15.95" customHeight="1" x14ac:dyDescent="0.2"/>
    <row r="493" spans="2:5" ht="33.950000000000003" customHeight="1" x14ac:dyDescent="0.2">
      <c r="B493" s="553" t="s">
        <v>3491</v>
      </c>
      <c r="C493" s="553"/>
      <c r="D493" s="553"/>
      <c r="E493" s="553"/>
    </row>
    <row r="494" spans="2:5" ht="20.100000000000001" customHeight="1" x14ac:dyDescent="0.2">
      <c r="B494" s="557"/>
      <c r="C494" s="557"/>
      <c r="D494" s="557"/>
      <c r="E494" s="557"/>
    </row>
    <row r="495" spans="2:5" ht="20.100000000000001" customHeight="1" x14ac:dyDescent="0.2">
      <c r="B495" s="307" t="s">
        <v>37</v>
      </c>
      <c r="C495" s="308" t="s">
        <v>276</v>
      </c>
      <c r="D495" s="308" t="s">
        <v>277</v>
      </c>
      <c r="E495" s="308" t="s">
        <v>5</v>
      </c>
    </row>
    <row r="496" spans="2:5" ht="20.100000000000001" customHeight="1" x14ac:dyDescent="0.2">
      <c r="B496" s="4" t="s">
        <v>3492</v>
      </c>
      <c r="C496" s="362" t="str">
        <f>sample_vvs_dr_flt_ops_nodea_fqdn</f>
        <v>flt-ops01a.rainpole.io</v>
      </c>
      <c r="D496" s="161" t="str">
        <f>vvs_dr_flt_ops_nodea_fqdn</f>
        <v>Value Missing</v>
      </c>
      <c r="E496" s="32"/>
    </row>
    <row r="497" spans="2:5" ht="20.100000000000001" customHeight="1" x14ac:dyDescent="0.2">
      <c r="B497" s="4" t="s">
        <v>3493</v>
      </c>
      <c r="C497" s="362" t="s">
        <v>3494</v>
      </c>
      <c r="D497" s="347"/>
      <c r="E497" s="32"/>
    </row>
    <row r="498" spans="2:5" ht="15.95" customHeight="1" x14ac:dyDescent="0.2"/>
    <row r="499" spans="2:5" ht="33.950000000000003" customHeight="1" x14ac:dyDescent="0.2">
      <c r="B499" s="553" t="s">
        <v>3495</v>
      </c>
      <c r="C499" s="553"/>
      <c r="D499" s="553"/>
      <c r="E499" s="553"/>
    </row>
    <row r="500" spans="2:5" ht="20.100000000000001" customHeight="1" x14ac:dyDescent="0.2">
      <c r="B500" s="557"/>
      <c r="C500" s="557"/>
      <c r="D500" s="557"/>
      <c r="E500" s="557"/>
    </row>
    <row r="501" spans="2:5" ht="20.100000000000001" customHeight="1" x14ac:dyDescent="0.2">
      <c r="B501" s="307" t="s">
        <v>37</v>
      </c>
      <c r="C501" s="308" t="s">
        <v>276</v>
      </c>
      <c r="D501" s="308" t="s">
        <v>277</v>
      </c>
      <c r="E501" s="308" t="s">
        <v>5</v>
      </c>
    </row>
    <row r="502" spans="2:5" ht="20.100000000000001" customHeight="1" x14ac:dyDescent="0.2">
      <c r="B502" s="361" t="s">
        <v>3341</v>
      </c>
      <c r="C502" s="362" t="str">
        <f>sample_vvs_dr_flt_ops_nodea_fqdn</f>
        <v>flt-ops01a.rainpole.io</v>
      </c>
      <c r="D502" s="161" t="str">
        <f>vvs_dr_flt_ops_nodea_fqdn</f>
        <v>Value Missing</v>
      </c>
      <c r="E502" s="32"/>
    </row>
    <row r="503" spans="2:5" ht="20.100000000000001" customHeight="1" x14ac:dyDescent="0.2">
      <c r="B503" s="361" t="s">
        <v>3496</v>
      </c>
      <c r="C503" s="362" t="str">
        <f>CONCATENATE(this_instance,"-m01-vslr")</f>
        <v>sfo-m01-vslr</v>
      </c>
      <c r="D503" s="347"/>
      <c r="E503" s="32"/>
    </row>
    <row r="504" spans="2:5" ht="20.100000000000001" customHeight="1" x14ac:dyDescent="0.2">
      <c r="B504" s="361" t="s">
        <v>3497</v>
      </c>
      <c r="C504" s="362" t="str">
        <f>sample_vvs_mgmt_dr_vlr_fqdn</f>
        <v>sfo-m01-vlr01.sfo.rainpole.io</v>
      </c>
      <c r="D504" s="337" t="str">
        <f>vvs_mgmt_dr_vlr_fqdn</f>
        <v>Value Missing</v>
      </c>
      <c r="E504" s="32"/>
    </row>
    <row r="505" spans="2:5" ht="20.100000000000001" customHeight="1" x14ac:dyDescent="0.2">
      <c r="B505" s="361" t="s">
        <v>3498</v>
      </c>
      <c r="C505" s="362">
        <v>443</v>
      </c>
      <c r="D505" s="347"/>
      <c r="E505" s="32"/>
    </row>
    <row r="506" spans="2:5" ht="20.100000000000001" customHeight="1" x14ac:dyDescent="0.2">
      <c r="B506" s="361" t="s">
        <v>3499</v>
      </c>
      <c r="C506" s="362" t="str">
        <f>sample_xreg_vrops_srm_sso_username</f>
        <v>svc-vcfops-vr</v>
      </c>
      <c r="D506" s="337" t="str">
        <f>xreg_vrops_srm_sso_username</f>
        <v>Value Missing</v>
      </c>
      <c r="E506" s="32"/>
    </row>
    <row r="507" spans="2:5" ht="20.100000000000001" customHeight="1" x14ac:dyDescent="0.2">
      <c r="B507" s="361" t="s">
        <v>3500</v>
      </c>
      <c r="C507" s="362" t="str">
        <f>CONCATENATE(sample_xreg_vrops_srm_sso_username,"@vsphere.local")</f>
        <v>svc-vcfops-vr@vsphere.local</v>
      </c>
      <c r="D507" s="337" t="str">
        <f>CONCATENATE(xreg_vrops_srm_sso_username,"@",vvs_dr_sso_domain)</f>
        <v>Value Missing@Value Missing</v>
      </c>
      <c r="E507" s="32"/>
    </row>
    <row r="508" spans="2:5" ht="20.100000000000001" customHeight="1" x14ac:dyDescent="0.2">
      <c r="B508" s="361" t="s">
        <v>3501</v>
      </c>
      <c r="C508" s="362" t="str">
        <f>sample_xreg_vrops_srm_sso_password</f>
        <v>VMw@re1!</v>
      </c>
      <c r="D508" s="337" t="str">
        <f>xreg_vrops_srm_sso_password</f>
        <v>Value Missing</v>
      </c>
      <c r="E508" s="32"/>
    </row>
    <row r="509" spans="2:5" ht="20.100000000000001" customHeight="1" x14ac:dyDescent="0.2">
      <c r="B509" s="361" t="s">
        <v>3502</v>
      </c>
      <c r="C509" s="362" t="str">
        <f>CONCATENATE(sample_mgmt_sddc_domain,"-collector-group")</f>
        <v>sfo-m01-collector-group</v>
      </c>
      <c r="D509" s="337" t="str">
        <f>CONCATENATE(mgmt_sddc_domain,"-collector-group")</f>
        <v>vcf-lab-mgmt01-collector-group</v>
      </c>
      <c r="E509" s="32"/>
    </row>
    <row r="510" spans="2:5" ht="15.95" customHeight="1" x14ac:dyDescent="0.2"/>
    <row r="511" spans="2:5" ht="33.950000000000003" customHeight="1" x14ac:dyDescent="0.2">
      <c r="B511" s="553" t="s">
        <v>3503</v>
      </c>
      <c r="C511" s="553"/>
      <c r="D511" s="553"/>
      <c r="E511" s="553"/>
    </row>
    <row r="512" spans="2:5" ht="20.100000000000001" customHeight="1" x14ac:dyDescent="0.2">
      <c r="B512" s="557"/>
      <c r="C512" s="557"/>
      <c r="D512" s="557"/>
      <c r="E512" s="557"/>
    </row>
    <row r="513" spans="2:5" ht="20.100000000000001" customHeight="1" x14ac:dyDescent="0.2">
      <c r="B513" s="307" t="s">
        <v>37</v>
      </c>
      <c r="C513" s="308" t="s">
        <v>276</v>
      </c>
      <c r="D513" s="308" t="s">
        <v>277</v>
      </c>
      <c r="E513" s="308" t="s">
        <v>5</v>
      </c>
    </row>
    <row r="514" spans="2:5" ht="20.100000000000001" customHeight="1" x14ac:dyDescent="0.2">
      <c r="B514" s="361" t="s">
        <v>3341</v>
      </c>
      <c r="C514" s="362" t="str">
        <f>sample_vvs_dr_flt_ops_nodea_fqdn</f>
        <v>flt-ops01a.rainpole.io</v>
      </c>
      <c r="D514" s="161" t="str">
        <f>vvs_dr_flt_ops_nodea_fqdn</f>
        <v>Value Missing</v>
      </c>
      <c r="E514" s="32"/>
    </row>
    <row r="515" spans="2:5" ht="20.100000000000001" customHeight="1" x14ac:dyDescent="0.2">
      <c r="B515" s="361" t="s">
        <v>3496</v>
      </c>
      <c r="C515" s="362" t="str">
        <f>CONCATENATE(this_instance,"-m01-vr")</f>
        <v>sfo-m01-vr</v>
      </c>
      <c r="D515" s="347"/>
      <c r="E515" s="32"/>
    </row>
    <row r="516" spans="2:5" ht="20.100000000000001" customHeight="1" x14ac:dyDescent="0.2">
      <c r="B516" s="213" t="s">
        <v>3504</v>
      </c>
      <c r="C516" s="362" t="str">
        <f>sample_vvs_dr_mgmt_vc_fqdn</f>
        <v>sfo-m01-vc01.sfo.rainpole.io</v>
      </c>
      <c r="D516" s="337" t="str">
        <f>vvs_dr_mgmt_vc_fqdn</f>
        <v>Value Missing</v>
      </c>
      <c r="E516" s="32"/>
    </row>
    <row r="517" spans="2:5" ht="20.100000000000001" customHeight="1" x14ac:dyDescent="0.2">
      <c r="B517" s="361" t="s">
        <v>3499</v>
      </c>
      <c r="C517" s="362" t="str">
        <f>CONCATENATE(sample_xreg_vrops_vrms_sso_username,"@vsphere.local")</f>
        <v>svc-vcfops-vlsr@vsphere.local</v>
      </c>
      <c r="D517" s="337" t="str">
        <f>CONCATENATE(xreg_vrops_vrms_sso_username,"@",vvs_dr_sso_domain)</f>
        <v>Value Missing@Value Missing</v>
      </c>
      <c r="E517" s="32"/>
    </row>
    <row r="518" spans="2:5" ht="20.100000000000001" customHeight="1" x14ac:dyDescent="0.2">
      <c r="B518" s="361" t="s">
        <v>3505</v>
      </c>
      <c r="C518" s="362" t="str">
        <f>CONCATENATE(sample_xreg_vrops_vrms_sso_username,"@vsphere.local")</f>
        <v>svc-vcfops-vlsr@vsphere.local</v>
      </c>
      <c r="D518" s="337" t="str">
        <f>CONCATENATE(xreg_vrops_vrms_sso_username,"@",vvs_dr_sso_domain)</f>
        <v>Value Missing@Value Missing</v>
      </c>
      <c r="E518" s="32"/>
    </row>
    <row r="519" spans="2:5" ht="20.100000000000001" customHeight="1" x14ac:dyDescent="0.2">
      <c r="B519" s="361" t="s">
        <v>3501</v>
      </c>
      <c r="C519" s="362" t="str">
        <f>sample_xreg_vrops_vrms_sso_password</f>
        <v>VMw@re1!</v>
      </c>
      <c r="D519" s="337" t="str">
        <f>xreg_vrops_vrms_sso_password</f>
        <v>Value Missing</v>
      </c>
      <c r="E519" s="32"/>
    </row>
    <row r="520" spans="2:5" ht="20.100000000000001" customHeight="1" x14ac:dyDescent="0.2">
      <c r="B520" s="361" t="s">
        <v>3502</v>
      </c>
      <c r="C520" s="362" t="str">
        <f>CONCATENATE(sample_mgmt_sddc_domain,"-collector-group")</f>
        <v>sfo-m01-collector-group</v>
      </c>
      <c r="D520" s="337" t="str">
        <f>CONCATENATE(mgmt_sddc_domain,"-collector-group")</f>
        <v>vcf-lab-mgmt01-collector-group</v>
      </c>
      <c r="E520" s="32"/>
    </row>
    <row r="521" spans="2:5" ht="15.95" customHeight="1" x14ac:dyDescent="0.2"/>
    <row r="522" spans="2:5" ht="33.950000000000003" customHeight="1" x14ac:dyDescent="0.2">
      <c r="B522" s="553" t="s">
        <v>3506</v>
      </c>
      <c r="C522" s="553"/>
      <c r="D522" s="553"/>
      <c r="E522" s="553"/>
    </row>
    <row r="523" spans="2:5" ht="20.100000000000001" customHeight="1" x14ac:dyDescent="0.2">
      <c r="B523" s="557"/>
      <c r="C523" s="557"/>
      <c r="D523" s="557"/>
      <c r="E523" s="557"/>
    </row>
    <row r="524" spans="2:5" ht="20.100000000000001" customHeight="1" x14ac:dyDescent="0.2">
      <c r="B524" s="307" t="s">
        <v>37</v>
      </c>
      <c r="C524" s="308" t="s">
        <v>276</v>
      </c>
      <c r="D524" s="308" t="s">
        <v>277</v>
      </c>
      <c r="E524" s="308" t="s">
        <v>5</v>
      </c>
    </row>
    <row r="525" spans="2:5" ht="20.100000000000001" customHeight="1" x14ac:dyDescent="0.2">
      <c r="B525" s="4" t="s">
        <v>3492</v>
      </c>
      <c r="C525" s="362" t="str">
        <f>sample_vvs_dr_flt_ops_nodea_fqdn</f>
        <v>flt-ops01a.rainpole.io</v>
      </c>
      <c r="D525" s="337" t="str">
        <f>vvs_dr_flt_ops_nodea_fqdn</f>
        <v>Value Missing</v>
      </c>
      <c r="E525" s="32"/>
    </row>
    <row r="526" spans="2:5" ht="15.95" customHeight="1" x14ac:dyDescent="0.2">
      <c r="B526" s="2" t="s">
        <v>1413</v>
      </c>
    </row>
    <row r="527" spans="2:5" ht="33.950000000000003" customHeight="1" x14ac:dyDescent="0.2">
      <c r="B527" s="505" t="s">
        <v>3507</v>
      </c>
      <c r="C527" s="506"/>
      <c r="D527" s="506"/>
      <c r="E527" s="507"/>
    </row>
    <row r="528" spans="2:5" ht="20.100000000000001" customHeight="1" x14ac:dyDescent="0.2">
      <c r="B528" s="557"/>
      <c r="C528" s="557"/>
      <c r="D528" s="557"/>
      <c r="E528" s="557"/>
    </row>
    <row r="529" spans="2:5" ht="20.100000000000001" customHeight="1" x14ac:dyDescent="0.2">
      <c r="B529" s="307" t="s">
        <v>37</v>
      </c>
      <c r="C529" s="308" t="s">
        <v>276</v>
      </c>
      <c r="D529" s="308" t="s">
        <v>277</v>
      </c>
      <c r="E529" s="308" t="s">
        <v>5</v>
      </c>
    </row>
    <row r="530" spans="2:5" ht="20.100000000000001" customHeight="1" x14ac:dyDescent="0.2">
      <c r="B530" s="4" t="s">
        <v>3366</v>
      </c>
      <c r="C530" s="362" t="str">
        <f>sample_vvs_mgmt_dr_vlr_fqdn</f>
        <v>sfo-m01-vlr01.sfo.rainpole.io</v>
      </c>
      <c r="D530" s="337" t="str">
        <f>vvs_mgmt_dr_vlr_fqdn</f>
        <v>Value Missing</v>
      </c>
      <c r="E530" s="32"/>
    </row>
    <row r="531" spans="2:5" ht="20.100000000000001" customHeight="1" x14ac:dyDescent="0.2">
      <c r="B531" s="4" t="s">
        <v>3508</v>
      </c>
      <c r="C531" s="362" t="str">
        <f>sample_xreg_vrops_virtual_fqdn</f>
        <v>flt-ops01.rainpole.io</v>
      </c>
      <c r="D531" s="347"/>
      <c r="E531" s="32"/>
    </row>
    <row r="532" spans="2:5" ht="20.100000000000001" customHeight="1" x14ac:dyDescent="0.2">
      <c r="B532" s="4" t="s">
        <v>3509</v>
      </c>
      <c r="C532" s="362" t="s">
        <v>3510</v>
      </c>
      <c r="D532" s="347"/>
      <c r="E532" s="32"/>
    </row>
    <row r="533" spans="2:5" ht="20.100000000000001" customHeight="1" x14ac:dyDescent="0.2">
      <c r="B533" s="4" t="s">
        <v>3511</v>
      </c>
      <c r="C533" s="362" t="s">
        <v>3512</v>
      </c>
      <c r="D533" s="347"/>
      <c r="E533" s="32"/>
    </row>
    <row r="534" spans="2:5" ht="15.95" customHeight="1" x14ac:dyDescent="0.2"/>
    <row r="535" spans="2:5" ht="20.100000000000001" customHeight="1" x14ac:dyDescent="0.2"/>
    <row r="536" spans="2:5" ht="20.100000000000001" customHeight="1" x14ac:dyDescent="0.2"/>
    <row r="537" spans="2:5" ht="20.100000000000001" customHeight="1" x14ac:dyDescent="0.2"/>
    <row r="538" spans="2:5" ht="20.100000000000001" customHeight="1" x14ac:dyDescent="0.2"/>
    <row r="539" spans="2:5" ht="20.100000000000001" customHeight="1" x14ac:dyDescent="0.2"/>
    <row r="540" spans="2:5" ht="20.100000000000001" customHeight="1" x14ac:dyDescent="0.2"/>
    <row r="541" spans="2:5" ht="20.100000000000001" customHeight="1" x14ac:dyDescent="0.2"/>
    <row r="542" spans="2:5" ht="20.100000000000001" customHeight="1" x14ac:dyDescent="0.2"/>
    <row r="544" spans="2:5" ht="33.950000000000003" customHeight="1" x14ac:dyDescent="0.2"/>
    <row r="545" ht="20.100000000000001" customHeight="1" x14ac:dyDescent="0.2"/>
    <row r="546" ht="20.100000000000001" customHeight="1" x14ac:dyDescent="0.2"/>
    <row r="547" ht="20.100000000000001" customHeight="1" x14ac:dyDescent="0.2"/>
    <row r="548" ht="20.100000000000001" customHeight="1" x14ac:dyDescent="0.2"/>
    <row r="549" ht="20.100000000000001" customHeight="1" x14ac:dyDescent="0.2"/>
    <row r="550" ht="20.100000000000001" customHeight="1" x14ac:dyDescent="0.2"/>
    <row r="551" ht="20.100000000000001" customHeight="1" x14ac:dyDescent="0.2"/>
  </sheetData>
  <sheetProtection algorithmName="SHA-512" hashValue="t4+C/CYPUD7CyyXCFQoFlKBR5mxRF3K75WaYwMJB9yrFk/49JrghzJwJyj0vLJQ7bw9mSC6jzi9r7PC7T37Dcg==" saltValue="LVOMa7k9Qdo4vmENvGWvTA==" spinCount="100000" sheet="1" selectLockedCells="1"/>
  <mergeCells count="107">
    <mergeCell ref="B11:E11"/>
    <mergeCell ref="B26:E26"/>
    <mergeCell ref="B43:E43"/>
    <mergeCell ref="B19:E19"/>
    <mergeCell ref="B116:E116"/>
    <mergeCell ref="B16:E16"/>
    <mergeCell ref="B25:E25"/>
    <mergeCell ref="B14:E14"/>
    <mergeCell ref="B29:E29"/>
    <mergeCell ref="B31:E31"/>
    <mergeCell ref="B79:E79"/>
    <mergeCell ref="B87:E87"/>
    <mergeCell ref="B56:E56"/>
    <mergeCell ref="B49:E49"/>
    <mergeCell ref="B57:E57"/>
    <mergeCell ref="B65:E65"/>
    <mergeCell ref="B73:E73"/>
    <mergeCell ref="B80:E80"/>
    <mergeCell ref="B420:E420"/>
    <mergeCell ref="B367:E367"/>
    <mergeCell ref="B369:E369"/>
    <mergeCell ref="B373:E373"/>
    <mergeCell ref="B378:E378"/>
    <mergeCell ref="B384:E384"/>
    <mergeCell ref="B394:E394"/>
    <mergeCell ref="B395:E395"/>
    <mergeCell ref="B398:E398"/>
    <mergeCell ref="B403:E403"/>
    <mergeCell ref="B409:E409"/>
    <mergeCell ref="B370:E370"/>
    <mergeCell ref="B354:E354"/>
    <mergeCell ref="B286:E286"/>
    <mergeCell ref="B296:E296"/>
    <mergeCell ref="B311:E311"/>
    <mergeCell ref="B359:E359"/>
    <mergeCell ref="B349:E349"/>
    <mergeCell ref="B321:E321"/>
    <mergeCell ref="B339:E339"/>
    <mergeCell ref="B285:E285"/>
    <mergeCell ref="B295:E295"/>
    <mergeCell ref="B310:E310"/>
    <mergeCell ref="B223:E223"/>
    <mergeCell ref="B231:E231"/>
    <mergeCell ref="B243:E243"/>
    <mergeCell ref="B88:E88"/>
    <mergeCell ref="B97:E97"/>
    <mergeCell ref="B213:E213"/>
    <mergeCell ref="B210:E210"/>
    <mergeCell ref="B129:E129"/>
    <mergeCell ref="B192:E192"/>
    <mergeCell ref="B144:E144"/>
    <mergeCell ref="B222:E222"/>
    <mergeCell ref="B165:E165"/>
    <mergeCell ref="B156:E156"/>
    <mergeCell ref="B137:E137"/>
    <mergeCell ref="B145:E145"/>
    <mergeCell ref="B157:E157"/>
    <mergeCell ref="B166:E166"/>
    <mergeCell ref="B232:E232"/>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259:E259"/>
    <mergeCell ref="B270:E270"/>
    <mergeCell ref="B260:E260"/>
    <mergeCell ref="B271:E271"/>
    <mergeCell ref="B117:E117"/>
    <mergeCell ref="B130:E130"/>
    <mergeCell ref="B138:E138"/>
    <mergeCell ref="B212:E212"/>
    <mergeCell ref="B244:E244"/>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471:E471"/>
    <mergeCell ref="B449:E449"/>
    <mergeCell ref="B454:E454"/>
    <mergeCell ref="B460:E460"/>
    <mergeCell ref="B445:E445"/>
  </mergeCells>
  <conditionalFormatting sqref="C385:C386">
    <cfRule type="expression" dxfId="2511" priority="22">
      <formula>OR((private_cloud_result="Excluded"),(private_cloud_chosen="Connect Instance"))</formula>
    </cfRule>
  </conditionalFormatting>
  <conditionalFormatting sqref="C388:C390">
    <cfRule type="expression" dxfId="2510" priority="20">
      <formula>OR((private_cloud_result="Excluded"),(private_cloud_chosen="Connect Instance"))</formula>
    </cfRule>
  </conditionalFormatting>
  <conditionalFormatting sqref="C410:C411">
    <cfRule type="expression" dxfId="2509" priority="25">
      <formula>OR((private_cloud_result="Excluded"),(private_cloud_chosen="Connect Instance"))</formula>
    </cfRule>
  </conditionalFormatting>
  <conditionalFormatting sqref="C413:C415">
    <cfRule type="expression" dxfId="2508" priority="23">
      <formula>OR((private_cloud_result="Excluded"),(private_cloud_chosen="Connect Instance"))</formula>
    </cfRule>
  </conditionalFormatting>
  <conditionalFormatting sqref="C417">
    <cfRule type="expression" dxfId="2507" priority="24">
      <formula>OR((private_cloud_result="Excluded"),(private_cloud_chosen="Connect Instance"))</formula>
    </cfRule>
  </conditionalFormatting>
  <conditionalFormatting sqref="C436:C437">
    <cfRule type="expression" dxfId="2506" priority="19">
      <formula>OR((private_cloud_result="Excluded"),(private_cloud_chosen="Connect Instance"))</formula>
    </cfRule>
  </conditionalFormatting>
  <conditionalFormatting sqref="C439:C441">
    <cfRule type="expression" dxfId="2505" priority="17">
      <formula>OR((private_cloud_result="Excluded"),(private_cloud_chosen="Connect Instance"))</formula>
    </cfRule>
  </conditionalFormatting>
  <conditionalFormatting sqref="C461:C462">
    <cfRule type="expression" dxfId="2504" priority="16">
      <formula>OR((private_cloud_result="Excluded"),(private_cloud_chosen="Connect Instance"))</formula>
    </cfRule>
  </conditionalFormatting>
  <conditionalFormatting sqref="C464:C466">
    <cfRule type="expression" dxfId="2503" priority="14">
      <formula>OR((private_cloud_result="Excluded"),(private_cloud_chosen="Connect Instance"))</formula>
    </cfRule>
  </conditionalFormatting>
  <conditionalFormatting sqref="C468">
    <cfRule type="expression" dxfId="2502"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2501"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2500" priority="13">
      <formula>LEN(TRIM(D13))=0</formula>
    </cfRule>
    <cfRule type="notContainsBlanks" dxfId="2499" priority="26">
      <formula>LEN(TRIM(D13))&gt;0</formula>
    </cfRule>
  </conditionalFormatting>
  <conditionalFormatting sqref="D15">
    <cfRule type="containsBlanks" dxfId="2498" priority="6">
      <formula>LEN(TRIM(D15))=0</formula>
    </cfRule>
    <cfRule type="notContainsBlanks" dxfId="2497" priority="7">
      <formula>LEN(TRIM(D15))&gt;0</formula>
    </cfRule>
  </conditionalFormatting>
  <conditionalFormatting sqref="D28">
    <cfRule type="containsBlanks" dxfId="2496" priority="9">
      <formula>LEN(TRIM(D28))=0</formula>
    </cfRule>
    <cfRule type="notContainsBlanks" dxfId="2495" priority="10">
      <formula>LEN(TRIM(D28))&gt;0</formula>
    </cfRule>
  </conditionalFormatting>
  <conditionalFormatting sqref="D360:D365 D372 D374:D377 D379:D383 D385:D392 D397 D399:D402 D404:D408 D410:D418 D423 D425:D428 D430:D434 D436:D443 D448 D450:D453 D455:D459 D461:D469">
    <cfRule type="expression" dxfId="2494" priority="3">
      <formula>mgmt_domain_chosen="First Instance"</formula>
    </cfRule>
  </conditionalFormatting>
  <conditionalFormatting sqref="D496:D497">
    <cfRule type="expression" dxfId="2493" priority="2">
      <formula>mgmt_domain_chosen="Additional Instance"</formula>
    </cfRule>
  </conditionalFormatting>
  <conditionalFormatting sqref="D525">
    <cfRule type="expression" dxfId="2492" priority="1">
      <formula>mgmt_domain_chosen="Additional Instance"</formula>
    </cfRule>
  </conditionalFormatting>
  <hyperlinks>
    <hyperlink ref="B5" location="'Site Protection &amp; DR'!navigation_site_protection_mgmt" display="Management Domain" xr:uid="{00000000-0004-0000-1000-000000000000}"/>
    <hyperlink ref="C5" location="'Site Protection &amp; DR'!navigation_site_protection_solution_interop" display="Solution Interoperability" xr:uid="{00000000-0004-0000-10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defaultColWidth="10.875" defaultRowHeight="15" x14ac:dyDescent="0.2"/>
  <cols>
    <col min="1" max="1" width="2.875" style="8" customWidth="1"/>
    <col min="2" max="2" width="75.875" style="8" customWidth="1"/>
    <col min="3" max="4" width="75.875" style="2" customWidth="1"/>
    <col min="5" max="5" width="100.875" style="2" customWidth="1"/>
    <col min="6" max="9" width="10.875" style="8" customWidth="1"/>
    <col min="10" max="16384" width="10.875" style="8"/>
  </cols>
  <sheetData>
    <row r="1" spans="1:5" x14ac:dyDescent="0.2">
      <c r="A1" s="118"/>
    </row>
    <row r="2" spans="1:5" ht="54" customHeight="1" x14ac:dyDescent="0.2">
      <c r="A2" s="121"/>
      <c r="B2" s="521" t="s">
        <v>3513</v>
      </c>
      <c r="C2" s="521"/>
      <c r="D2" s="521"/>
      <c r="E2" s="521"/>
    </row>
    <row r="3" spans="1:5" s="19" customFormat="1" ht="20.100000000000001" customHeight="1" x14ac:dyDescent="0.2">
      <c r="A3" s="42"/>
      <c r="B3" s="522" t="s">
        <v>502</v>
      </c>
      <c r="C3" s="522"/>
      <c r="D3" s="522"/>
      <c r="E3" s="522"/>
    </row>
    <row r="6" spans="1:5" ht="32.1" customHeight="1" x14ac:dyDescent="0.2">
      <c r="B6" s="511" t="s">
        <v>3514</v>
      </c>
      <c r="C6" s="512"/>
      <c r="D6" s="512"/>
      <c r="E6" s="513"/>
    </row>
    <row r="7" spans="1:5" ht="20.100000000000001" customHeight="1" x14ac:dyDescent="0.2">
      <c r="B7" s="514"/>
      <c r="C7" s="515"/>
      <c r="D7" s="515"/>
      <c r="E7" s="516"/>
    </row>
    <row r="8" spans="1:5" ht="20.100000000000001" customHeight="1" x14ac:dyDescent="0.2">
      <c r="B8" s="346" t="s">
        <v>37</v>
      </c>
      <c r="C8" s="346" t="s">
        <v>276</v>
      </c>
      <c r="D8" s="346" t="s">
        <v>277</v>
      </c>
      <c r="E8" s="346" t="s">
        <v>5</v>
      </c>
    </row>
    <row r="9" spans="1:5" ht="20.100000000000001" customHeight="1" x14ac:dyDescent="0.2">
      <c r="B9" s="4" t="s">
        <v>3254</v>
      </c>
      <c r="C9" s="362" t="str">
        <f>CONCATENATE(this_instance,"-m01-vc01.",sample_child_dns_zone)</f>
        <v>sfo-m01-vc01.sfo.rainpole.io</v>
      </c>
      <c r="D9" s="347"/>
      <c r="E9" s="337"/>
    </row>
    <row r="10" spans="1:5" ht="20.100000000000001" customHeight="1" x14ac:dyDescent="0.2">
      <c r="B10" s="4" t="s">
        <v>1165</v>
      </c>
      <c r="C10" s="362" t="str">
        <f>sample_mgmt_cl01_cluster</f>
        <v>sfo-m01-cl01</v>
      </c>
      <c r="D10" s="347"/>
      <c r="E10" s="337"/>
    </row>
    <row r="11" spans="1:5" ht="20.100000000000001" customHeight="1" x14ac:dyDescent="0.2">
      <c r="B11" s="4" t="s">
        <v>3189</v>
      </c>
      <c r="C11" s="142" t="str">
        <f>CONCATENATE(this_instance,"-w01-vlr01")</f>
        <v>sfo-w01-vlr01</v>
      </c>
      <c r="D11" s="347"/>
      <c r="E11" s="337"/>
    </row>
    <row r="12" spans="1:5" ht="20.100000000000001" customHeight="1" x14ac:dyDescent="0.2">
      <c r="B12" s="4" t="s">
        <v>3191</v>
      </c>
      <c r="C12" s="362" t="str">
        <f>sample_mgmt_cl01_cluster</f>
        <v>sfo-m01-cl01</v>
      </c>
      <c r="D12" s="347"/>
      <c r="E12" s="337"/>
    </row>
    <row r="13" spans="1:5" ht="20.100000000000001" customHeight="1" x14ac:dyDescent="0.2">
      <c r="B13" s="4" t="s">
        <v>587</v>
      </c>
      <c r="C13" s="362" t="str">
        <f>sample_mgmt_cl01_vsan_datastore</f>
        <v>sfo-m01-cl01-ds-vsan01</v>
      </c>
      <c r="D13" s="347"/>
      <c r="E13" s="337"/>
    </row>
    <row r="14" spans="1:5" ht="20.100000000000001" customHeight="1" x14ac:dyDescent="0.2">
      <c r="B14" s="4" t="s">
        <v>3192</v>
      </c>
      <c r="C14" s="362" t="str">
        <f>sample_mgmt_cl01_az1_mgmt_vm_pg</f>
        <v>sfo-m01-cl01-vds01-pg-vm-mgmt</v>
      </c>
      <c r="D14" s="347"/>
      <c r="E14" s="337"/>
    </row>
    <row r="15" spans="1:5" ht="20.100000000000001" customHeight="1" x14ac:dyDescent="0.2">
      <c r="B15" s="4" t="s">
        <v>749</v>
      </c>
      <c r="C15" s="362" t="str">
        <f>CONCATENATE(this_instance,"-w01-vlr01",".",sample_child_dns_zone)</f>
        <v>sfo-w01-vlr01.sfo.rainpole.io</v>
      </c>
      <c r="D15" s="337" t="str">
        <f>wld_vlr_fqdn</f>
        <v>Value Missing.Value Missing</v>
      </c>
      <c r="E15" s="337"/>
    </row>
    <row r="16" spans="1:5" ht="20.100000000000001" customHeight="1" x14ac:dyDescent="0.2">
      <c r="B16" s="4" t="s">
        <v>3515</v>
      </c>
      <c r="C16" s="362" t="s">
        <v>297</v>
      </c>
      <c r="D16" s="347"/>
      <c r="E16" s="337"/>
    </row>
    <row r="17" spans="2:5" ht="20.100000000000001" customHeight="1" x14ac:dyDescent="0.2">
      <c r="B17" s="4" t="s">
        <v>3516</v>
      </c>
      <c r="C17" s="362" t="s">
        <v>297</v>
      </c>
      <c r="D17" s="347"/>
      <c r="E17" s="337"/>
    </row>
    <row r="18" spans="2:5" ht="20.100000000000001" customHeight="1" x14ac:dyDescent="0.2">
      <c r="B18" s="4" t="s">
        <v>746</v>
      </c>
      <c r="C18" s="362" t="str">
        <f>sample_region_ntp1_server</f>
        <v>ntp0.sfo.rainpole.io</v>
      </c>
      <c r="D18" s="347"/>
      <c r="E18" s="337"/>
    </row>
    <row r="19" spans="2:5" ht="20.100000000000001" customHeight="1" x14ac:dyDescent="0.2">
      <c r="B19" s="4" t="s">
        <v>708</v>
      </c>
      <c r="C19" s="362" t="str">
        <f>sample_mgmt_az1_mgmt_vm_gateway_ip</f>
        <v>10.11.10.1</v>
      </c>
      <c r="D19" s="347"/>
      <c r="E19" s="337"/>
    </row>
    <row r="20" spans="2:5" ht="20.100000000000001" customHeight="1" x14ac:dyDescent="0.2">
      <c r="B20" s="4" t="s">
        <v>354</v>
      </c>
      <c r="C20" s="362" t="str">
        <f>CONCATENATE(this_instance,".rainpole.io")</f>
        <v>sfo.rainpole.io</v>
      </c>
      <c r="D20" s="347"/>
      <c r="E20" s="337"/>
    </row>
    <row r="21" spans="2:5" ht="20.100000000000001" customHeight="1" x14ac:dyDescent="0.2">
      <c r="B21" s="4" t="s">
        <v>1042</v>
      </c>
      <c r="C21" s="362" t="str">
        <f>sample_rwr_child_dns_zone</f>
        <v>sfo.rainpole.io</v>
      </c>
      <c r="D21" s="337" t="str">
        <f>rwr_child_dns_zone</f>
        <v>Value Missing</v>
      </c>
      <c r="E21" s="337"/>
    </row>
    <row r="22" spans="2:5" ht="20.100000000000001" customHeight="1" x14ac:dyDescent="0.2">
      <c r="B22" s="4" t="s">
        <v>3196</v>
      </c>
      <c r="C22" s="362" t="str">
        <f>CONCATENATE(sample_region_dns1_ip,",",sample_region_dns2_ip)</f>
        <v>10.11.10.4,10.11.10.5</v>
      </c>
      <c r="D22" s="347"/>
      <c r="E22" s="337"/>
    </row>
    <row r="23" spans="2:5" ht="20.100000000000001" customHeight="1" x14ac:dyDescent="0.2">
      <c r="B23" s="4" t="s">
        <v>3197</v>
      </c>
      <c r="C23" s="142" t="str">
        <f>IF(mgmt_dpg_reuse_result="Included",CONCATENATE(prefix_mgmt_az1_cidr,"10.127"),CONCATENATE(prefix_mgmt_az1_cidr,"11.127"))</f>
        <v>10.11.10.127</v>
      </c>
      <c r="D23" s="347"/>
      <c r="E23" s="337"/>
    </row>
    <row r="24" spans="2:5" ht="20.100000000000001" customHeight="1" x14ac:dyDescent="0.2">
      <c r="B24" s="4" t="s">
        <v>3517</v>
      </c>
      <c r="C24" s="362">
        <v>24</v>
      </c>
      <c r="D24" s="347"/>
      <c r="E24" s="337"/>
    </row>
    <row r="26" spans="2:5" ht="32.1" customHeight="1" x14ac:dyDescent="0.2">
      <c r="B26" s="511" t="s">
        <v>3518</v>
      </c>
      <c r="C26" s="512"/>
      <c r="D26" s="512"/>
      <c r="E26" s="513"/>
    </row>
    <row r="27" spans="2:5" ht="20.100000000000001" customHeight="1" x14ac:dyDescent="0.2">
      <c r="B27" s="514"/>
      <c r="C27" s="515"/>
      <c r="D27" s="515"/>
      <c r="E27" s="516"/>
    </row>
    <row r="28" spans="2:5" ht="20.100000000000001" customHeight="1" x14ac:dyDescent="0.2">
      <c r="B28" s="346" t="s">
        <v>37</v>
      </c>
      <c r="C28" s="346" t="s">
        <v>276</v>
      </c>
      <c r="D28" s="346" t="s">
        <v>277</v>
      </c>
      <c r="E28" s="346" t="s">
        <v>5</v>
      </c>
    </row>
    <row r="29" spans="2:5" ht="20.100000000000001" customHeight="1" x14ac:dyDescent="0.2">
      <c r="B29" s="4" t="s">
        <v>3366</v>
      </c>
      <c r="C29" s="362" t="str">
        <f>CONCATENATE(sample_wld_vlr_fqdn,":5480")</f>
        <v>sfo-w01-vlr01.sfo.rainpole.io:5480</v>
      </c>
      <c r="D29" s="337" t="str">
        <f>CONCATENATE(wld_vlr_fqdn,":5480")</f>
        <v>Value Missing.Value Missing:5480</v>
      </c>
      <c r="E29" s="337"/>
    </row>
    <row r="30" spans="2:5" ht="20.100000000000001" customHeight="1" x14ac:dyDescent="0.2">
      <c r="B30" s="4" t="s">
        <v>546</v>
      </c>
      <c r="C30" s="362" t="s">
        <v>74</v>
      </c>
      <c r="D30" s="347"/>
      <c r="E30" s="337"/>
    </row>
    <row r="31" spans="2:5" ht="20.100000000000001" customHeight="1" x14ac:dyDescent="0.2">
      <c r="B31" s="4" t="s">
        <v>3355</v>
      </c>
      <c r="C31" s="362" t="s">
        <v>548</v>
      </c>
      <c r="D31" s="347"/>
      <c r="E31" s="337"/>
    </row>
    <row r="32" spans="2:5" ht="20.100000000000001" customHeight="1" x14ac:dyDescent="0.2">
      <c r="B32" s="4" t="s">
        <v>553</v>
      </c>
      <c r="C32" s="362" t="str">
        <f>IF(mgmt_domain_chosen="First Instance","San Francisco","Los Angeles ")</f>
        <v>San Francisco</v>
      </c>
      <c r="D32" s="347"/>
      <c r="E32" s="337"/>
    </row>
    <row r="33" spans="2:5" ht="20.100000000000001" customHeight="1" x14ac:dyDescent="0.2">
      <c r="B33" s="4" t="s">
        <v>551</v>
      </c>
      <c r="C33" s="142" t="s">
        <v>552</v>
      </c>
      <c r="D33" s="347"/>
      <c r="E33" s="337"/>
    </row>
    <row r="34" spans="2:5" ht="20.100000000000001" customHeight="1" x14ac:dyDescent="0.2">
      <c r="B34" s="4" t="s">
        <v>549</v>
      </c>
      <c r="C34" s="362" t="s">
        <v>550</v>
      </c>
      <c r="D34" s="347"/>
      <c r="E34" s="337"/>
    </row>
    <row r="35" spans="2:5" ht="20.100000000000001" customHeight="1" x14ac:dyDescent="0.2">
      <c r="B35" s="4" t="s">
        <v>527</v>
      </c>
      <c r="C35" s="362" t="str">
        <f>sample_wld_vlr_fqdn</f>
        <v>sfo-w01-vlr01.sfo.rainpole.io</v>
      </c>
      <c r="D35" s="347"/>
      <c r="E35" s="337"/>
    </row>
    <row r="36" spans="2:5" ht="20.100000000000001" customHeight="1" x14ac:dyDescent="0.2">
      <c r="B36" s="4" t="s">
        <v>3356</v>
      </c>
      <c r="C36" s="362" t="str">
        <f>sample_wld_vlr_mgmt_ip</f>
        <v>10.11.10.127</v>
      </c>
      <c r="D36" s="347"/>
      <c r="E36" s="337"/>
    </row>
    <row r="37" spans="2:5" ht="20.100000000000001" customHeight="1" x14ac:dyDescent="0.2">
      <c r="B37" s="4" t="s">
        <v>3357</v>
      </c>
      <c r="C37" s="362" t="s">
        <v>3358</v>
      </c>
      <c r="D37" s="347"/>
      <c r="E37" s="337"/>
    </row>
    <row r="39" spans="2:5" ht="32.1" customHeight="1" x14ac:dyDescent="0.2">
      <c r="B39" s="511" t="s">
        <v>3519</v>
      </c>
      <c r="C39" s="512"/>
      <c r="D39" s="512"/>
      <c r="E39" s="513"/>
    </row>
    <row r="40" spans="2:5" ht="20.100000000000001" customHeight="1" x14ac:dyDescent="0.2">
      <c r="B40" s="514"/>
      <c r="C40" s="515"/>
      <c r="D40" s="515"/>
      <c r="E40" s="516"/>
    </row>
    <row r="41" spans="2:5" ht="20.100000000000001" customHeight="1" x14ac:dyDescent="0.2">
      <c r="B41" s="346" t="s">
        <v>37</v>
      </c>
      <c r="C41" s="346" t="s">
        <v>276</v>
      </c>
      <c r="D41" s="346" t="s">
        <v>277</v>
      </c>
      <c r="E41" s="346" t="s">
        <v>5</v>
      </c>
    </row>
    <row r="42" spans="2:5" ht="20.100000000000001" customHeight="1" x14ac:dyDescent="0.2">
      <c r="B42" s="4" t="s">
        <v>3360</v>
      </c>
      <c r="C42" s="362" t="str">
        <f>CONCATENATE(this_instance,"-w01-vc01.",sample_child_dns_zone)</f>
        <v>sfo-w01-vc01.sfo.rainpole.io</v>
      </c>
      <c r="D42" s="347"/>
      <c r="E42" s="337"/>
    </row>
    <row r="43" spans="2:5" ht="20.100000000000001" customHeight="1" x14ac:dyDescent="0.2">
      <c r="B43" s="4" t="s">
        <v>202</v>
      </c>
      <c r="C43" s="362" t="str">
        <f>CONCATENATE(this_instance,"-w0",wld_domain_number_chosen,".local")</f>
        <v>sfo-w01.local</v>
      </c>
      <c r="D43" s="347"/>
      <c r="E43" s="337"/>
    </row>
    <row r="44" spans="2:5" ht="20.100000000000001" customHeight="1" x14ac:dyDescent="0.2">
      <c r="B44" s="4" t="s">
        <v>3361</v>
      </c>
      <c r="C44" s="362" t="str">
        <f>CONCATENATE("svc_",sample_wld_vlr_hostname,"_",CONCATENATE(this_instance,"-w01","-vc01"))</f>
        <v>svc_sfo-w01-vlr01_sfo-w01-vc01</v>
      </c>
      <c r="D44" s="347"/>
      <c r="E44" s="337"/>
    </row>
    <row r="45" spans="2:5" ht="20.100000000000001" customHeight="1" x14ac:dyDescent="0.2">
      <c r="B45" s="4" t="s">
        <v>3362</v>
      </c>
      <c r="C45" s="362" t="s">
        <v>297</v>
      </c>
      <c r="D45" s="347"/>
      <c r="E45" s="337"/>
    </row>
    <row r="47" spans="2:5" ht="32.1" customHeight="1" x14ac:dyDescent="0.2">
      <c r="B47" s="511" t="s">
        <v>3520</v>
      </c>
      <c r="C47" s="512"/>
      <c r="D47" s="512"/>
      <c r="E47" s="513"/>
    </row>
    <row r="48" spans="2:5" ht="20.100000000000001" customHeight="1" x14ac:dyDescent="0.2">
      <c r="B48" s="514"/>
      <c r="C48" s="515"/>
      <c r="D48" s="515"/>
      <c r="E48" s="516"/>
    </row>
    <row r="49" spans="2:5" ht="20.100000000000001" customHeight="1" x14ac:dyDescent="0.2">
      <c r="B49" s="346" t="s">
        <v>37</v>
      </c>
      <c r="C49" s="346" t="s">
        <v>276</v>
      </c>
      <c r="D49" s="346" t="s">
        <v>277</v>
      </c>
      <c r="E49" s="346" t="s">
        <v>5</v>
      </c>
    </row>
    <row r="50" spans="2:5" ht="20.100000000000001" customHeight="1" x14ac:dyDescent="0.25">
      <c r="B50" s="128" t="s">
        <v>3360</v>
      </c>
      <c r="C50" s="362" t="str">
        <f>sample_wld_rwr_vc_fqdn</f>
        <v>sfo-w01-vc01.sfo.rainpole.io</v>
      </c>
      <c r="D50" s="337" t="str">
        <f>wld_rwr_vc_fqdn</f>
        <v>Value Missing</v>
      </c>
      <c r="E50" s="337"/>
    </row>
    <row r="51" spans="2:5" ht="20.100000000000001" customHeight="1" x14ac:dyDescent="0.25">
      <c r="B51" s="128" t="s">
        <v>202</v>
      </c>
      <c r="C51" s="362" t="str">
        <f>sample_wld_sso_domain_name</f>
        <v>sfo-w01.local</v>
      </c>
      <c r="D51" s="337" t="str">
        <f>wld_sso_domain_name</f>
        <v>Value Missing</v>
      </c>
      <c r="E51" s="337"/>
    </row>
    <row r="52" spans="2:5" ht="20.100000000000001" customHeight="1" x14ac:dyDescent="0.25">
      <c r="B52" s="128" t="s">
        <v>529</v>
      </c>
      <c r="C52" s="362" t="str">
        <f>sample_wld_vlr_replication_user</f>
        <v>svc_sfo-w01-vlr01_sfo-w01-vc01</v>
      </c>
      <c r="D52" s="337" t="str">
        <f>wld_vlr_replication_user</f>
        <v>Value Missing</v>
      </c>
      <c r="E52" s="337"/>
    </row>
    <row r="53" spans="2:5" ht="15.75" x14ac:dyDescent="0.25">
      <c r="B53" s="301"/>
    </row>
    <row r="54" spans="2:5" ht="32.1" customHeight="1" x14ac:dyDescent="0.2">
      <c r="B54" s="511" t="s">
        <v>3521</v>
      </c>
      <c r="C54" s="512"/>
      <c r="D54" s="512"/>
      <c r="E54" s="513"/>
    </row>
    <row r="55" spans="2:5" ht="20.100000000000001" customHeight="1" x14ac:dyDescent="0.2">
      <c r="B55" s="514"/>
      <c r="C55" s="515"/>
      <c r="D55" s="515"/>
      <c r="E55" s="516"/>
    </row>
    <row r="56" spans="2:5" ht="20.100000000000001" customHeight="1" x14ac:dyDescent="0.2">
      <c r="B56" s="346" t="s">
        <v>37</v>
      </c>
      <c r="C56" s="346" t="s">
        <v>276</v>
      </c>
      <c r="D56" s="346" t="s">
        <v>277</v>
      </c>
      <c r="E56" s="346" t="s">
        <v>5</v>
      </c>
    </row>
    <row r="57" spans="2:5" ht="20.100000000000001" customHeight="1" x14ac:dyDescent="0.2">
      <c r="B57" s="4" t="s">
        <v>3366</v>
      </c>
      <c r="C57" s="362" t="str">
        <f>CONCATENATE(sample_wld_vlr_fqdn,":5480")</f>
        <v>sfo-w01-vlr01.sfo.rainpole.io:5480</v>
      </c>
      <c r="D57" s="337" t="str">
        <f>CONCATENATE(wld_vlr_fqdn,":5480")</f>
        <v>Value Missing.Value Missing:5480</v>
      </c>
      <c r="E57" s="337"/>
    </row>
    <row r="58" spans="2:5" ht="20.100000000000001" customHeight="1" x14ac:dyDescent="0.2">
      <c r="B58" s="4" t="s">
        <v>3203</v>
      </c>
      <c r="C58" s="362" t="str">
        <f>sample_wld_rwr_vc_fqdn</f>
        <v>sfo-w01-vc01.sfo.rainpole.io</v>
      </c>
      <c r="D58" s="337" t="str">
        <f>wld_rwr_vc_fqdn</f>
        <v>Value Missing</v>
      </c>
      <c r="E58" s="337"/>
    </row>
    <row r="59" spans="2:5" ht="20.100000000000001" customHeight="1" x14ac:dyDescent="0.2">
      <c r="B59" s="4" t="s">
        <v>565</v>
      </c>
      <c r="C59" s="362" t="str">
        <f>CONCATENATE(sample_wld_vlr_replication_user,"@",sample_rwr_sso_domain_name)</f>
        <v>svc_sfo-w01-vlr01_sfo-w01-vc01@sfo-w01.local</v>
      </c>
      <c r="D59" s="337" t="str">
        <f t="array" ref="D59">CONCATENATE(wld_vlr_replication_user,"@",rwr_sso_domain_name)</f>
        <v>Value Missing@Value Missing</v>
      </c>
      <c r="E59" s="337"/>
    </row>
    <row r="60" spans="2:5" ht="20.100000000000001" customHeight="1" x14ac:dyDescent="0.2">
      <c r="B60" s="4" t="s">
        <v>296</v>
      </c>
      <c r="C60" s="362" t="s">
        <v>297</v>
      </c>
      <c r="D60" s="337" t="str">
        <f>rwr_vlr_replication_password</f>
        <v>Value Missing</v>
      </c>
      <c r="E60" s="337"/>
    </row>
    <row r="61" spans="2:5" ht="20.100000000000001" customHeight="1" x14ac:dyDescent="0.2">
      <c r="B61" s="4" t="s">
        <v>2026</v>
      </c>
      <c r="C61" s="362" t="str">
        <f>sample_wld_vc_fqdn</f>
        <v>sfo-w01-vc01.sfo.rainpole.io</v>
      </c>
      <c r="D61" s="337" t="str">
        <f>wld_rwr_vc_fqdn</f>
        <v>Value Missing</v>
      </c>
      <c r="E61" s="337"/>
    </row>
    <row r="62" spans="2:5" ht="20.100000000000001" customHeight="1" x14ac:dyDescent="0.2">
      <c r="B62" s="4" t="s">
        <v>3088</v>
      </c>
      <c r="C62" s="362" t="str">
        <f>IF(mgmt_domain_chosen="First Instance","SFO-W01","LAX-W01 ")</f>
        <v>SFO-W01</v>
      </c>
      <c r="D62" s="347"/>
      <c r="E62" s="337"/>
    </row>
    <row r="63" spans="2:5" ht="20.100000000000001" customHeight="1" x14ac:dyDescent="0.2">
      <c r="B63" s="4" t="s">
        <v>3204</v>
      </c>
      <c r="C63" s="362" t="s">
        <v>3522</v>
      </c>
      <c r="D63" s="347"/>
      <c r="E63" s="337"/>
    </row>
    <row r="64" spans="2:5" ht="20.100000000000001" customHeight="1" x14ac:dyDescent="0.2">
      <c r="B64" s="4" t="s">
        <v>3205</v>
      </c>
      <c r="C64" s="362" t="str">
        <f>sample_wld_vlr_fqdn</f>
        <v>sfo-w01-vlr01.sfo.rainpole.io</v>
      </c>
      <c r="D64" s="337" t="str">
        <f>wld_vlr_fqdn</f>
        <v>Value Missing.Value Missing</v>
      </c>
      <c r="E64" s="337"/>
    </row>
    <row r="66" spans="2:5" ht="32.1" customHeight="1" x14ac:dyDescent="0.2">
      <c r="B66" s="511" t="s">
        <v>3523</v>
      </c>
      <c r="C66" s="512"/>
      <c r="D66" s="512"/>
      <c r="E66" s="513"/>
    </row>
    <row r="67" spans="2:5" ht="20.100000000000001" customHeight="1" x14ac:dyDescent="0.2">
      <c r="B67" s="514"/>
      <c r="C67" s="515"/>
      <c r="D67" s="515"/>
      <c r="E67" s="516"/>
    </row>
    <row r="68" spans="2:5" ht="20.100000000000001" customHeight="1" x14ac:dyDescent="0.2">
      <c r="B68" s="346" t="s">
        <v>37</v>
      </c>
      <c r="C68" s="346" t="s">
        <v>276</v>
      </c>
      <c r="D68" s="346" t="s">
        <v>277</v>
      </c>
      <c r="E68" s="346" t="s">
        <v>5</v>
      </c>
    </row>
    <row r="69" spans="2:5" ht="20.100000000000001" customHeight="1" x14ac:dyDescent="0.2">
      <c r="B69" s="4" t="s">
        <v>3360</v>
      </c>
      <c r="C69" s="362" t="str">
        <f>sample_wld_rwr_vc_fqdn</f>
        <v>sfo-w01-vc01.sfo.rainpole.io</v>
      </c>
      <c r="D69" s="337" t="str">
        <f>wld_rwr_vc_fqdn</f>
        <v>Value Missing</v>
      </c>
      <c r="E69" s="337"/>
    </row>
    <row r="70" spans="2:5" ht="20.100000000000001" customHeight="1" x14ac:dyDescent="0.2">
      <c r="B70" s="4" t="s">
        <v>3207</v>
      </c>
      <c r="C70" s="362" t="str">
        <f>IF(mgmt_domain_chosen="First Instance",_xlfn.CONCAT(this_instance,"-w01","-cl01","-vds01"),_xlfn.CONCAT(this_instance,"-w01","-cl01","-vds01"))</f>
        <v>sfo-w01-cl01-vds01</v>
      </c>
      <c r="D70" s="347"/>
      <c r="E70" s="337" t="str">
        <f>IF(mgmt_domain_chosen="First Instance","","vSAN Storage Cluster")</f>
        <v/>
      </c>
    </row>
    <row r="71" spans="2:5" ht="20.100000000000001" customHeight="1" x14ac:dyDescent="0.2">
      <c r="B71" s="4" t="s">
        <v>259</v>
      </c>
      <c r="C71" s="362" t="str">
        <f>CONCATENATE(sample_wld_rwr_cl02_vds01,"-pg-vrms")</f>
        <v>sfo-w01-cl01-vds01-pg-vrms</v>
      </c>
      <c r="D71" s="347"/>
      <c r="E71" s="337" t="str">
        <f>IF(mgmt_domain_chosen="First Instance","","vSAN Storage Cluster")</f>
        <v/>
      </c>
    </row>
    <row r="72" spans="2:5" ht="20.100000000000001" customHeight="1" x14ac:dyDescent="0.2">
      <c r="B72" s="4" t="s">
        <v>398</v>
      </c>
      <c r="C72" s="80" t="str">
        <f>CONCATENATE(prefix_wld_az1_vlan,"09")</f>
        <v>1309</v>
      </c>
      <c r="D72" s="347"/>
      <c r="E72" s="337"/>
    </row>
    <row r="74" spans="2:5" ht="32.1" customHeight="1" x14ac:dyDescent="0.2">
      <c r="B74" s="511" t="s">
        <v>3524</v>
      </c>
      <c r="C74" s="512"/>
      <c r="D74" s="512"/>
      <c r="E74" s="513"/>
    </row>
    <row r="75" spans="2:5" ht="20.100000000000001" customHeight="1" x14ac:dyDescent="0.2">
      <c r="B75" s="514"/>
      <c r="C75" s="515"/>
      <c r="D75" s="515"/>
      <c r="E75" s="516"/>
    </row>
    <row r="76" spans="2:5" ht="20.100000000000001" customHeight="1" x14ac:dyDescent="0.2">
      <c r="B76" s="346" t="s">
        <v>37</v>
      </c>
      <c r="C76" s="346" t="s">
        <v>276</v>
      </c>
      <c r="D76" s="346" t="s">
        <v>277</v>
      </c>
      <c r="E76" s="346" t="s">
        <v>5</v>
      </c>
    </row>
    <row r="77" spans="2:5" ht="20.100000000000001" customHeight="1" x14ac:dyDescent="0.2">
      <c r="B77" s="4" t="s">
        <v>3360</v>
      </c>
      <c r="C77" s="362" t="str">
        <f>sample_wld_rwr_vc_fqdn</f>
        <v>sfo-w01-vc01.sfo.rainpole.io</v>
      </c>
      <c r="D77" s="337" t="str">
        <f>wld_rwr_vc_fqdn</f>
        <v>Value Missing</v>
      </c>
      <c r="E77" s="337"/>
    </row>
    <row r="78" spans="2:5" ht="20.100000000000001" customHeight="1" x14ac:dyDescent="0.2">
      <c r="B78" s="4" t="s">
        <v>1165</v>
      </c>
      <c r="C78" s="362" t="str">
        <f>IF(mgmt_domain_chosen="First Instance",sample_wld_cl01_cluster,_xlfn.CONCAT(this_instance,"-w01","-cl01"))</f>
        <v>sfo-w01-cl01</v>
      </c>
      <c r="D78" s="347"/>
      <c r="E78" s="337" t="str">
        <f>IF(mgmt_domain_chosen="First Instance","","vSAN Storage Cluster")</f>
        <v/>
      </c>
    </row>
    <row r="79" spans="2:5" ht="20.100000000000001" customHeight="1" x14ac:dyDescent="0.2">
      <c r="B79" s="4" t="s">
        <v>1040</v>
      </c>
      <c r="C79" s="362" t="str">
        <f>IF(mgmt_domain_chosen="First Domain",sample_wld_vrms_pg,_xlfn.CONCAT(this_instance,"-w01","-cl01","-vds01-pg-vrms"))</f>
        <v>sfo-w01-cl01-vds01-pg-vrms</v>
      </c>
      <c r="D79" s="337" t="str">
        <f>rwr_vrms_pg</f>
        <v>Value Missing</v>
      </c>
      <c r="E79" s="337"/>
    </row>
    <row r="80" spans="2:5" ht="20.100000000000001" customHeight="1" x14ac:dyDescent="0.2">
      <c r="B80" s="4" t="s">
        <v>3525</v>
      </c>
      <c r="C80" s="362" t="str">
        <f>sample_wld_az1_host1_fqdn</f>
        <v>sfo01-w01-r01-esx01.sfo.rainpole.io</v>
      </c>
      <c r="D80" s="347"/>
      <c r="E80" s="337"/>
    </row>
    <row r="81" spans="2:5" ht="20.100000000000001" customHeight="1" x14ac:dyDescent="0.2">
      <c r="B81" s="4" t="s">
        <v>3526</v>
      </c>
      <c r="C81" s="362" t="str">
        <f>sample_wld_az1_host1_vrms_ip</f>
        <v>10.13.9.101</v>
      </c>
      <c r="D81" s="347"/>
      <c r="E81" s="337"/>
    </row>
    <row r="82" spans="2:5" ht="20.100000000000001" customHeight="1" x14ac:dyDescent="0.2">
      <c r="B82" s="4" t="s">
        <v>3527</v>
      </c>
      <c r="C82" s="362" t="s">
        <v>612</v>
      </c>
      <c r="D82" s="347"/>
      <c r="E82" s="337"/>
    </row>
    <row r="83" spans="2:5" ht="20.100000000000001" customHeight="1" x14ac:dyDescent="0.2">
      <c r="B83" s="4" t="s">
        <v>3528</v>
      </c>
      <c r="C83" s="362" t="str">
        <f>sample_wld_az1_host2_fqdn</f>
        <v>sfo01-w01-r01-esx02.sfo.rainpole.io</v>
      </c>
      <c r="D83" s="347"/>
      <c r="E83" s="337"/>
    </row>
    <row r="84" spans="2:5" ht="20.100000000000001" customHeight="1" x14ac:dyDescent="0.2">
      <c r="B84" s="4" t="s">
        <v>3529</v>
      </c>
      <c r="C84" s="362" t="str">
        <f>sample_wld_az1_host2_vrms_ip</f>
        <v>10.13.9.102</v>
      </c>
      <c r="D84" s="347"/>
      <c r="E84" s="337"/>
    </row>
    <row r="85" spans="2:5" ht="20.100000000000001" customHeight="1" x14ac:dyDescent="0.2">
      <c r="B85" s="4" t="s">
        <v>3530</v>
      </c>
      <c r="C85" s="362" t="str">
        <f>sample_wld_az1_vrms_mask</f>
        <v>255.255.255.0</v>
      </c>
      <c r="D85" s="337" t="str">
        <f t="array" ref="D85">wld_rwr_az1_vrms_gateway_mask</f>
        <v>Value Missing</v>
      </c>
      <c r="E85" s="337"/>
    </row>
    <row r="86" spans="2:5" ht="20.100000000000001" customHeight="1" x14ac:dyDescent="0.2">
      <c r="B86" s="4" t="s">
        <v>3531</v>
      </c>
      <c r="C86" s="362" t="str">
        <f>sample_wld_az1_host3_fqdn</f>
        <v>sfo01-w01-r01-esx03.sfo.rainpole.io</v>
      </c>
      <c r="D86" s="347"/>
      <c r="E86" s="337"/>
    </row>
    <row r="87" spans="2:5" ht="20.100000000000001" customHeight="1" x14ac:dyDescent="0.2">
      <c r="B87" s="4" t="s">
        <v>3532</v>
      </c>
      <c r="C87" s="362" t="str">
        <f>sample_wld_az1_host3_vrms_ip</f>
        <v>10.13.9.103</v>
      </c>
      <c r="D87" s="347"/>
      <c r="E87" s="337"/>
    </row>
    <row r="88" spans="2:5" ht="20.100000000000001" customHeight="1" x14ac:dyDescent="0.2">
      <c r="B88" s="4" t="s">
        <v>3533</v>
      </c>
      <c r="C88" s="362" t="str">
        <f>sample_wld_az1_vrms_mask</f>
        <v>255.255.255.0</v>
      </c>
      <c r="D88" s="337" t="str">
        <f t="array" ref="D88">wld_rwr_az1_vrms_gateway_mask</f>
        <v>Value Missing</v>
      </c>
      <c r="E88" s="337"/>
    </row>
    <row r="89" spans="2:5" ht="20.100000000000001" customHeight="1" x14ac:dyDescent="0.2">
      <c r="B89" s="4" t="s">
        <v>3534</v>
      </c>
      <c r="C89" s="362" t="str">
        <f>sample_wld_az1_host4_fqdn</f>
        <v>sfo01-w01-r01-esx04.sfo.rainpole.io</v>
      </c>
      <c r="D89" s="347"/>
      <c r="E89" s="337"/>
    </row>
    <row r="90" spans="2:5" ht="20.100000000000001" customHeight="1" x14ac:dyDescent="0.2">
      <c r="B90" s="4" t="s">
        <v>3535</v>
      </c>
      <c r="C90" s="362" t="str">
        <f>sample_wld_az1_host4_vrms_ip</f>
        <v>10.13.9.104</v>
      </c>
      <c r="D90" s="347"/>
      <c r="E90" s="337"/>
    </row>
    <row r="91" spans="2:5" ht="20.100000000000001" customHeight="1" x14ac:dyDescent="0.2">
      <c r="B91" s="4" t="s">
        <v>3536</v>
      </c>
      <c r="C91" s="362" t="str">
        <f>sample_wld_az1_vrms_mask</f>
        <v>255.255.255.0</v>
      </c>
      <c r="D91" s="337" t="str">
        <f t="array" ref="D91">wld_rwr_az1_vrms_gateway_mask</f>
        <v>Value Missing</v>
      </c>
      <c r="E91" s="337"/>
    </row>
    <row r="93" spans="2:5" ht="32.1" customHeight="1" x14ac:dyDescent="0.2">
      <c r="B93" s="511" t="s">
        <v>3537</v>
      </c>
      <c r="C93" s="512"/>
      <c r="D93" s="512"/>
      <c r="E93" s="513"/>
    </row>
    <row r="94" spans="2:5" ht="20.100000000000001" customHeight="1" x14ac:dyDescent="0.2">
      <c r="B94" s="514"/>
      <c r="C94" s="515"/>
      <c r="D94" s="515"/>
      <c r="E94" s="516"/>
    </row>
    <row r="95" spans="2:5" ht="20.100000000000001" customHeight="1" x14ac:dyDescent="0.2">
      <c r="B95" s="346" t="s">
        <v>37</v>
      </c>
      <c r="C95" s="346" t="s">
        <v>276</v>
      </c>
      <c r="D95" s="346" t="s">
        <v>277</v>
      </c>
      <c r="E95" s="346" t="s">
        <v>5</v>
      </c>
    </row>
    <row r="96" spans="2:5" ht="20.100000000000001" customHeight="1" x14ac:dyDescent="0.2">
      <c r="B96" s="4" t="s">
        <v>3360</v>
      </c>
      <c r="C96" s="362" t="str">
        <f>sample_wld_rwr_vc_fqdn</f>
        <v>sfo-w01-vc01.sfo.rainpole.io</v>
      </c>
      <c r="D96" s="337" t="str">
        <f>wld_rwr_vc_fqdn</f>
        <v>Value Missing</v>
      </c>
      <c r="E96" s="337"/>
    </row>
    <row r="97" spans="2:5" ht="20.100000000000001" customHeight="1" x14ac:dyDescent="0.2">
      <c r="B97" s="4" t="s">
        <v>1165</v>
      </c>
      <c r="C97" s="362" t="str">
        <f>sample_wld_rwr_cl02_cluster</f>
        <v>sfo-w01-cl01</v>
      </c>
      <c r="D97" s="337" t="str">
        <f t="array" ref="D97">wld_rwr_cl02_cluster</f>
        <v>Value Missing</v>
      </c>
      <c r="E97" s="337" t="str">
        <f>IF(mgmt_domain_chosen="First Instance","","vSAN Storage Cluster")</f>
        <v/>
      </c>
    </row>
    <row r="98" spans="2:5" ht="20.100000000000001" customHeight="1" x14ac:dyDescent="0.2">
      <c r="B98" s="4" t="s">
        <v>3525</v>
      </c>
      <c r="C98" s="362" t="str">
        <f>sample_wld_az1_host1_fqdn</f>
        <v>sfo01-w01-r01-esx01.sfo.rainpole.io</v>
      </c>
      <c r="D98" s="347"/>
      <c r="E98" s="337"/>
    </row>
    <row r="99" spans="2:5" ht="20.100000000000001" customHeight="1" x14ac:dyDescent="0.2">
      <c r="B99" s="4" t="s">
        <v>3538</v>
      </c>
      <c r="C99" s="362" t="str">
        <f>CONCATENATE(prefix_wld_az1_cidr,"9.1")</f>
        <v>10.13.9.1</v>
      </c>
      <c r="D99" s="347"/>
      <c r="E99" s="337"/>
    </row>
    <row r="100" spans="2:5" ht="20.100000000000001" customHeight="1" x14ac:dyDescent="0.2">
      <c r="B100" s="4" t="s">
        <v>3539</v>
      </c>
      <c r="C100" s="362" t="str">
        <f>CONCATENATE(wld_rwr_recoverysite_prefix,"9.0/24")</f>
        <v>10.23.9.0/24</v>
      </c>
      <c r="D100" s="347"/>
      <c r="E100" s="337"/>
    </row>
    <row r="101" spans="2:5" ht="20.100000000000001" customHeight="1" x14ac:dyDescent="0.2">
      <c r="B101" s="4" t="s">
        <v>3540</v>
      </c>
      <c r="C101" s="362" t="str">
        <f>CONCATENATE(prefix_other_region_az1_cidr,"10.0/24")</f>
        <v>10.21.10.0/24</v>
      </c>
      <c r="D101" s="347"/>
      <c r="E101" s="337"/>
    </row>
    <row r="102" spans="2:5" ht="20.100000000000001" customHeight="1" x14ac:dyDescent="0.2">
      <c r="B102" s="4" t="s">
        <v>3528</v>
      </c>
      <c r="C102" s="362" t="str">
        <f>sample_wld_az1_host2_fqdn</f>
        <v>sfo01-w01-r01-esx02.sfo.rainpole.io</v>
      </c>
      <c r="D102" s="347"/>
      <c r="E102" s="337"/>
    </row>
    <row r="103" spans="2:5" ht="20.100000000000001" customHeight="1" x14ac:dyDescent="0.2">
      <c r="B103" s="4" t="s">
        <v>3541</v>
      </c>
      <c r="C103" s="362" t="str">
        <f>sample_wld_az1_vrms_gateway_ip</f>
        <v>10.13.9.1</v>
      </c>
      <c r="D103" s="337" t="str">
        <f>wld_rwr_az1_vrms_gateway_ip</f>
        <v>Value Missing</v>
      </c>
      <c r="E103" s="337"/>
    </row>
    <row r="104" spans="2:5" ht="20.100000000000001" customHeight="1" x14ac:dyDescent="0.2">
      <c r="B104" s="4" t="s">
        <v>3542</v>
      </c>
      <c r="C104" s="362" t="str">
        <f>CONCATENATE(wld_rwr_recoverysite_prefix,"9.0/24")</f>
        <v>10.23.9.0/24</v>
      </c>
      <c r="D104" s="337" t="str">
        <f>wld_rwr_recovery_site_az1_vrms_cidr</f>
        <v>Value Missing</v>
      </c>
      <c r="E104" s="337"/>
    </row>
    <row r="105" spans="2:5" ht="20.100000000000001" customHeight="1" x14ac:dyDescent="0.2">
      <c r="B105" s="4" t="s">
        <v>3543</v>
      </c>
      <c r="C105" s="362" t="str">
        <f>sample_mgmt_rwr_recovery_site_az1_mgmt_cidr</f>
        <v>10.21.10.0/24</v>
      </c>
      <c r="D105" s="337" t="str">
        <f>mgmt_rwr_recovery_site_az1_mgmt_cidr</f>
        <v>Value Missing</v>
      </c>
      <c r="E105" s="337"/>
    </row>
    <row r="106" spans="2:5" ht="20.100000000000001" customHeight="1" x14ac:dyDescent="0.2">
      <c r="B106" s="4" t="s">
        <v>3531</v>
      </c>
      <c r="C106" s="362" t="str">
        <f>sample_wld_az1_host3_fqdn</f>
        <v>sfo01-w01-r01-esx03.sfo.rainpole.io</v>
      </c>
      <c r="D106" s="347"/>
      <c r="E106" s="337"/>
    </row>
    <row r="107" spans="2:5" ht="20.100000000000001" customHeight="1" x14ac:dyDescent="0.2">
      <c r="B107" s="4" t="s">
        <v>3544</v>
      </c>
      <c r="C107" s="362" t="str">
        <f>sample_wld_az1_vrms_gateway_ip</f>
        <v>10.13.9.1</v>
      </c>
      <c r="D107" s="337" t="str">
        <f>wld_rwr_az1_vrms_gateway_ip</f>
        <v>Value Missing</v>
      </c>
      <c r="E107" s="337"/>
    </row>
    <row r="108" spans="2:5" ht="20.100000000000001" customHeight="1" x14ac:dyDescent="0.2">
      <c r="B108" s="4" t="s">
        <v>3545</v>
      </c>
      <c r="C108" s="362" t="str">
        <f>CONCATENATE(wld_rwr_recoverysite_prefix,"9.0/24")</f>
        <v>10.23.9.0/24</v>
      </c>
      <c r="D108" s="337" t="str">
        <f>wld_rwr_recovery_site_az1_vrms_cidr</f>
        <v>Value Missing</v>
      </c>
      <c r="E108" s="337"/>
    </row>
    <row r="109" spans="2:5" ht="20.100000000000001" customHeight="1" x14ac:dyDescent="0.2">
      <c r="B109" s="4" t="s">
        <v>3546</v>
      </c>
      <c r="C109" s="362" t="str">
        <f>sample_mgmt_rwr_recovery_site_az1_mgmt_cidr</f>
        <v>10.21.10.0/24</v>
      </c>
      <c r="D109" s="337" t="str">
        <f>mgmt_rwr_recovery_site_az1_mgmt_cidr</f>
        <v>Value Missing</v>
      </c>
      <c r="E109" s="337"/>
    </row>
    <row r="110" spans="2:5" ht="20.100000000000001" customHeight="1" x14ac:dyDescent="0.2">
      <c r="B110" s="4" t="s">
        <v>3534</v>
      </c>
      <c r="C110" s="362" t="str">
        <f>sample_wld_az1_host4_fqdn</f>
        <v>sfo01-w01-r01-esx04.sfo.rainpole.io</v>
      </c>
      <c r="D110" s="347"/>
      <c r="E110" s="337"/>
    </row>
    <row r="111" spans="2:5" ht="20.100000000000001" customHeight="1" x14ac:dyDescent="0.2">
      <c r="B111" s="4" t="s">
        <v>3547</v>
      </c>
      <c r="C111" s="362" t="str">
        <f>sample_wld_az1_vrms_gateway_ip</f>
        <v>10.13.9.1</v>
      </c>
      <c r="D111" s="337" t="str">
        <f>wld_rwr_az1_vrms_gateway_ip</f>
        <v>Value Missing</v>
      </c>
      <c r="E111" s="337"/>
    </row>
    <row r="112" spans="2:5" ht="20.100000000000001" customHeight="1" x14ac:dyDescent="0.2">
      <c r="B112" s="4" t="s">
        <v>3548</v>
      </c>
      <c r="C112" s="362" t="str">
        <f>CONCATENATE(wld_rwr_recoverysite_prefix,"9.0/24")</f>
        <v>10.23.9.0/24</v>
      </c>
      <c r="D112" s="337" t="str">
        <f>wld_rwr_recovery_site_az1_vrms_cidr</f>
        <v>Value Missing</v>
      </c>
      <c r="E112" s="337"/>
    </row>
    <row r="113" spans="2:5" ht="20.100000000000001" customHeight="1" x14ac:dyDescent="0.2">
      <c r="B113" s="4" t="s">
        <v>3549</v>
      </c>
      <c r="C113" s="362" t="str">
        <f>sample_mgmt_rwr_recovery_site_az1_mgmt_cidr</f>
        <v>10.21.10.0/24</v>
      </c>
      <c r="D113" s="337" t="str">
        <f>mgmt_rwr_recovery_site_az1_mgmt_cidr</f>
        <v>Value Missing</v>
      </c>
      <c r="E113" s="337"/>
    </row>
    <row r="115" spans="2:5" ht="32.1" customHeight="1" x14ac:dyDescent="0.2">
      <c r="B115" s="511" t="s">
        <v>3550</v>
      </c>
      <c r="C115" s="512"/>
      <c r="D115" s="512"/>
      <c r="E115" s="513"/>
    </row>
    <row r="116" spans="2:5" ht="20.100000000000001" customHeight="1" x14ac:dyDescent="0.2">
      <c r="B116" s="514"/>
      <c r="C116" s="515"/>
      <c r="D116" s="515"/>
      <c r="E116" s="516"/>
    </row>
    <row r="117" spans="2:5" ht="20.100000000000001" customHeight="1" x14ac:dyDescent="0.2">
      <c r="B117" s="346" t="s">
        <v>37</v>
      </c>
      <c r="C117" s="346" t="s">
        <v>276</v>
      </c>
      <c r="D117" s="346" t="s">
        <v>277</v>
      </c>
      <c r="E117" s="346" t="s">
        <v>5</v>
      </c>
    </row>
    <row r="118" spans="2:5" ht="20.100000000000001" customHeight="1" x14ac:dyDescent="0.2">
      <c r="B118" s="297" t="s">
        <v>3551</v>
      </c>
      <c r="C118" s="362" t="str">
        <f>CONCATENATE(this_instance,"-w01-nsx01.",this_instance,".",sample_parent_dns_zone)</f>
        <v>sfo-w01-nsx01.sfo.rainpole.io</v>
      </c>
      <c r="D118" s="347"/>
      <c r="E118" s="337"/>
    </row>
    <row r="119" spans="2:5" ht="20.100000000000001" customHeight="1" x14ac:dyDescent="0.2">
      <c r="B119" s="514" t="s">
        <v>3552</v>
      </c>
      <c r="C119" s="515"/>
      <c r="D119" s="515"/>
      <c r="E119" s="516"/>
    </row>
    <row r="120" spans="2:5" ht="20.100000000000001" customHeight="1" x14ac:dyDescent="0.2">
      <c r="B120" s="4" t="s">
        <v>3553</v>
      </c>
      <c r="C120" s="362" t="s">
        <v>3554</v>
      </c>
      <c r="D120" s="347"/>
      <c r="E120" s="337"/>
    </row>
    <row r="121" spans="2:5" ht="20.100000000000001" customHeight="1" x14ac:dyDescent="0.2">
      <c r="B121" s="4" t="s">
        <v>3555</v>
      </c>
      <c r="C121" s="362" t="s">
        <v>3556</v>
      </c>
      <c r="D121" s="347"/>
      <c r="E121" s="337"/>
    </row>
    <row r="122" spans="2:5" ht="20.100000000000001" customHeight="1" x14ac:dyDescent="0.2">
      <c r="B122" s="4" t="s">
        <v>3557</v>
      </c>
      <c r="C122" s="362" t="s">
        <v>3558</v>
      </c>
      <c r="D122" s="347"/>
      <c r="E122" s="337"/>
    </row>
    <row r="123" spans="2:5" ht="20.100000000000001" customHeight="1" x14ac:dyDescent="0.2">
      <c r="B123" s="4" t="s">
        <v>3559</v>
      </c>
      <c r="C123" s="362" t="str">
        <f>CONCATENATE(this_instance,"-w01","-ec01")</f>
        <v>sfo-w01-ec01</v>
      </c>
      <c r="D123" s="347"/>
      <c r="E123" s="337"/>
    </row>
    <row r="124" spans="2:5" ht="20.100000000000001" customHeight="1" x14ac:dyDescent="0.2">
      <c r="B124" s="514" t="s">
        <v>3560</v>
      </c>
      <c r="C124" s="515"/>
      <c r="D124" s="515"/>
      <c r="E124" s="516"/>
    </row>
    <row r="125" spans="2:5" ht="20.100000000000001" customHeight="1" x14ac:dyDescent="0.2">
      <c r="B125" s="4" t="s">
        <v>926</v>
      </c>
      <c r="C125" s="362" t="str">
        <f>CONCATENATE(this_instance,"-w01","-ec01","-t1","-gw01")</f>
        <v>sfo-w01-ec01-t1-gw01</v>
      </c>
      <c r="D125" s="347"/>
      <c r="E125" s="337"/>
    </row>
    <row r="126" spans="2:5" ht="20.100000000000001" customHeight="1" x14ac:dyDescent="0.2">
      <c r="B126" s="4" t="s">
        <v>927</v>
      </c>
      <c r="C126" s="362" t="str">
        <f>CONCATENATE(this_instance,"-w01","-ec01","-t0","-gw01")</f>
        <v>sfo-w01-ec01-t0-gw01</v>
      </c>
      <c r="D126" s="347"/>
      <c r="E126" s="337"/>
    </row>
    <row r="127" spans="2:5" ht="20.100000000000001" customHeight="1" x14ac:dyDescent="0.2">
      <c r="B127" s="4" t="s">
        <v>574</v>
      </c>
      <c r="C127" s="362" t="str">
        <f>sample_wld_rwr_recovery_site_nsx_ec_name</f>
        <v>sfo-w01-ec01</v>
      </c>
      <c r="D127" s="347"/>
      <c r="E127" s="337"/>
    </row>
    <row r="128" spans="2:5" ht="20.100000000000001" customHeight="1" x14ac:dyDescent="0.2">
      <c r="B128" s="514" t="s">
        <v>3561</v>
      </c>
      <c r="C128" s="515"/>
      <c r="D128" s="515"/>
      <c r="E128" s="516"/>
    </row>
    <row r="129" spans="2:5" ht="20.100000000000001" customHeight="1" x14ac:dyDescent="0.2">
      <c r="B129" s="4" t="s">
        <v>3562</v>
      </c>
      <c r="C129" s="362" t="str">
        <f>CONCATENATE(this_instance,"-w01-seg01-","rwr-ire")</f>
        <v>sfo-w01-seg01-rwr-ire</v>
      </c>
      <c r="D129" s="347"/>
      <c r="E129" s="337"/>
    </row>
    <row r="130" spans="2:5" ht="20.100000000000001" customHeight="1" x14ac:dyDescent="0.2">
      <c r="B130" s="4" t="s">
        <v>3563</v>
      </c>
      <c r="C130" s="362" t="str">
        <f>sample_wld_rwr_recovery_site_nsx_ec_t1_name</f>
        <v>sfo-w01-ec01-t1-gw01</v>
      </c>
      <c r="D130" s="347"/>
      <c r="E130" s="337"/>
    </row>
    <row r="131" spans="2:5" ht="20.100000000000001" customHeight="1" x14ac:dyDescent="0.2">
      <c r="B131" s="4" t="s">
        <v>3564</v>
      </c>
      <c r="C131" s="362" t="str">
        <f>CONCATENATE("overlay-tz-",this_instance,"-w01-nsx01")</f>
        <v>overlay-tz-sfo-w01-nsx01</v>
      </c>
      <c r="D131" s="347"/>
      <c r="E131" s="337"/>
    </row>
    <row r="132" spans="2:5" ht="20.100000000000001" customHeight="1" x14ac:dyDescent="0.2">
      <c r="B132" s="4" t="s">
        <v>3565</v>
      </c>
      <c r="C132" s="362" t="s">
        <v>3566</v>
      </c>
      <c r="D132" s="347"/>
      <c r="E132" s="337"/>
    </row>
    <row r="133" spans="2:5" ht="20.100000000000001" customHeight="1" x14ac:dyDescent="0.2">
      <c r="B133" s="514" t="s">
        <v>3567</v>
      </c>
      <c r="C133" s="515"/>
      <c r="D133" s="515"/>
      <c r="E133" s="516"/>
    </row>
    <row r="134" spans="2:5" ht="20.100000000000001" customHeight="1" x14ac:dyDescent="0.2">
      <c r="B134" s="4" t="s">
        <v>3568</v>
      </c>
      <c r="C134" s="362" t="str">
        <f>C120</f>
        <v>tier1_dhcp_profile</v>
      </c>
      <c r="D134" s="347"/>
      <c r="E134" s="337"/>
    </row>
    <row r="135" spans="2:5" ht="20.100000000000001" customHeight="1" x14ac:dyDescent="0.2">
      <c r="B135" s="4" t="s">
        <v>3569</v>
      </c>
      <c r="C135" s="362" t="s">
        <v>3570</v>
      </c>
      <c r="D135" s="347"/>
      <c r="E135" s="337"/>
    </row>
    <row r="136" spans="2:5" ht="20.100000000000001" customHeight="1" x14ac:dyDescent="0.2">
      <c r="B136" s="4" t="s">
        <v>3571</v>
      </c>
      <c r="C136" s="362" t="s">
        <v>3572</v>
      </c>
      <c r="D136" s="347"/>
      <c r="E136" s="337"/>
    </row>
    <row r="137" spans="2:5" ht="20.100000000000001" customHeight="1" x14ac:dyDescent="0.2">
      <c r="B137" s="4" t="s">
        <v>1043</v>
      </c>
      <c r="C137" s="362" t="str">
        <f>CONCATENATE(sample_region_dns1_ip,",",sample_region_dns2_ip)</f>
        <v>10.11.10.4,10.11.10.5</v>
      </c>
      <c r="D137" s="347"/>
      <c r="E137" s="337"/>
    </row>
    <row r="138" spans="2:5" x14ac:dyDescent="0.2">
      <c r="C138" s="142"/>
    </row>
    <row r="139" spans="2:5" ht="32.1" customHeight="1" x14ac:dyDescent="0.2">
      <c r="B139" s="511" t="s">
        <v>3573</v>
      </c>
      <c r="C139" s="512"/>
      <c r="D139" s="512"/>
      <c r="E139" s="513"/>
    </row>
    <row r="140" spans="2:5" ht="20.100000000000001" customHeight="1" x14ac:dyDescent="0.2">
      <c r="B140" s="514"/>
      <c r="C140" s="515"/>
      <c r="D140" s="515"/>
      <c r="E140" s="516"/>
    </row>
    <row r="141" spans="2:5" ht="20.100000000000001" customHeight="1" x14ac:dyDescent="0.2">
      <c r="B141" s="346" t="s">
        <v>37</v>
      </c>
      <c r="C141" s="346" t="s">
        <v>276</v>
      </c>
      <c r="D141" s="346" t="s">
        <v>277</v>
      </c>
      <c r="E141" s="346" t="s">
        <v>5</v>
      </c>
    </row>
    <row r="142" spans="2:5" ht="20.100000000000001" customHeight="1" x14ac:dyDescent="0.2">
      <c r="B142" s="4" t="s">
        <v>3360</v>
      </c>
      <c r="C142" s="362" t="str">
        <f>sample_wld_rwr_vc_fqdn</f>
        <v>sfo-w01-vc01.sfo.rainpole.io</v>
      </c>
      <c r="D142" s="337" t="str">
        <f>wld_rwr_vc_fqdn</f>
        <v>Value Missing</v>
      </c>
      <c r="E142" s="337"/>
    </row>
    <row r="143" spans="2:5" ht="20.100000000000001" customHeight="1" x14ac:dyDescent="0.2">
      <c r="B143" s="4" t="s">
        <v>3574</v>
      </c>
      <c r="C143" s="362" t="str">
        <f>sample_wld_datacenter</f>
        <v>sfo-w01-dc</v>
      </c>
      <c r="D143" s="347"/>
      <c r="E143" s="337"/>
    </row>
    <row r="144" spans="2:5" ht="20.100000000000001" customHeight="1" x14ac:dyDescent="0.2">
      <c r="B144" s="4" t="s">
        <v>3108</v>
      </c>
      <c r="C144" s="362" t="str">
        <f>(CONCATENATE(sample_wld_sddc_domain,"-fd-workload"))</f>
        <v>sfo-w01-fd-workload</v>
      </c>
      <c r="D144" s="347"/>
      <c r="E144" s="337"/>
    </row>
    <row r="146" spans="2:5" ht="33.950000000000003" customHeight="1" x14ac:dyDescent="0.2">
      <c r="B146" s="511" t="s">
        <v>3575</v>
      </c>
      <c r="C146" s="512"/>
      <c r="D146" s="512"/>
      <c r="E146" s="513"/>
    </row>
    <row r="148" spans="2:5" ht="32.1" customHeight="1" x14ac:dyDescent="0.2">
      <c r="B148" s="511" t="s">
        <v>3576</v>
      </c>
      <c r="C148" s="512"/>
      <c r="D148" s="512"/>
      <c r="E148" s="513"/>
    </row>
    <row r="149" spans="2:5" ht="20.100000000000001" customHeight="1" x14ac:dyDescent="0.2">
      <c r="B149" s="514"/>
      <c r="C149" s="515"/>
      <c r="D149" s="515"/>
      <c r="E149" s="516"/>
    </row>
    <row r="150" spans="2:5" ht="20.100000000000001" customHeight="1" x14ac:dyDescent="0.2">
      <c r="B150" s="346" t="s">
        <v>37</v>
      </c>
      <c r="C150" s="346" t="s">
        <v>276</v>
      </c>
      <c r="D150" s="346" t="s">
        <v>277</v>
      </c>
      <c r="E150" s="346" t="s">
        <v>5</v>
      </c>
    </row>
    <row r="151" spans="2:5" ht="20.100000000000001" customHeight="1" x14ac:dyDescent="0.2">
      <c r="B151" s="4" t="s">
        <v>3360</v>
      </c>
      <c r="C151" s="362" t="str">
        <f>sample_wld_rwr_vc_fqdn</f>
        <v>sfo-w01-vc01.sfo.rainpole.io</v>
      </c>
      <c r="D151" s="337" t="str">
        <f>wld_rwr_vc_fqdn</f>
        <v>Value Missing</v>
      </c>
      <c r="E151" s="337"/>
    </row>
    <row r="152" spans="2:5" ht="20.100000000000001" customHeight="1" x14ac:dyDescent="0.2">
      <c r="B152" s="4" t="s">
        <v>3266</v>
      </c>
      <c r="C152" s="362" t="str">
        <f>sample_wld_rwr_vc_fqdn</f>
        <v>sfo-w01-vc01.sfo.rainpole.io</v>
      </c>
      <c r="D152" s="337" t="str">
        <f>wld_rwr_vc_fqdn</f>
        <v>Value Missing</v>
      </c>
      <c r="E152" s="337"/>
    </row>
    <row r="153" spans="2:5" ht="20.100000000000001" customHeight="1" x14ac:dyDescent="0.2">
      <c r="B153" s="4" t="s">
        <v>3203</v>
      </c>
      <c r="C153" s="362" t="str">
        <f>CONCATENATE(other_instance,"-w01-vc01.",other_instance,".",sample_parent_dns_zone)</f>
        <v>lax-w01-vc01.lax.rainpole.io</v>
      </c>
      <c r="D153" s="347"/>
      <c r="E153" s="337"/>
    </row>
    <row r="154" spans="2:5" ht="20.100000000000001" customHeight="1" x14ac:dyDescent="0.2">
      <c r="B154" s="4" t="s">
        <v>565</v>
      </c>
      <c r="C154" s="362" t="s">
        <v>3577</v>
      </c>
      <c r="D154" s="337" t="str">
        <f>CONCATENATE(wld_vlr_replication_user,"@",rwr_sso_domain_name)</f>
        <v>Value Missing@Value Missing</v>
      </c>
      <c r="E154" s="337"/>
    </row>
    <row r="155" spans="2:5" ht="20.100000000000001" customHeight="1" x14ac:dyDescent="0.2">
      <c r="B155" s="4" t="s">
        <v>296</v>
      </c>
      <c r="C155" s="362" t="s">
        <v>297</v>
      </c>
      <c r="D155" s="337" t="str">
        <f>rwr_vlr_replication_password</f>
        <v>Value Missing</v>
      </c>
      <c r="E155" s="337"/>
    </row>
    <row r="156" spans="2:5" ht="20.100000000000001" customHeight="1" x14ac:dyDescent="0.2">
      <c r="B156" s="4" t="s">
        <v>3269</v>
      </c>
      <c r="C156" s="362" t="str">
        <f>sample_wld_rwr_recovery_site_vc_fqdn</f>
        <v>lax-w01-vc01.lax.rainpole.io</v>
      </c>
      <c r="D156" s="337" t="str">
        <f t="array" ref="D156">wld_rwr_recovery_site_vc_fqdn</f>
        <v>Value Missing</v>
      </c>
      <c r="E156" s="337"/>
    </row>
    <row r="157" spans="2:5" ht="20.100000000000001" customHeight="1" x14ac:dyDescent="0.25">
      <c r="B157" s="296"/>
      <c r="C157" s="142"/>
      <c r="D157" s="1"/>
    </row>
    <row r="158" spans="2:5" ht="33.950000000000003" customHeight="1" x14ac:dyDescent="0.2">
      <c r="B158" s="511" t="s">
        <v>3576</v>
      </c>
      <c r="C158" s="512"/>
      <c r="D158" s="512"/>
      <c r="E158" s="513"/>
    </row>
    <row r="159" spans="2:5" ht="20.100000000000001" customHeight="1" x14ac:dyDescent="0.2">
      <c r="B159" s="514"/>
      <c r="C159" s="515"/>
      <c r="D159" s="515"/>
      <c r="E159" s="516"/>
    </row>
    <row r="160" spans="2:5" ht="20.100000000000001" customHeight="1" x14ac:dyDescent="0.2">
      <c r="B160" s="346" t="s">
        <v>37</v>
      </c>
      <c r="C160" s="346" t="s">
        <v>276</v>
      </c>
      <c r="D160" s="346" t="s">
        <v>277</v>
      </c>
      <c r="E160" s="346" t="s">
        <v>5</v>
      </c>
    </row>
    <row r="161" spans="2:5" ht="20.100000000000001" customHeight="1" x14ac:dyDescent="0.25">
      <c r="B161" s="288" t="s">
        <v>3360</v>
      </c>
      <c r="C161" s="362" t="str">
        <f>sample_wld_rwr_vc_fqdn</f>
        <v>sfo-w01-vc01.sfo.rainpole.io</v>
      </c>
      <c r="D161" s="337" t="str">
        <f>wld_rwr_vc_fqdn</f>
        <v>Value Missing</v>
      </c>
      <c r="E161" s="337"/>
    </row>
    <row r="162" spans="2:5" ht="20.100000000000001" customHeight="1" x14ac:dyDescent="0.25">
      <c r="B162" s="288" t="s">
        <v>2026</v>
      </c>
      <c r="C162" s="362" t="str">
        <f>sample_wld_rwr_vc_fqdn</f>
        <v>sfo-w01-vc01.sfo.rainpole.io</v>
      </c>
      <c r="D162" s="337" t="str">
        <f>wld_rwr_vc_fqdn</f>
        <v>Value Missing</v>
      </c>
      <c r="E162" s="337"/>
    </row>
    <row r="163" spans="2:5" ht="20.100000000000001" customHeight="1" x14ac:dyDescent="0.25">
      <c r="B163" s="288" t="s">
        <v>3390</v>
      </c>
      <c r="C163" s="362" t="s">
        <v>3391</v>
      </c>
      <c r="D163" s="347"/>
      <c r="E163" s="337"/>
    </row>
    <row r="164" spans="2:5" ht="20.100000000000001" customHeight="1" x14ac:dyDescent="0.25">
      <c r="B164" s="288" t="s">
        <v>3578</v>
      </c>
      <c r="C164" s="362" t="s">
        <v>3391</v>
      </c>
      <c r="D164" s="347"/>
      <c r="E164" s="337"/>
    </row>
    <row r="166" spans="2:5" ht="32.1" customHeight="1" x14ac:dyDescent="0.2">
      <c r="B166" s="511" t="s">
        <v>3579</v>
      </c>
      <c r="C166" s="512"/>
      <c r="D166" s="512"/>
      <c r="E166" s="513"/>
    </row>
    <row r="167" spans="2:5" ht="20.100000000000001" customHeight="1" x14ac:dyDescent="0.2">
      <c r="B167" s="514"/>
      <c r="C167" s="515"/>
      <c r="D167" s="515"/>
      <c r="E167" s="516"/>
    </row>
    <row r="168" spans="2:5" ht="20.100000000000001" customHeight="1" x14ac:dyDescent="0.2">
      <c r="B168" s="346" t="s">
        <v>37</v>
      </c>
      <c r="C168" s="346" t="s">
        <v>276</v>
      </c>
      <c r="D168" s="346" t="s">
        <v>277</v>
      </c>
      <c r="E168" s="346" t="s">
        <v>5</v>
      </c>
    </row>
    <row r="169" spans="2:5" ht="20.100000000000001" customHeight="1" x14ac:dyDescent="0.2">
      <c r="B169" s="4" t="s">
        <v>3360</v>
      </c>
      <c r="C169" s="362" t="str">
        <f>sample_wld_rwr_vc_fqdn</f>
        <v>sfo-w01-vc01.sfo.rainpole.io</v>
      </c>
      <c r="D169" s="337" t="str">
        <f>wld_rwr_vc_fqdn</f>
        <v>Value Missing</v>
      </c>
      <c r="E169" s="337"/>
    </row>
    <row r="170" spans="2:5" ht="20.100000000000001" customHeight="1" x14ac:dyDescent="0.2">
      <c r="B170" s="4" t="s">
        <v>3394</v>
      </c>
      <c r="C170" s="362" t="str">
        <f>(CONCATENATE(sample_wld_vc_fqdn,"&lt;-&gt;",sample_wld_rwr_recovery_site_vc_fqdn))</f>
        <v>sfo-w01-vc01.sfo.rainpole.io&lt;-&gt;lax-w01-vc01.lax.rainpole.io</v>
      </c>
      <c r="D170" s="347"/>
      <c r="E170" s="337"/>
    </row>
    <row r="171" spans="2:5" ht="20.100000000000001" customHeight="1" x14ac:dyDescent="0.2">
      <c r="B171" s="4" t="s">
        <v>3580</v>
      </c>
      <c r="C171" s="362" t="str">
        <f>(CONCATENATE(sample_wld_rwr_cl02_vds01,"&lt;-&gt;",sample_wld_cl01_az1_mgmt_vm_pg))</f>
        <v>sfo-w01-cl01-vds01&lt;-&gt;sfo-w01-cl01-vds01-pg-vm-mgmt</v>
      </c>
      <c r="D171" s="347"/>
      <c r="E171" s="337"/>
    </row>
    <row r="172" spans="2:5" ht="20.100000000000001" customHeight="1" x14ac:dyDescent="0.2">
      <c r="B172" s="4" t="s">
        <v>3581</v>
      </c>
      <c r="C172" s="362" t="str">
        <f>_xlfn.CONCAT(other_instance,"-w01","-cl02-vds01","&lt;-&gt;",CONCATENATE(other_instance,"-w01-seg01-","rwr-ire"))</f>
        <v>lax-w01-cl02-vds01&lt;-&gt;lax-w01-seg01-rwr-ire</v>
      </c>
      <c r="D172" s="347"/>
      <c r="E172" s="337" t="s">
        <v>3582</v>
      </c>
    </row>
    <row r="173" spans="2:5" ht="20.100000000000001" customHeight="1" x14ac:dyDescent="0.2">
      <c r="B173" s="4" t="s">
        <v>3583</v>
      </c>
      <c r="C173" s="362" t="str">
        <f>(CONCATENATE(sample_wld_datacenter,"&lt;-&gt;",sample_wld_rwr_recoverysite_fd))</f>
        <v>sfo-w01-dc&lt;-&gt;sfo-w01-fd-workload</v>
      </c>
      <c r="D173" s="337" t="str">
        <f>CONCATENATE(rwr_datacenter, "&lt;-&gt;",wld_rwr_recoverysite_fd)</f>
        <v>Value Missing&lt;-&gt;Value Missing</v>
      </c>
      <c r="E173" s="337"/>
    </row>
    <row r="174" spans="2:5" ht="20.100000000000001" customHeight="1" x14ac:dyDescent="0.2">
      <c r="B174" s="4" t="s">
        <v>3584</v>
      </c>
      <c r="C174" s="362" t="str">
        <f>_xlfn.CONCAT(other_instance,"-w01","dc","&lt;-&gt;",other_instance,"-w01","-fd","-workload")</f>
        <v>lax-w01dc&lt;-&gt;lax-w01-fd-workload</v>
      </c>
      <c r="D174" s="347"/>
      <c r="E174" s="337"/>
    </row>
    <row r="175" spans="2:5" ht="20.100000000000001" customHeight="1" x14ac:dyDescent="0.2">
      <c r="B175" s="4" t="s">
        <v>3585</v>
      </c>
      <c r="C175" s="362" t="str">
        <f>(CONCATENATE(sample_rwr_datacenter,"&lt;-&gt;",sample_wld_rwr_cl02_cluster))</f>
        <v>sfo-w01-dc&lt;-&gt;sfo-w01-cl01</v>
      </c>
      <c r="D175" s="337" t="str">
        <f>CONCATENATE(rwr_datacenter, "&lt;-&gt;",wld_rwr_cl02_cluster)</f>
        <v>Value Missing&lt;-&gt;Value Missing</v>
      </c>
      <c r="E175" s="337"/>
    </row>
    <row r="176" spans="2:5" ht="20.100000000000001" customHeight="1" x14ac:dyDescent="0.2">
      <c r="B176" s="4" t="s">
        <v>3586</v>
      </c>
      <c r="C176" s="362" t="str">
        <f>_xlfn.CONCAT(other_instance,"-w01","-dc","&lt;-&gt;",other_instance,"-w01","-cl02")</f>
        <v>lax-w01-dc&lt;-&gt;lax-w01-cl02</v>
      </c>
      <c r="D176" s="347"/>
      <c r="E176" s="337"/>
    </row>
    <row r="178" spans="2:5" ht="32.1" customHeight="1" x14ac:dyDescent="0.2">
      <c r="B178" s="511" t="s">
        <v>3587</v>
      </c>
      <c r="C178" s="512"/>
      <c r="D178" s="512"/>
      <c r="E178" s="513"/>
    </row>
    <row r="179" spans="2:5" ht="20.100000000000001" customHeight="1" x14ac:dyDescent="0.2">
      <c r="B179" s="514"/>
      <c r="C179" s="515"/>
      <c r="D179" s="515"/>
      <c r="E179" s="516"/>
    </row>
    <row r="180" spans="2:5" ht="20.100000000000001" customHeight="1" x14ac:dyDescent="0.2">
      <c r="B180" s="346" t="s">
        <v>37</v>
      </c>
      <c r="C180" s="346" t="s">
        <v>276</v>
      </c>
      <c r="D180" s="346" t="s">
        <v>277</v>
      </c>
      <c r="E180" s="346" t="s">
        <v>5</v>
      </c>
    </row>
    <row r="181" spans="2:5" ht="20.100000000000001" customHeight="1" x14ac:dyDescent="0.2">
      <c r="B181" s="4" t="s">
        <v>3366</v>
      </c>
      <c r="C181" s="362" t="str">
        <f>sample_wld_vlr_fqdn</f>
        <v>sfo-w01-vlr01.sfo.rainpole.io</v>
      </c>
      <c r="D181" s="337" t="str">
        <f>CONCATENATE(wld_vlr_fqdn,"/dr")</f>
        <v>Value Missing.Value Missing/dr</v>
      </c>
      <c r="E181" s="337"/>
    </row>
    <row r="182" spans="2:5" ht="20.100000000000001" customHeight="1" x14ac:dyDescent="0.2">
      <c r="B182" s="4" t="s">
        <v>3394</v>
      </c>
      <c r="C182" s="362" t="str">
        <f>(CONCATENATE(sample_wld_vc_fqdn,"&lt;-&gt;",sample_wld_rwr_recovery_site_vc_fqdn))</f>
        <v>sfo-w01-vc01.sfo.rainpole.io&lt;-&gt;lax-w01-vc01.lax.rainpole.io</v>
      </c>
      <c r="D182" s="347"/>
      <c r="E182" s="337"/>
    </row>
    <row r="183" spans="2:5" ht="20.100000000000001" customHeight="1" x14ac:dyDescent="0.2">
      <c r="B183" s="4" t="s">
        <v>3402</v>
      </c>
      <c r="C183" s="362" t="s">
        <v>3588</v>
      </c>
      <c r="D183" s="347"/>
      <c r="E183" s="337"/>
    </row>
    <row r="184" spans="2:5" ht="20.100000000000001" customHeight="1" x14ac:dyDescent="0.2">
      <c r="B184" s="4" t="s">
        <v>3403</v>
      </c>
      <c r="C184" s="362" t="str">
        <f>CONCATENATE(other_instance,"-w01","-cl01-vsan01")</f>
        <v>lax-w01-cl01-vsan01</v>
      </c>
      <c r="D184" s="347"/>
      <c r="E184" s="337"/>
    </row>
    <row r="185" spans="2:5" ht="20.100000000000001" customHeight="1" x14ac:dyDescent="0.2">
      <c r="B185" s="4" t="s">
        <v>3404</v>
      </c>
      <c r="C185" s="362" t="s">
        <v>3589</v>
      </c>
      <c r="D185" s="347"/>
      <c r="E185" s="337" t="s">
        <v>3590</v>
      </c>
    </row>
    <row r="186" spans="2:5" ht="20.100000000000001" customHeight="1" x14ac:dyDescent="0.2">
      <c r="B186" s="4" t="s">
        <v>3591</v>
      </c>
      <c r="C186" s="362">
        <v>200</v>
      </c>
      <c r="D186" s="347"/>
      <c r="E186" s="337" t="s">
        <v>3590</v>
      </c>
    </row>
    <row r="187" spans="2:5" ht="20.100000000000001" customHeight="1" x14ac:dyDescent="0.2">
      <c r="B187" s="4" t="s">
        <v>3405</v>
      </c>
      <c r="C187" s="362" t="s">
        <v>3592</v>
      </c>
      <c r="D187" s="347"/>
      <c r="E187" s="337"/>
    </row>
    <row r="188" spans="2:5" ht="20.100000000000001" customHeight="1" x14ac:dyDescent="0.2">
      <c r="B188" s="4" t="s">
        <v>3407</v>
      </c>
      <c r="C188" s="362" t="s">
        <v>3593</v>
      </c>
      <c r="D188" s="347"/>
      <c r="E188" s="337"/>
    </row>
    <row r="190" spans="2:5" ht="32.1" customHeight="1" x14ac:dyDescent="0.2">
      <c r="B190" s="511" t="s">
        <v>3594</v>
      </c>
      <c r="C190" s="512"/>
      <c r="D190" s="512"/>
      <c r="E190" s="513"/>
    </row>
    <row r="191" spans="2:5" ht="20.100000000000001" customHeight="1" x14ac:dyDescent="0.2">
      <c r="B191" s="514"/>
      <c r="C191" s="515"/>
      <c r="D191" s="515"/>
      <c r="E191" s="516"/>
    </row>
    <row r="192" spans="2:5" ht="20.100000000000001" customHeight="1" x14ac:dyDescent="0.2">
      <c r="B192" s="346" t="s">
        <v>37</v>
      </c>
      <c r="C192" s="346" t="s">
        <v>276</v>
      </c>
      <c r="D192" s="346" t="s">
        <v>277</v>
      </c>
      <c r="E192" s="346" t="s">
        <v>5</v>
      </c>
    </row>
    <row r="193" spans="2:5" ht="20.100000000000001" customHeight="1" x14ac:dyDescent="0.2">
      <c r="B193" s="4" t="s">
        <v>3595</v>
      </c>
      <c r="C193" s="362" t="str">
        <f>sample_wld_rwr_recovery_site_vc_fqdn</f>
        <v>lax-w01-vc01.lax.rainpole.io</v>
      </c>
      <c r="D193" s="347"/>
      <c r="E193" s="337"/>
    </row>
    <row r="194" spans="2:5" ht="20.100000000000001" customHeight="1" x14ac:dyDescent="0.2">
      <c r="B194" s="4" t="s">
        <v>3596</v>
      </c>
      <c r="C194" s="362" t="str">
        <f>CONCATENATE(other_instance,"-w01-seg01-","rwr-ire")</f>
        <v>lax-w01-seg01-rwr-ire</v>
      </c>
      <c r="D194" s="347"/>
      <c r="E194" s="337"/>
    </row>
    <row r="196" spans="2:5" ht="32.1" customHeight="1" x14ac:dyDescent="0.2">
      <c r="B196" s="511" t="s">
        <v>3325</v>
      </c>
      <c r="C196" s="512"/>
      <c r="D196" s="512"/>
      <c r="E196" s="513"/>
    </row>
    <row r="198" spans="2:5" ht="32.1" customHeight="1" x14ac:dyDescent="0.2">
      <c r="B198" s="511" t="s">
        <v>3597</v>
      </c>
      <c r="C198" s="512"/>
      <c r="D198" s="512"/>
      <c r="E198" s="513"/>
    </row>
    <row r="199" spans="2:5" ht="20.100000000000001" customHeight="1" x14ac:dyDescent="0.2">
      <c r="B199" s="514"/>
      <c r="C199" s="515"/>
      <c r="D199" s="515"/>
      <c r="E199" s="516"/>
    </row>
    <row r="200" spans="2:5" ht="20.100000000000001" customHeight="1" x14ac:dyDescent="0.2">
      <c r="B200" s="346" t="s">
        <v>37</v>
      </c>
      <c r="C200" s="346" t="s">
        <v>276</v>
      </c>
      <c r="D200" s="346" t="s">
        <v>277</v>
      </c>
      <c r="E200" s="346" t="s">
        <v>5</v>
      </c>
    </row>
    <row r="201" spans="2:5" ht="20.100000000000001" customHeight="1" x14ac:dyDescent="0.2">
      <c r="B201" s="4" t="s">
        <v>3360</v>
      </c>
      <c r="C201" s="362" t="str">
        <f>sample_wld_rwr_vc_fqdn</f>
        <v>sfo-w01-vc01.sfo.rainpole.io</v>
      </c>
      <c r="D201" s="337" t="str">
        <f>wld_rwr_vc_fqdn</f>
        <v>Value Missing</v>
      </c>
      <c r="E201" s="337"/>
    </row>
    <row r="202" spans="2:5" ht="20.100000000000001" customHeight="1" x14ac:dyDescent="0.2">
      <c r="B202" s="4" t="s">
        <v>202</v>
      </c>
      <c r="C202" s="362" t="str">
        <f>sample_rwr_sso_domain_name</f>
        <v>sfo-w01.local</v>
      </c>
      <c r="D202" s="337" t="str">
        <f>rwr_sso_domain_name</f>
        <v>Value Missing</v>
      </c>
      <c r="E202" s="337"/>
    </row>
    <row r="203" spans="2:5" ht="20.100000000000001" customHeight="1" x14ac:dyDescent="0.2">
      <c r="B203" s="4" t="s">
        <v>3598</v>
      </c>
      <c r="C203" s="362" t="str">
        <f>CONCATENATE(this_instance,"-svc-vcfops-vlsr")</f>
        <v>sfo-svc-vcfops-vlsr</v>
      </c>
      <c r="D203" s="347"/>
      <c r="E203" s="337" t="s">
        <v>3479</v>
      </c>
    </row>
    <row r="204" spans="2:5" ht="20.100000000000001" customHeight="1" x14ac:dyDescent="0.2">
      <c r="B204" s="4" t="s">
        <v>3599</v>
      </c>
      <c r="C204" s="362" t="s">
        <v>297</v>
      </c>
      <c r="D204" s="347"/>
      <c r="E204" s="337"/>
    </row>
    <row r="205" spans="2:5" ht="20.100000000000001" customHeight="1" x14ac:dyDescent="0.2">
      <c r="B205" s="4" t="s">
        <v>3361</v>
      </c>
      <c r="C205" s="362" t="str">
        <f>CONCATENATE(this_instance,"-svc-vcfops-vr")</f>
        <v>sfo-svc-vcfops-vr</v>
      </c>
      <c r="D205" s="347"/>
      <c r="E205" s="337"/>
    </row>
    <row r="206" spans="2:5" ht="20.100000000000001" customHeight="1" x14ac:dyDescent="0.2">
      <c r="B206" s="4" t="s">
        <v>3362</v>
      </c>
      <c r="C206" s="362" t="s">
        <v>297</v>
      </c>
      <c r="D206" s="347"/>
      <c r="E206" s="337"/>
    </row>
    <row r="208" spans="2:5" ht="32.1" customHeight="1" x14ac:dyDescent="0.2">
      <c r="B208" s="511" t="s">
        <v>3600</v>
      </c>
      <c r="C208" s="512"/>
      <c r="D208" s="512"/>
      <c r="E208" s="513"/>
    </row>
    <row r="209" spans="2:5" ht="20.100000000000001" customHeight="1" x14ac:dyDescent="0.2">
      <c r="B209" s="514"/>
      <c r="C209" s="515"/>
      <c r="D209" s="515"/>
      <c r="E209" s="516"/>
    </row>
    <row r="210" spans="2:5" ht="20.100000000000001" customHeight="1" x14ac:dyDescent="0.2">
      <c r="B210" s="346" t="s">
        <v>37</v>
      </c>
      <c r="C210" s="346" t="s">
        <v>276</v>
      </c>
      <c r="D210" s="346" t="s">
        <v>277</v>
      </c>
      <c r="E210" s="346" t="s">
        <v>5</v>
      </c>
    </row>
    <row r="211" spans="2:5" ht="20.100000000000001" customHeight="1" x14ac:dyDescent="0.2">
      <c r="B211" s="4" t="s">
        <v>3360</v>
      </c>
      <c r="C211" s="362" t="str">
        <f>sample_wld_rwr_vc_fqdn</f>
        <v>sfo-w01-vc01.sfo.rainpole.io</v>
      </c>
      <c r="D211" s="337" t="str">
        <f>wld_rwr_vc_fqdn</f>
        <v>Value Missing</v>
      </c>
      <c r="E211" s="337"/>
    </row>
    <row r="212" spans="2:5" ht="20.100000000000001" customHeight="1" x14ac:dyDescent="0.2">
      <c r="B212" s="4" t="s">
        <v>202</v>
      </c>
      <c r="C212" s="362" t="str">
        <f>sample_rwr_sso_domain_name</f>
        <v>sfo-w01.local</v>
      </c>
      <c r="D212" s="337" t="str">
        <f>rwr_sso_domain_name</f>
        <v>Value Missing</v>
      </c>
      <c r="E212" s="337"/>
    </row>
    <row r="213" spans="2:5" ht="20.100000000000001" customHeight="1" x14ac:dyDescent="0.2">
      <c r="B213" s="4" t="s">
        <v>3601</v>
      </c>
      <c r="C213" s="362" t="s">
        <v>3479</v>
      </c>
      <c r="D213" s="347"/>
      <c r="E213" s="337"/>
    </row>
    <row r="214" spans="2:5" ht="20.100000000000001" customHeight="1" x14ac:dyDescent="0.2">
      <c r="B214" s="4" t="s">
        <v>3602</v>
      </c>
      <c r="C214" s="362" t="s">
        <v>3487</v>
      </c>
      <c r="D214" s="347"/>
      <c r="E214" s="337"/>
    </row>
    <row r="215" spans="2:5" ht="20.100000000000001" customHeight="1" x14ac:dyDescent="0.2">
      <c r="B215" s="4" t="s">
        <v>3603</v>
      </c>
      <c r="C215" s="362" t="s">
        <v>3482</v>
      </c>
      <c r="D215" s="347"/>
      <c r="E215" s="337"/>
    </row>
    <row r="216" spans="2:5" ht="20.100000000000001" customHeight="1" x14ac:dyDescent="0.2">
      <c r="B216" s="4" t="s">
        <v>3604</v>
      </c>
      <c r="C216" s="362" t="s">
        <v>3490</v>
      </c>
      <c r="D216" s="347"/>
      <c r="E216" s="337"/>
    </row>
    <row r="218" spans="2:5" ht="32.1" customHeight="1" x14ac:dyDescent="0.2">
      <c r="B218" s="511" t="s">
        <v>3605</v>
      </c>
      <c r="C218" s="512"/>
      <c r="D218" s="512"/>
      <c r="E218" s="513"/>
    </row>
    <row r="219" spans="2:5" ht="20.100000000000001" customHeight="1" x14ac:dyDescent="0.2">
      <c r="B219" s="514"/>
      <c r="C219" s="515"/>
      <c r="D219" s="515"/>
      <c r="E219" s="516"/>
    </row>
    <row r="220" spans="2:5" ht="20.100000000000001" customHeight="1" x14ac:dyDescent="0.2">
      <c r="B220" s="346" t="s">
        <v>37</v>
      </c>
      <c r="C220" s="346" t="s">
        <v>276</v>
      </c>
      <c r="D220" s="346" t="s">
        <v>277</v>
      </c>
      <c r="E220" s="346" t="s">
        <v>5</v>
      </c>
    </row>
    <row r="221" spans="2:5" ht="20.100000000000001" customHeight="1" x14ac:dyDescent="0.2">
      <c r="B221" s="4" t="s">
        <v>3341</v>
      </c>
      <c r="C221" s="362" t="str">
        <f>sample_xreg_vrops_virtual_fqdn</f>
        <v>flt-ops01.rainpole.io</v>
      </c>
      <c r="D221" s="347"/>
      <c r="E221" s="337"/>
    </row>
    <row r="222" spans="2:5" ht="20.100000000000001" customHeight="1" x14ac:dyDescent="0.2">
      <c r="B222" s="4" t="s">
        <v>3606</v>
      </c>
      <c r="C222" s="362" t="s">
        <v>3494</v>
      </c>
      <c r="D222" s="347"/>
      <c r="E222" s="337"/>
    </row>
    <row r="223" spans="2:5" x14ac:dyDescent="0.2">
      <c r="D223" s="1"/>
    </row>
    <row r="224" spans="2:5" ht="32.1" customHeight="1" x14ac:dyDescent="0.2">
      <c r="B224" s="511" t="s">
        <v>3607</v>
      </c>
      <c r="C224" s="512"/>
      <c r="D224" s="512"/>
      <c r="E224" s="513"/>
    </row>
    <row r="225" spans="2:5" ht="20.100000000000001" customHeight="1" x14ac:dyDescent="0.2">
      <c r="B225" s="514"/>
      <c r="C225" s="515"/>
      <c r="D225" s="515"/>
      <c r="E225" s="516"/>
    </row>
    <row r="226" spans="2:5" ht="20.100000000000001" customHeight="1" x14ac:dyDescent="0.2">
      <c r="B226" s="346" t="s">
        <v>37</v>
      </c>
      <c r="C226" s="346" t="s">
        <v>276</v>
      </c>
      <c r="D226" s="346" t="s">
        <v>277</v>
      </c>
      <c r="E226" s="346" t="s">
        <v>5</v>
      </c>
    </row>
    <row r="227" spans="2:5" ht="20.100000000000001" customHeight="1" x14ac:dyDescent="0.2">
      <c r="B227" s="4" t="s">
        <v>3341</v>
      </c>
      <c r="C227" s="362" t="str">
        <f>sample_xreg_vrops_virtual_fqdn</f>
        <v>flt-ops01.rainpole.io</v>
      </c>
      <c r="D227" s="347"/>
      <c r="E227" s="337"/>
    </row>
    <row r="228" spans="2:5" ht="20.100000000000001" customHeight="1" x14ac:dyDescent="0.2">
      <c r="B228" s="4" t="s">
        <v>259</v>
      </c>
      <c r="C228" s="362" t="str">
        <f>CONCATENATE(sample_wld_sddc_domain,"-vlsr")</f>
        <v>sfo-w01-vlsr</v>
      </c>
      <c r="D228" s="347"/>
      <c r="E228" s="337"/>
    </row>
    <row r="229" spans="2:5" ht="20.100000000000001" customHeight="1" x14ac:dyDescent="0.2">
      <c r="B229" s="4" t="s">
        <v>3608</v>
      </c>
      <c r="C229" s="362" t="str">
        <f>sample_wld_vlr_fqdn</f>
        <v>sfo-w01-vlr01.sfo.rainpole.io</v>
      </c>
      <c r="D229" s="347"/>
      <c r="E229" s="337"/>
    </row>
    <row r="230" spans="2:5" ht="20.100000000000001" customHeight="1" x14ac:dyDescent="0.2">
      <c r="B230" s="4" t="s">
        <v>3609</v>
      </c>
      <c r="C230" s="362">
        <v>443</v>
      </c>
      <c r="D230" s="347"/>
      <c r="E230" s="337"/>
    </row>
    <row r="231" spans="2:5" ht="20.100000000000001" customHeight="1" x14ac:dyDescent="0.2">
      <c r="B231" s="4" t="s">
        <v>3610</v>
      </c>
      <c r="C231" s="362" t="str">
        <f>sample_wld_rwr_vcfops_vlsr_username</f>
        <v>sfo-svc-vcfops-vlsr</v>
      </c>
      <c r="D231" s="337" t="str">
        <f>CONCATENATE(wld_rwr_vcfops_vlsr_username,"-cred")</f>
        <v>Value Missing-cred</v>
      </c>
      <c r="E231" s="337"/>
    </row>
    <row r="232" spans="2:5" ht="20.100000000000001" customHeight="1" x14ac:dyDescent="0.2">
      <c r="B232" s="4" t="s">
        <v>565</v>
      </c>
      <c r="C232" s="362" t="str">
        <f>CONCATENATE(sample_wld_rwr_vcfops_vlsr_username,"@",this_instance,"-w01.local")</f>
        <v>sfo-svc-vcfops-vlsr@sfo-w01.local</v>
      </c>
      <c r="D232" s="347"/>
      <c r="E232" s="337"/>
    </row>
    <row r="233" spans="2:5" ht="20.100000000000001" customHeight="1" x14ac:dyDescent="0.2">
      <c r="B233" s="4" t="s">
        <v>296</v>
      </c>
      <c r="C233" s="362" t="s">
        <v>297</v>
      </c>
      <c r="D233" s="347"/>
      <c r="E233" s="337"/>
    </row>
    <row r="234" spans="2:5" ht="20.100000000000001" customHeight="1" x14ac:dyDescent="0.2">
      <c r="B234" s="4" t="s">
        <v>3611</v>
      </c>
      <c r="C234" s="362" t="str">
        <f>CONCATENATE(sample_xreg_vrops_collector_fqdn, " or ", this_instance,"-m01-collector-group")</f>
        <v>sfo-cp01.sfo.rainpole.io or sfo-m01-collector-group</v>
      </c>
      <c r="D234" s="347"/>
      <c r="E234" s="337"/>
    </row>
    <row r="236" spans="2:5" ht="32.1" customHeight="1" x14ac:dyDescent="0.2">
      <c r="B236" s="511" t="s">
        <v>3612</v>
      </c>
      <c r="C236" s="512"/>
      <c r="D236" s="512"/>
      <c r="E236" s="513"/>
    </row>
    <row r="237" spans="2:5" ht="20.100000000000001" customHeight="1" x14ac:dyDescent="0.2">
      <c r="B237" s="514"/>
      <c r="C237" s="515"/>
      <c r="D237" s="515"/>
      <c r="E237" s="516"/>
    </row>
    <row r="238" spans="2:5" ht="20.100000000000001" customHeight="1" x14ac:dyDescent="0.2">
      <c r="B238" s="346" t="s">
        <v>37</v>
      </c>
      <c r="C238" s="346" t="s">
        <v>276</v>
      </c>
      <c r="D238" s="346" t="s">
        <v>277</v>
      </c>
      <c r="E238" s="346" t="s">
        <v>5</v>
      </c>
    </row>
    <row r="239" spans="2:5" ht="20.100000000000001" customHeight="1" x14ac:dyDescent="0.2">
      <c r="B239" s="4" t="s">
        <v>3341</v>
      </c>
      <c r="C239" s="362" t="str">
        <f>sample_xreg_vrops_virtual_fqdn</f>
        <v>flt-ops01.rainpole.io</v>
      </c>
      <c r="D239" s="347"/>
      <c r="E239" s="337"/>
    </row>
    <row r="240" spans="2:5" ht="20.100000000000001" customHeight="1" x14ac:dyDescent="0.2">
      <c r="B240" s="4" t="s">
        <v>259</v>
      </c>
      <c r="C240" s="362" t="str">
        <f>CONCATENATE(sample_wld_sddc_domain,"-vr")</f>
        <v>sfo-w01-vr</v>
      </c>
      <c r="D240" s="347"/>
      <c r="E240" s="337"/>
    </row>
    <row r="241" spans="2:5" ht="20.100000000000001" customHeight="1" x14ac:dyDescent="0.2">
      <c r="B241" s="4" t="s">
        <v>3613</v>
      </c>
      <c r="C241" s="362" t="str">
        <f>sample_wld_vc_fqdn</f>
        <v>sfo-w01-vc01.sfo.rainpole.io</v>
      </c>
      <c r="D241" s="347"/>
      <c r="E241" s="337"/>
    </row>
    <row r="242" spans="2:5" ht="20.100000000000001" customHeight="1" x14ac:dyDescent="0.2">
      <c r="B242" s="4" t="s">
        <v>3610</v>
      </c>
      <c r="C242" s="362" t="str">
        <f>sample_wld_rwr_vcfops_vr_username</f>
        <v>sfo-svc-vcfops-vr</v>
      </c>
      <c r="D242" s="337" t="str">
        <f>CONCATENATE(wld_rwr_vcfops_vr_username,"-cred")</f>
        <v>Value Missing-cred</v>
      </c>
      <c r="E242" s="337"/>
    </row>
    <row r="243" spans="2:5" ht="20.100000000000001" customHeight="1" x14ac:dyDescent="0.2">
      <c r="B243" s="4" t="s">
        <v>565</v>
      </c>
      <c r="C243" s="362" t="str">
        <f>CONCATENATE(sample_wld_rwr_vcfops_vr_username,,"@",this_instance,"-w01.local")</f>
        <v>sfo-svc-vcfops-vr@sfo-w01.local</v>
      </c>
      <c r="D243" s="347"/>
      <c r="E243" s="337"/>
    </row>
    <row r="244" spans="2:5" ht="20.100000000000001" customHeight="1" x14ac:dyDescent="0.2">
      <c r="B244" s="4" t="s">
        <v>296</v>
      </c>
      <c r="C244" s="362" t="s">
        <v>297</v>
      </c>
      <c r="D244" s="347"/>
      <c r="E244" s="337"/>
    </row>
    <row r="245" spans="2:5" ht="20.100000000000001" customHeight="1" x14ac:dyDescent="0.2">
      <c r="B245" s="4" t="s">
        <v>3611</v>
      </c>
      <c r="C245" s="362" t="str">
        <f>CONCATENATE(sample_xreg_vrops_collector_fqdn, " or ", this_instance,"-m01-collector-group")</f>
        <v>sfo-cp01.sfo.rainpole.io or sfo-m01-collector-group</v>
      </c>
      <c r="D245" s="347"/>
      <c r="E245" s="337"/>
    </row>
    <row r="247" spans="2:5" ht="32.1" customHeight="1" x14ac:dyDescent="0.2">
      <c r="B247" s="511" t="s">
        <v>3614</v>
      </c>
      <c r="C247" s="512"/>
      <c r="D247" s="512"/>
      <c r="E247" s="513"/>
    </row>
    <row r="248" spans="2:5" ht="20.100000000000001" customHeight="1" x14ac:dyDescent="0.2">
      <c r="B248" s="514"/>
      <c r="C248" s="515"/>
      <c r="D248" s="515"/>
      <c r="E248" s="516"/>
    </row>
    <row r="249" spans="2:5" ht="20.100000000000001" customHeight="1" x14ac:dyDescent="0.2">
      <c r="B249" s="346" t="s">
        <v>37</v>
      </c>
      <c r="C249" s="346" t="s">
        <v>276</v>
      </c>
      <c r="D249" s="346" t="s">
        <v>277</v>
      </c>
      <c r="E249" s="346" t="s">
        <v>5</v>
      </c>
    </row>
    <row r="250" spans="2:5" ht="20.100000000000001" customHeight="1" x14ac:dyDescent="0.2">
      <c r="B250" s="4" t="s">
        <v>3341</v>
      </c>
      <c r="C250" s="362" t="str">
        <f>sample_xreg_vrops_virtual_fqdn</f>
        <v>flt-ops01.rainpole.io</v>
      </c>
      <c r="D250" s="347"/>
      <c r="E250" s="337"/>
    </row>
  </sheetData>
  <sheetProtection algorithmName="SHA-512" hashValue="66XVo52oYYPhMk5ahMj9dyw3dvvdI8QV4Sy9wXIOaG6FQ8GYXhYBEZu4OVLw4UBQzLfl8yirU0J9EwkQTwB6kQ==" saltValue="kQ0PwX0qJTNeYFF61mtHOA=="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notContainsBlanks" dxfId="2488" priority="31">
      <formula>LEN(TRIM(D9))&gt;0</formula>
    </cfRule>
    <cfRule type="containsBlanks" dxfId="2487" priority="32">
      <formula>LEN(TRIM(D9))=0</formula>
    </cfRule>
  </conditionalFormatting>
  <conditionalFormatting sqref="D29:D37">
    <cfRule type="notContainsBlanks" dxfId="2486" priority="34">
      <formula>LEN(TRIM(D29))&gt;0</formula>
    </cfRule>
    <cfRule type="containsBlanks" dxfId="2485" priority="35">
      <formula>LEN(TRIM(D29))=0</formula>
    </cfRule>
  </conditionalFormatting>
  <conditionalFormatting sqref="D42:D45">
    <cfRule type="notContainsBlanks" dxfId="2484" priority="37">
      <formula>LEN(TRIM(D42))&gt;0</formula>
    </cfRule>
    <cfRule type="containsBlanks" dxfId="2483" priority="38">
      <formula>LEN(TRIM(D42))=0</formula>
    </cfRule>
  </conditionalFormatting>
  <conditionalFormatting sqref="D50:D52">
    <cfRule type="notContainsBlanks" dxfId="2482" priority="2">
      <formula>LEN(TRIM(D50))&gt;0</formula>
    </cfRule>
    <cfRule type="containsBlanks" dxfId="2481" priority="3">
      <formula>LEN(TRIM(D50))=0</formula>
    </cfRule>
  </conditionalFormatting>
  <conditionalFormatting sqref="D57:D64">
    <cfRule type="containsBlanks" dxfId="2480" priority="44">
      <formula>LEN(TRIM(D57))=0</formula>
    </cfRule>
    <cfRule type="notContainsBlanks" dxfId="2479" priority="43">
      <formula>LEN(TRIM(D57))&gt;0</formula>
    </cfRule>
  </conditionalFormatting>
  <conditionalFormatting sqref="D69:D72">
    <cfRule type="containsBlanks" dxfId="2478" priority="50">
      <formula>LEN(TRIM(D69))=0</formula>
    </cfRule>
    <cfRule type="notContainsBlanks" dxfId="2477" priority="49">
      <formula>LEN(TRIM(D69))&gt;0</formula>
    </cfRule>
  </conditionalFormatting>
  <conditionalFormatting sqref="D77:D91">
    <cfRule type="containsBlanks" dxfId="2476" priority="53">
      <formula>LEN(TRIM(D77))=0</formula>
    </cfRule>
    <cfRule type="notContainsBlanks" dxfId="2475" priority="52">
      <formula>LEN(TRIM(D77))&gt;0</formula>
    </cfRule>
  </conditionalFormatting>
  <conditionalFormatting sqref="D96:D113">
    <cfRule type="containsBlanks" dxfId="2474" priority="56">
      <formula>LEN(TRIM(D96))=0</formula>
    </cfRule>
    <cfRule type="notContainsBlanks" dxfId="2473" priority="55">
      <formula>LEN(TRIM(D96))&gt;0</formula>
    </cfRule>
  </conditionalFormatting>
  <conditionalFormatting sqref="D118 D120:D123 D125:D132 D134:D137">
    <cfRule type="notContainsBlanks" dxfId="2472" priority="58">
      <formula>LEN(TRIM(D118))&gt;0</formula>
    </cfRule>
    <cfRule type="expression" dxfId="2471" priority="9">
      <formula>mgmt_domain_chosen="First Instance"</formula>
    </cfRule>
    <cfRule type="containsBlanks" dxfId="2470" priority="59">
      <formula>LEN(TRIM(D118))=0</formula>
    </cfRule>
  </conditionalFormatting>
  <conditionalFormatting sqref="D142:D144">
    <cfRule type="notContainsBlanks" dxfId="2469" priority="62">
      <formula>LEN(TRIM(D142))&gt;0</formula>
    </cfRule>
    <cfRule type="containsBlanks" dxfId="2468" priority="63">
      <formula>LEN(TRIM(D142))=0</formula>
    </cfRule>
  </conditionalFormatting>
  <conditionalFormatting sqref="D151:D157 D161:D164 D169:D176 D181:D188 D193:D194 D221:D222 D250">
    <cfRule type="containsBlanks" dxfId="2467" priority="133">
      <formula>LEN(TRIM(D151))=0</formula>
    </cfRule>
    <cfRule type="notContainsBlanks" dxfId="2466" priority="130" stopIfTrue="1">
      <formula>LEN(TRIM(D151))&gt;0</formula>
    </cfRule>
  </conditionalFormatting>
  <conditionalFormatting sqref="D151:D157 D163:D164">
    <cfRule type="expression" dxfId="2465" priority="132">
      <formula>mgmt_domain_chosen="Additional Instance"</formula>
    </cfRule>
  </conditionalFormatting>
  <conditionalFormatting sqref="D151:D157">
    <cfRule type="expression" dxfId="2464" priority="10">
      <formula>mgmt_domain_chosen="Additional Instance"</formula>
    </cfRule>
  </conditionalFormatting>
  <conditionalFormatting sqref="D161:D164">
    <cfRule type="expression" dxfId="2463" priority="7">
      <formula>mgmt_domain_chosen="Additional Instance"</formula>
    </cfRule>
  </conditionalFormatting>
  <conditionalFormatting sqref="D169:D176">
    <cfRule type="expression" dxfId="2462" priority="12">
      <formula>mgmt_domain_chosen="Additional Instance"</formula>
    </cfRule>
    <cfRule type="expression" dxfId="2461" priority="131">
      <formula>mgmt_domain_chosen="Additional Instance"</formula>
    </cfRule>
  </conditionalFormatting>
  <conditionalFormatting sqref="D181:D188">
    <cfRule type="expression" dxfId="2460" priority="13">
      <formula>mgmt_domain_chosen="Additional Instance"</formula>
    </cfRule>
  </conditionalFormatting>
  <conditionalFormatting sqref="D193:D194">
    <cfRule type="expression" dxfId="2459" priority="128">
      <formula>mgmt_domain_chosen="Additional Instance"</formula>
    </cfRule>
  </conditionalFormatting>
  <conditionalFormatting sqref="D201:D206">
    <cfRule type="containsBlanks" dxfId="2458" priority="29">
      <formula>LEN(TRIM(D201))=0</formula>
    </cfRule>
    <cfRule type="notContainsBlanks" dxfId="2457" priority="28">
      <formula>LEN(TRIM(D201))&gt;0</formula>
    </cfRule>
  </conditionalFormatting>
  <conditionalFormatting sqref="D211:D216">
    <cfRule type="containsBlanks" dxfId="2456" priority="26">
      <formula>LEN(TRIM(D211))=0</formula>
    </cfRule>
    <cfRule type="notContainsBlanks" dxfId="2455" priority="25">
      <formula>LEN(TRIM(D211))&gt;0</formula>
    </cfRule>
  </conditionalFormatting>
  <conditionalFormatting sqref="D221:D222">
    <cfRule type="expression" dxfId="2454" priority="127">
      <formula>mgmt_domain_chosen="Additional Instance"</formula>
    </cfRule>
  </conditionalFormatting>
  <conditionalFormatting sqref="D227:D234">
    <cfRule type="containsBlanks" dxfId="2453" priority="6">
      <formula>LEN(TRIM(D227))=0</formula>
    </cfRule>
    <cfRule type="notContainsBlanks" dxfId="2452" priority="5">
      <formula>LEN(TRIM(D227))&gt;0</formula>
    </cfRule>
  </conditionalFormatting>
  <conditionalFormatting sqref="D239:D245">
    <cfRule type="containsBlanks" dxfId="2451" priority="20">
      <formula>LEN(TRIM(D239))=0</formula>
    </cfRule>
    <cfRule type="notContainsBlanks" dxfId="2450" priority="19">
      <formula>LEN(TRIM(D239))&gt;0</formula>
    </cfRule>
  </conditionalFormatting>
  <conditionalFormatting sqref="D250">
    <cfRule type="expression" dxfId="2449"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defaultColWidth="10.875" defaultRowHeight="15" x14ac:dyDescent="0.2"/>
  <cols>
    <col min="1" max="1" width="2.875" style="8" customWidth="1"/>
    <col min="2" max="4" width="75.875" style="8" customWidth="1"/>
    <col min="5" max="5" width="100.875" style="8" customWidth="1"/>
    <col min="6" max="10" width="10.875" style="8" customWidth="1"/>
    <col min="11" max="16384" width="10.875" style="8"/>
  </cols>
  <sheetData>
    <row r="2" spans="1:6" ht="54" customHeight="1" x14ac:dyDescent="0.2">
      <c r="A2" s="121"/>
      <c r="B2" s="521" t="s">
        <v>3615</v>
      </c>
      <c r="C2" s="521"/>
      <c r="D2" s="521"/>
      <c r="E2" s="521"/>
    </row>
    <row r="3" spans="1:6" ht="15.75" x14ac:dyDescent="0.2">
      <c r="A3" s="42"/>
      <c r="B3" s="522" t="s">
        <v>502</v>
      </c>
      <c r="C3" s="522"/>
      <c r="D3" s="522"/>
      <c r="E3" s="522"/>
      <c r="F3" s="19"/>
    </row>
    <row r="6" spans="1:6" ht="33.950000000000003" customHeight="1" x14ac:dyDescent="0.2">
      <c r="B6" s="408" t="s">
        <v>3616</v>
      </c>
      <c r="C6" s="409"/>
      <c r="D6" s="409"/>
      <c r="E6" s="410"/>
    </row>
    <row r="7" spans="1:6" ht="20.100000000000001" customHeight="1" x14ac:dyDescent="0.2">
      <c r="B7" s="414" t="s">
        <v>3617</v>
      </c>
      <c r="C7" s="415"/>
      <c r="D7" s="415"/>
      <c r="E7" s="416"/>
    </row>
    <row r="8" spans="1:6" ht="20.100000000000001" customHeight="1" x14ac:dyDescent="0.2">
      <c r="B8" s="346" t="s">
        <v>37</v>
      </c>
      <c r="C8" s="346" t="s">
        <v>276</v>
      </c>
      <c r="D8" s="346" t="s">
        <v>277</v>
      </c>
      <c r="E8" s="346" t="s">
        <v>5</v>
      </c>
    </row>
    <row r="9" spans="1:6" ht="20.100000000000001" customHeight="1" x14ac:dyDescent="0.2">
      <c r="B9" s="405" t="s">
        <v>402</v>
      </c>
      <c r="C9" s="406"/>
      <c r="D9" s="406"/>
      <c r="E9" s="407"/>
    </row>
    <row r="10" spans="1:6" ht="20.100000000000001" customHeight="1" x14ac:dyDescent="0.25">
      <c r="B10" s="128" t="s">
        <v>398</v>
      </c>
      <c r="C10" s="89" t="str">
        <f>sample_mgmt_az1_mgmt_vm_vlan</f>
        <v>1110</v>
      </c>
      <c r="D10" s="337">
        <f>mgmt_az1_mgmt_vm_vlan</f>
        <v>250</v>
      </c>
      <c r="E10" s="33"/>
    </row>
    <row r="11" spans="1:6" ht="20.100000000000001" customHeight="1" x14ac:dyDescent="0.25">
      <c r="B11" s="128" t="s">
        <v>399</v>
      </c>
      <c r="C11" s="80" t="str">
        <f>sample_mgmt_az1_mgmt_vm_gateway_ip</f>
        <v>10.11.10.1</v>
      </c>
      <c r="D11" s="337" t="str">
        <f>mgmt_az1_mgmt_vm_gateway_ip</f>
        <v>10.100.50.1</v>
      </c>
      <c r="E11" s="33"/>
    </row>
    <row r="12" spans="1:6" ht="20.100000000000001" customHeight="1" x14ac:dyDescent="0.25">
      <c r="B12" s="128" t="s">
        <v>400</v>
      </c>
      <c r="C12" s="80" t="str">
        <f>sample_mgmt_az1_mgmt_vm_cidr</f>
        <v>10.11.10.0/24</v>
      </c>
      <c r="D12" s="337" t="str">
        <f>mgmt_az1_mgmt_cidr</f>
        <v>10.100.51.0/24</v>
      </c>
      <c r="E12" s="33"/>
    </row>
    <row r="13" spans="1:6" ht="20.100000000000001" customHeight="1" x14ac:dyDescent="0.2">
      <c r="B13" s="4" t="s">
        <v>401</v>
      </c>
      <c r="C13" s="80">
        <f>sample_mgmt_az1_mgmt_vm_mtu</f>
        <v>1500</v>
      </c>
      <c r="D13" s="337">
        <f>mgmt_az1_mgmt_vm_mtu</f>
        <v>1500</v>
      </c>
      <c r="E13" s="33"/>
    </row>
    <row r="14" spans="1:6" ht="20.100000000000001" customHeight="1" x14ac:dyDescent="0.2">
      <c r="B14" s="405" t="s">
        <v>664</v>
      </c>
      <c r="C14" s="406"/>
      <c r="D14" s="406"/>
      <c r="E14" s="407"/>
    </row>
    <row r="15" spans="1:6" ht="20.100000000000001" customHeight="1" x14ac:dyDescent="0.2">
      <c r="B15" s="4" t="s">
        <v>398</v>
      </c>
      <c r="C15" s="80" t="str">
        <f>sample_mgmt_az1_uplink01_vlan</f>
        <v>1117</v>
      </c>
      <c r="D15" s="337" t="str">
        <f>mgmt_az1_uplink01_vlan</f>
        <v>Value Missing</v>
      </c>
      <c r="E15" s="32"/>
    </row>
    <row r="16" spans="1:6" ht="20.100000000000001" customHeight="1" x14ac:dyDescent="0.2">
      <c r="B16" s="4" t="s">
        <v>399</v>
      </c>
      <c r="C16" s="80" t="str">
        <f>sample_mgmt_az1_uplink01_gateway_ip</f>
        <v>10.11.17.1</v>
      </c>
      <c r="D16" s="337" t="str">
        <f>mgmt_az1_uplink01_gateway_ip</f>
        <v>Value Missing</v>
      </c>
      <c r="E16" s="32"/>
    </row>
    <row r="17" spans="2:5" ht="20.100000000000001" customHeight="1" x14ac:dyDescent="0.2">
      <c r="B17" s="4" t="s">
        <v>400</v>
      </c>
      <c r="C17" s="80" t="str">
        <f>sample_mgmt_az1_uplink01_cidr</f>
        <v>10.11.17.0/24</v>
      </c>
      <c r="D17" s="337" t="str">
        <f>mgmt_az1_uplink01_cidr</f>
        <v>Value Missing</v>
      </c>
      <c r="E17" s="32"/>
    </row>
    <row r="18" spans="2:5" ht="20.100000000000001" customHeight="1" x14ac:dyDescent="0.2">
      <c r="B18" s="4" t="s">
        <v>401</v>
      </c>
      <c r="C18" s="80">
        <f>sample_mgmt_az1_uplink01_mtu</f>
        <v>9000</v>
      </c>
      <c r="D18" s="337" t="str">
        <f>mgmt_az1_uplink01_mtu</f>
        <v>Value Missing</v>
      </c>
      <c r="E18" s="32"/>
    </row>
    <row r="19" spans="2:5" ht="20.100000000000001" customHeight="1" x14ac:dyDescent="0.2">
      <c r="B19" s="405" t="s">
        <v>666</v>
      </c>
      <c r="C19" s="406"/>
      <c r="D19" s="406"/>
      <c r="E19" s="407"/>
    </row>
    <row r="20" spans="2:5" ht="20.100000000000001" customHeight="1" x14ac:dyDescent="0.2">
      <c r="B20" s="4" t="s">
        <v>398</v>
      </c>
      <c r="C20" s="80" t="str">
        <f>sample_mgmt_az1_uplink02_vlan</f>
        <v>1118</v>
      </c>
      <c r="D20" s="337" t="str">
        <f>mgmt_az1_uplink02_vlan</f>
        <v>Value Missing</v>
      </c>
      <c r="E20" s="93"/>
    </row>
    <row r="21" spans="2:5" ht="20.100000000000001" customHeight="1" x14ac:dyDescent="0.2">
      <c r="B21" s="4" t="s">
        <v>399</v>
      </c>
      <c r="C21" s="80" t="str">
        <f>sample_mgmt_az1_uplink02_gateway_ip</f>
        <v>10.11.18.1</v>
      </c>
      <c r="D21" s="337" t="str">
        <f>mgmt_az1_uplink02_gateway_ip</f>
        <v>Value Missing</v>
      </c>
      <c r="E21" s="32"/>
    </row>
    <row r="22" spans="2:5" ht="20.100000000000001" customHeight="1" x14ac:dyDescent="0.2">
      <c r="B22" s="4" t="s">
        <v>400</v>
      </c>
      <c r="C22" s="80" t="str">
        <f>sample_mgmt_az1_uplink02_cidr</f>
        <v>10.11.18.0/24</v>
      </c>
      <c r="D22" s="337" t="str">
        <f>mgmt_az1_uplink02_cidr</f>
        <v>Value Missing</v>
      </c>
      <c r="E22" s="32"/>
    </row>
    <row r="23" spans="2:5" ht="20.100000000000001" customHeight="1" x14ac:dyDescent="0.2">
      <c r="B23" s="4" t="s">
        <v>401</v>
      </c>
      <c r="C23" s="80">
        <f>sample_mgmt_az1_uplink02_mtu</f>
        <v>9000</v>
      </c>
      <c r="D23" s="337" t="str">
        <f>mgmt_az1_uplink02_mtu</f>
        <v>Value Missing</v>
      </c>
      <c r="E23" s="32"/>
    </row>
    <row r="24" spans="2:5" ht="20.100000000000001" customHeight="1" x14ac:dyDescent="0.2">
      <c r="B24" s="405" t="s">
        <v>667</v>
      </c>
      <c r="C24" s="406"/>
      <c r="D24" s="406"/>
      <c r="E24" s="407"/>
    </row>
    <row r="25" spans="2:5" ht="20.100000000000001" customHeight="1" x14ac:dyDescent="0.2">
      <c r="B25" s="4" t="s">
        <v>398</v>
      </c>
      <c r="C25" s="80" t="str">
        <f>sample_mgmt_az1_edge_overlay_vlan</f>
        <v>1119</v>
      </c>
      <c r="D25" s="337" t="str">
        <f>mgmt_az1_edge_overlay_vlan</f>
        <v>Value Missing</v>
      </c>
      <c r="E25" s="32" t="str">
        <f>IF(AND(mgmt_stretched_cluster_result="Included",mgmt_dpg_reuse_result="Included"),"Stretched L2","")</f>
        <v/>
      </c>
    </row>
    <row r="26" spans="2:5" ht="20.100000000000001" customHeight="1" x14ac:dyDescent="0.2">
      <c r="B26" s="4" t="s">
        <v>399</v>
      </c>
      <c r="C26" s="80" t="str">
        <f>sample_mgmt_az1_edge_overlay_gateway_ip</f>
        <v>10.11.19.1</v>
      </c>
      <c r="D26" s="337" t="str">
        <f>mgmt_az1_edge_overlay_gateway_ip</f>
        <v>Value Missing</v>
      </c>
      <c r="E26" s="32" t="str">
        <f>IF(AND(mgmt_stretched_cluster_result="Included",mgmt_dpg_reuse_result="Excluded"),"Stretched L2","")</f>
        <v/>
      </c>
    </row>
    <row r="27" spans="2:5" ht="20.100000000000001" customHeight="1" x14ac:dyDescent="0.2">
      <c r="B27" s="4" t="s">
        <v>400</v>
      </c>
      <c r="C27" s="80" t="str">
        <f>sample_mgmt_az1_edge_overlay_cidr</f>
        <v>10.11.19.0/24</v>
      </c>
      <c r="D27" s="337" t="str">
        <f>mgmt_az1_edge_overlay_cidr</f>
        <v>Value Missing</v>
      </c>
      <c r="E27" s="32"/>
    </row>
    <row r="28" spans="2:5" ht="20.100000000000001" customHeight="1" x14ac:dyDescent="0.2">
      <c r="B28" s="4" t="s">
        <v>401</v>
      </c>
      <c r="C28" s="80">
        <f>sample_mgmt_az1_edge_overlay_mtu</f>
        <v>9000</v>
      </c>
      <c r="D28" s="337" t="str">
        <f>mgmt_az1_edge_overlay_mtu</f>
        <v>Value Missing</v>
      </c>
      <c r="E28" s="32"/>
    </row>
    <row r="29" spans="2:5" ht="20.100000000000001" customHeight="1" x14ac:dyDescent="0.2">
      <c r="B29" s="522" t="s">
        <v>3618</v>
      </c>
      <c r="C29" s="522"/>
      <c r="D29" s="522"/>
      <c r="E29" s="522"/>
    </row>
    <row r="30" spans="2:5" ht="20.100000000000001" customHeight="1" x14ac:dyDescent="0.2">
      <c r="B30" s="4" t="s">
        <v>1411</v>
      </c>
      <c r="C30" s="80" t="str">
        <f>sample_mgmt_en_asn</f>
        <v>65101</v>
      </c>
      <c r="D30" s="337" t="str">
        <f>mgmt_en_asn</f>
        <v>Value Missing</v>
      </c>
      <c r="E30" s="32"/>
    </row>
    <row r="31" spans="2:5" ht="20.100000000000001" customHeight="1" x14ac:dyDescent="0.2">
      <c r="B31" s="4" t="s">
        <v>648</v>
      </c>
      <c r="C31" s="80" t="str">
        <f>sample_mgmt_az1_tor1_peer_ip</f>
        <v>10.11.17.10</v>
      </c>
      <c r="D31" s="337" t="str">
        <f>mgmt_az1_tor1_peer_ip</f>
        <v>Value Missing</v>
      </c>
      <c r="E31" s="32"/>
    </row>
    <row r="32" spans="2:5" ht="20.100000000000001" customHeight="1" x14ac:dyDescent="0.2">
      <c r="B32" s="4" t="s">
        <v>649</v>
      </c>
      <c r="C32" s="80" t="str">
        <f>sample_mgmt_az1_tor1_peer_asn</f>
        <v>65111</v>
      </c>
      <c r="D32" s="337" t="str">
        <f>mgmt_az1_tor1_peer_asn</f>
        <v>Value Missing</v>
      </c>
      <c r="E32" s="32"/>
    </row>
    <row r="33" spans="2:5" ht="20.100000000000001" customHeight="1" x14ac:dyDescent="0.2">
      <c r="B33" s="4" t="s">
        <v>650</v>
      </c>
      <c r="C33" s="80" t="str">
        <f>sample_mgmt_az1_tor1_peer_bgp_password</f>
        <v>VMw@re1!</v>
      </c>
      <c r="D33" s="337" t="str">
        <f>mgmt_az1_tor1_peer_bgp_password</f>
        <v>Value Missing</v>
      </c>
      <c r="E33" s="32"/>
    </row>
    <row r="34" spans="2:5" ht="20.100000000000001" customHeight="1" x14ac:dyDescent="0.2">
      <c r="B34" s="4" t="s">
        <v>651</v>
      </c>
      <c r="C34" s="80" t="str">
        <f>sample_mgmt_az1_tor2_peer_ip</f>
        <v>10.11.18.10</v>
      </c>
      <c r="D34" s="337" t="str">
        <f>mgmt_az1_tor2_peer_ip</f>
        <v>Value Missing</v>
      </c>
      <c r="E34" s="32"/>
    </row>
    <row r="35" spans="2:5" ht="20.100000000000001" customHeight="1" x14ac:dyDescent="0.2">
      <c r="B35" s="4" t="s">
        <v>652</v>
      </c>
      <c r="C35" s="80" t="str">
        <f>sample_mgmt_az1_tor2_peer_asn</f>
        <v>65111</v>
      </c>
      <c r="D35" s="337" t="str">
        <f>mgmt_az1_tor2_peer_asn</f>
        <v>Value Missing</v>
      </c>
      <c r="E35" s="32"/>
    </row>
    <row r="36" spans="2:5" ht="20.100000000000001" customHeight="1" x14ac:dyDescent="0.2">
      <c r="B36" s="4" t="s">
        <v>653</v>
      </c>
      <c r="C36" s="80" t="str">
        <f>sample_mgmt_az1_tor2_peer_bgp_password</f>
        <v>VMw@re1!</v>
      </c>
      <c r="D36" s="337" t="str">
        <f>mgmt_az1_tor2_peer_bgp_password</f>
        <v>Value Missing</v>
      </c>
      <c r="E36" s="32"/>
    </row>
    <row r="37" spans="2:5" ht="20.100000000000001" customHeight="1" x14ac:dyDescent="0.2">
      <c r="B37" s="405" t="s">
        <v>3619</v>
      </c>
      <c r="C37" s="406"/>
      <c r="D37" s="406"/>
      <c r="E37" s="407"/>
    </row>
    <row r="38" spans="2:5" ht="20.100000000000001" customHeight="1" x14ac:dyDescent="0.2">
      <c r="B38" s="30" t="str">
        <f>mgmt_az1_en1_fqdn</f>
        <v>Value Missing</v>
      </c>
      <c r="C38" s="80" t="str">
        <f>sample_mgmt_az1_en1_mgmt_cidr</f>
        <v>10.11.10.75/24</v>
      </c>
      <c r="D38" s="337" t="str">
        <f>mgmt_az1_en1_mgmt_cidr</f>
        <v>Value Missing</v>
      </c>
      <c r="E38" s="337"/>
    </row>
    <row r="39" spans="2:5" ht="20.100000000000001" customHeight="1" x14ac:dyDescent="0.2">
      <c r="B39" s="99" t="s">
        <v>473</v>
      </c>
      <c r="C39" s="80" t="str">
        <f>sample_mgmt_az1_en1_uplink01_interface_cidr</f>
        <v>10.11.17.2/24</v>
      </c>
      <c r="D39" s="337" t="str">
        <f>mgmt_az1_en1_uplink01_interface_cidr</f>
        <v>Value Missing</v>
      </c>
      <c r="E39" s="337" t="s">
        <v>638</v>
      </c>
    </row>
    <row r="40" spans="2:5" ht="20.100000000000001" customHeight="1" x14ac:dyDescent="0.2">
      <c r="B40" s="99" t="s">
        <v>473</v>
      </c>
      <c r="C40" s="80" t="str">
        <f>sample_mgmt_az1_en1_uplink02_interface_cidr</f>
        <v>10.11.18.2/24</v>
      </c>
      <c r="D40" s="337" t="str">
        <f>mgmt_az1_en1_uplink02_interface_cidr</f>
        <v>Value Missing</v>
      </c>
      <c r="E40" s="337" t="s">
        <v>1441</v>
      </c>
    </row>
    <row r="41" spans="2:5" ht="20.100000000000001" customHeight="1" x14ac:dyDescent="0.2">
      <c r="B41" s="179" t="s">
        <v>473</v>
      </c>
      <c r="C41" s="80" t="str">
        <f>sample_mgmt_az1_en1_edge_overlay_interface_ip_1_ip</f>
        <v>10.11.19.2</v>
      </c>
      <c r="D41" s="337" t="str">
        <f>mgmt_az1_en1_edge_overlay_interface_ip_1_ip</f>
        <v>Value Missing</v>
      </c>
      <c r="E41" s="337" t="s">
        <v>1430</v>
      </c>
    </row>
    <row r="42" spans="2:5" ht="20.100000000000001" customHeight="1" x14ac:dyDescent="0.2">
      <c r="B42" s="180" t="s">
        <v>473</v>
      </c>
      <c r="C42" s="80" t="str">
        <f>sample_mgmt_az1_en1_edge_overlay_interface_ip_2_ip</f>
        <v>10.11.19.3</v>
      </c>
      <c r="D42" s="337" t="str">
        <f>mgmt_az1_en1_edge_overlay_interface_ip_2_ip</f>
        <v>Value Missing</v>
      </c>
      <c r="E42" s="337" t="s">
        <v>3620</v>
      </c>
    </row>
    <row r="43" spans="2:5" ht="20.100000000000001" customHeight="1" x14ac:dyDescent="0.2">
      <c r="B43" s="30" t="str">
        <f>mgmt_az1_en2_fqdn</f>
        <v>Value Missing</v>
      </c>
      <c r="C43" s="80" t="str">
        <f>sample_mgmt_az1_en2_mgmt_cidr</f>
        <v>10.11.10.76/24</v>
      </c>
      <c r="D43" s="337" t="str">
        <f>mgmt_az1_en2_mgmt_cidr</f>
        <v>Value Missing</v>
      </c>
      <c r="E43" s="337"/>
    </row>
    <row r="44" spans="2:5" ht="20.100000000000001" customHeight="1" x14ac:dyDescent="0.2">
      <c r="B44" s="99" t="s">
        <v>473</v>
      </c>
      <c r="C44" s="80" t="str">
        <f>sample_mgmt_az1_en2_uplink01_interface_cidr</f>
        <v>10.11.17.3/24</v>
      </c>
      <c r="D44" s="337" t="str">
        <f>mgmt_az1_en2_uplink01_interface_cidr</f>
        <v>Value Missing</v>
      </c>
      <c r="E44" s="337" t="s">
        <v>647</v>
      </c>
    </row>
    <row r="45" spans="2:5" ht="20.100000000000001" customHeight="1" x14ac:dyDescent="0.2">
      <c r="B45" s="99" t="s">
        <v>473</v>
      </c>
      <c r="C45" s="80" t="str">
        <f>sample_mgmt_az1_en2_uplink02_interface_cidr</f>
        <v>10.11.18.3/24</v>
      </c>
      <c r="D45" s="337" t="str">
        <f>mgmt_az1_en2_uplink02_interface_cidr</f>
        <v>Value Missing</v>
      </c>
      <c r="E45" s="337" t="s">
        <v>645</v>
      </c>
    </row>
    <row r="46" spans="2:5" ht="20.100000000000001" customHeight="1" x14ac:dyDescent="0.2">
      <c r="B46" s="179" t="s">
        <v>473</v>
      </c>
      <c r="C46" s="80" t="str">
        <f>sample_mgmt_az1_en2_edge_overlay_interface_ip_1_ip</f>
        <v>10.11.19.4</v>
      </c>
      <c r="D46" s="337" t="str">
        <f>mgmt_az1_en2_edge_overlay_interface_ip_1_ip</f>
        <v>Value Missing</v>
      </c>
      <c r="E46" s="337" t="s">
        <v>1436</v>
      </c>
    </row>
    <row r="47" spans="2:5" ht="20.100000000000001" customHeight="1" x14ac:dyDescent="0.2">
      <c r="B47" s="180" t="s">
        <v>473</v>
      </c>
      <c r="C47" s="80" t="str">
        <f>sample_mgmt_az1_en2_edge_overlay_interface_ip_2_ip</f>
        <v>10.11.19.5</v>
      </c>
      <c r="D47" s="337" t="str">
        <f>mgmt_az1_en2_edge_overlay_interface_ip_2_ip</f>
        <v>Value Missing</v>
      </c>
      <c r="E47" s="337" t="s">
        <v>1438</v>
      </c>
    </row>
    <row r="49" spans="2:5" ht="33.950000000000003" customHeight="1" x14ac:dyDescent="0.2">
      <c r="B49" s="408" t="s">
        <v>3621</v>
      </c>
      <c r="C49" s="409"/>
      <c r="D49" s="409"/>
      <c r="E49" s="410"/>
    </row>
    <row r="50" spans="2:5" ht="20.100000000000001" customHeight="1" x14ac:dyDescent="0.2">
      <c r="B50" s="346" t="s">
        <v>37</v>
      </c>
      <c r="C50" s="346" t="s">
        <v>276</v>
      </c>
      <c r="D50" s="346" t="s">
        <v>277</v>
      </c>
      <c r="E50" s="346" t="s">
        <v>5</v>
      </c>
    </row>
    <row r="51" spans="2:5" ht="20.100000000000001" customHeight="1" x14ac:dyDescent="0.2">
      <c r="B51" s="405" t="s">
        <v>402</v>
      </c>
      <c r="C51" s="406"/>
      <c r="D51" s="406"/>
      <c r="E51" s="407"/>
    </row>
    <row r="52" spans="2:5" ht="20.100000000000001" customHeight="1" x14ac:dyDescent="0.2">
      <c r="B52" s="4" t="s">
        <v>398</v>
      </c>
      <c r="C52" s="89" t="str">
        <f>sample_mgmt_az1_mgmt_vm_vlan</f>
        <v>1110</v>
      </c>
      <c r="D52" s="337">
        <f>mgmt_az1_mgmt_vm_vlan</f>
        <v>250</v>
      </c>
      <c r="E52" s="33"/>
    </row>
    <row r="53" spans="2:5" ht="20.100000000000001" customHeight="1" x14ac:dyDescent="0.2">
      <c r="B53" s="4" t="s">
        <v>399</v>
      </c>
      <c r="C53" s="80" t="str">
        <f>sample_mgmt_az1_mgmt_vm_gateway_ip</f>
        <v>10.11.10.1</v>
      </c>
      <c r="D53" s="337" t="str">
        <f>mgmt_az1_mgmt_vm_gateway_ip</f>
        <v>10.100.50.1</v>
      </c>
      <c r="E53" s="33"/>
    </row>
    <row r="54" spans="2:5" ht="20.100000000000001" customHeight="1" x14ac:dyDescent="0.2">
      <c r="B54" s="4" t="s">
        <v>400</v>
      </c>
      <c r="C54" s="80" t="str">
        <f>sample_mgmt_az1_mgmt_vm_cidr</f>
        <v>10.11.10.0/24</v>
      </c>
      <c r="D54" s="337" t="str">
        <f>mgmt_az1_mgmt_cidr</f>
        <v>10.100.51.0/24</v>
      </c>
      <c r="E54" s="33"/>
    </row>
    <row r="55" spans="2:5" ht="20.100000000000001" customHeight="1" x14ac:dyDescent="0.2">
      <c r="B55" s="4" t="s">
        <v>401</v>
      </c>
      <c r="C55" s="80">
        <f>sample_mgmt_az1_mgmt_vm_mtu</f>
        <v>1500</v>
      </c>
      <c r="D55" s="337">
        <f>mgmt_az1_mgmt_vm_mtu</f>
        <v>1500</v>
      </c>
      <c r="E55" s="33"/>
    </row>
    <row r="56" spans="2:5" ht="20.100000000000001" customHeight="1" x14ac:dyDescent="0.2">
      <c r="B56" s="405" t="s">
        <v>3622</v>
      </c>
      <c r="C56" s="406"/>
      <c r="D56" s="406"/>
      <c r="E56" s="407"/>
    </row>
    <row r="57" spans="2:5" ht="20.100000000000001" customHeight="1" x14ac:dyDescent="0.2">
      <c r="B57" s="30" t="str">
        <f t="array" ref="B57">sample_mgmt_avilb_fqdn</f>
        <v>sfo-m01-avlb01.sfo.rainpole.io</v>
      </c>
      <c r="C57" s="80" t="str">
        <f>sample_mgmt_avilb_ip</f>
        <v>10.11.10.91</v>
      </c>
      <c r="D57" s="337" t="str">
        <f>mgmt_avilb_ip</f>
        <v>Value Missing</v>
      </c>
      <c r="E57" s="99" t="s">
        <v>683</v>
      </c>
    </row>
    <row r="58" spans="2:5" ht="20.100000000000001" customHeight="1" x14ac:dyDescent="0.2">
      <c r="B58" s="99" t="s">
        <v>473</v>
      </c>
      <c r="C58" s="80" t="str">
        <f>sample_mgmt_avilb_mgra_ip</f>
        <v>10.11.10.92</v>
      </c>
      <c r="D58" s="337" t="str">
        <f>mgmt_avilb_mgra_ip</f>
        <v>Value Missing</v>
      </c>
      <c r="E58" s="99" t="s">
        <v>677</v>
      </c>
    </row>
    <row r="59" spans="2:5" ht="20.100000000000001" customHeight="1" x14ac:dyDescent="0.2">
      <c r="B59" s="99" t="s">
        <v>473</v>
      </c>
      <c r="C59" s="80" t="str">
        <f>sample_mgmt_avilb_mgrb_ip</f>
        <v>10.11.10.93</v>
      </c>
      <c r="D59" s="337" t="str">
        <f>mgmt_avilb_mgrc_ip</f>
        <v>Value Missing</v>
      </c>
      <c r="E59" s="99" t="s">
        <v>679</v>
      </c>
    </row>
    <row r="60" spans="2:5" ht="20.100000000000001" customHeight="1" x14ac:dyDescent="0.2">
      <c r="B60" s="99" t="s">
        <v>473</v>
      </c>
      <c r="C60" s="80" t="str">
        <f>sample_mgmt_avilb_mgrc_ip</f>
        <v>10.11.10.94</v>
      </c>
      <c r="D60" s="337" t="str">
        <f>mgmt_avilb_mgrc_ip</f>
        <v>Value Missing</v>
      </c>
      <c r="E60" s="99" t="s">
        <v>681</v>
      </c>
    </row>
    <row r="62" spans="2:5" ht="33.950000000000003" customHeight="1" x14ac:dyDescent="0.2">
      <c r="B62" s="408" t="s">
        <v>3623</v>
      </c>
      <c r="C62" s="409"/>
      <c r="D62" s="409"/>
      <c r="E62" s="410"/>
    </row>
    <row r="63" spans="2:5" ht="20.100000000000001" customHeight="1" x14ac:dyDescent="0.2">
      <c r="B63" s="346" t="s">
        <v>37</v>
      </c>
      <c r="C63" s="346" t="s">
        <v>276</v>
      </c>
      <c r="D63" s="346" t="s">
        <v>277</v>
      </c>
      <c r="E63" s="346" t="s">
        <v>5</v>
      </c>
    </row>
    <row r="64" spans="2:5" ht="20.100000000000001" customHeight="1" x14ac:dyDescent="0.2">
      <c r="B64" s="405" t="s">
        <v>3624</v>
      </c>
      <c r="C64" s="406"/>
      <c r="D64" s="406"/>
      <c r="E64" s="407"/>
    </row>
    <row r="65" spans="2:5" ht="20.100000000000001" customHeight="1" x14ac:dyDescent="0.2">
      <c r="B65" s="4" t="s">
        <v>398</v>
      </c>
      <c r="C65" s="362" t="str">
        <f>sample_mgmt_witnessaz_mgmt_vlan</f>
        <v>2110</v>
      </c>
      <c r="D65" s="9" t="str">
        <f>mgmt_witnessaz_mgmt_vlan</f>
        <v>Value Missing</v>
      </c>
      <c r="E65" s="32"/>
    </row>
    <row r="66" spans="2:5" ht="20.100000000000001" customHeight="1" x14ac:dyDescent="0.2">
      <c r="B66" s="4" t="s">
        <v>399</v>
      </c>
      <c r="C66" s="362" t="str">
        <f>sample_mgmt_witnessaz_mgmt_gateway_ip</f>
        <v>10.21.10.1</v>
      </c>
      <c r="D66" s="9" t="str">
        <f>mgmt_witnessaz_mgmt_gateway_ip</f>
        <v>Value Missing</v>
      </c>
      <c r="E66" s="32"/>
    </row>
    <row r="67" spans="2:5" ht="20.100000000000001" customHeight="1" x14ac:dyDescent="0.2">
      <c r="B67" s="4" t="s">
        <v>400</v>
      </c>
      <c r="C67" s="362" t="str">
        <f>sample_mgmt_witnessaz_mgmt_cidr</f>
        <v>10.21.10.0/24</v>
      </c>
      <c r="D67" s="9" t="str">
        <f>mgmt_witnessaz_mgmt_cidr</f>
        <v>Value Missing</v>
      </c>
      <c r="E67" s="32"/>
    </row>
    <row r="68" spans="2:5" ht="20.100000000000001" customHeight="1" x14ac:dyDescent="0.2">
      <c r="B68" s="4" t="s">
        <v>401</v>
      </c>
      <c r="C68" s="362">
        <f>sample_mgmt_witnessaz_mgmt_mtu</f>
        <v>1500</v>
      </c>
      <c r="D68" s="9" t="str">
        <f>mgmt_witnessaz_mgmt_mtu</f>
        <v>Value Missing</v>
      </c>
      <c r="E68" s="32"/>
    </row>
    <row r="69" spans="2:5" ht="20.100000000000001" customHeight="1" x14ac:dyDescent="0.2">
      <c r="B69" s="417" t="s">
        <v>404</v>
      </c>
      <c r="C69" s="418"/>
      <c r="D69" s="418"/>
      <c r="E69" s="631"/>
    </row>
    <row r="70" spans="2:5" ht="20.100000000000001" customHeight="1" x14ac:dyDescent="0.2">
      <c r="B70" s="22" t="s">
        <v>398</v>
      </c>
      <c r="C70" s="80" t="str">
        <f>sample_mgmt_az2_vmotion_vlan</f>
        <v>1212</v>
      </c>
      <c r="D70" s="9" t="str">
        <f>mgmt_az2_vmotion_vlan</f>
        <v>Value Missing</v>
      </c>
      <c r="E70" s="199"/>
    </row>
    <row r="71" spans="2:5" ht="20.100000000000001" customHeight="1" x14ac:dyDescent="0.2">
      <c r="B71" s="22" t="s">
        <v>399</v>
      </c>
      <c r="C71" s="80" t="str">
        <f>sample_mgmt_az2_vmotion_gateway_ip</f>
        <v>10.12.12.1</v>
      </c>
      <c r="D71" s="9" t="str">
        <f>mgmt_az2_vmotion_gateway_ip</f>
        <v>Value Missing</v>
      </c>
      <c r="E71" s="160"/>
    </row>
    <row r="72" spans="2:5" ht="20.100000000000001" customHeight="1" x14ac:dyDescent="0.2">
      <c r="B72" s="22" t="s">
        <v>400</v>
      </c>
      <c r="C72" s="80" t="str">
        <f>CONCATENATE(prefix_mgmt_az2_cidr,"12.0/24")</f>
        <v>10.12.12.0/24</v>
      </c>
      <c r="D72" s="9" t="str">
        <f>mgmt_az2_vmotion_cidr</f>
        <v>Value Missing</v>
      </c>
      <c r="E72" s="160"/>
    </row>
    <row r="73" spans="2:5" ht="20.100000000000001" customHeight="1" x14ac:dyDescent="0.2">
      <c r="B73" s="22" t="s">
        <v>401</v>
      </c>
      <c r="C73" s="80">
        <f>sample_mgmt_az2_vmotion_mtu</f>
        <v>9000</v>
      </c>
      <c r="D73" s="9" t="str">
        <f>mgmt_az2_vmotion_mtu</f>
        <v>Value Missing</v>
      </c>
      <c r="E73" s="160"/>
    </row>
    <row r="74" spans="2:5" ht="20.100000000000001" customHeight="1" x14ac:dyDescent="0.2">
      <c r="B74" s="22" t="s">
        <v>460</v>
      </c>
      <c r="C74" s="80" t="str">
        <f>sample_mgmt_az2_vmotion_pool_end_ip</f>
        <v>10.12.12.116</v>
      </c>
      <c r="D74" s="9" t="str">
        <f>mgmt_az2_vmotion_pool_end_ip</f>
        <v>Value Missing</v>
      </c>
      <c r="E74" s="160"/>
    </row>
    <row r="75" spans="2:5" ht="20.100000000000001" customHeight="1" x14ac:dyDescent="0.2">
      <c r="B75" s="22" t="s">
        <v>461</v>
      </c>
      <c r="C75" s="80" t="str">
        <f>sample_mgmt_az2_vmotion_pool_start_ip</f>
        <v>10.12.12.101</v>
      </c>
      <c r="D75" s="9" t="str">
        <f>mgmt_az2_vmotion_pool_start_ip</f>
        <v>Value Missing</v>
      </c>
      <c r="E75" s="160"/>
    </row>
    <row r="76" spans="2:5" ht="20.100000000000001" customHeight="1" x14ac:dyDescent="0.2">
      <c r="B76" s="417" t="s">
        <v>407</v>
      </c>
      <c r="C76" s="418"/>
      <c r="D76" s="418"/>
      <c r="E76" s="419"/>
    </row>
    <row r="77" spans="2:5" ht="20.100000000000001" customHeight="1" x14ac:dyDescent="0.2">
      <c r="B77" s="22" t="s">
        <v>398</v>
      </c>
      <c r="C77" s="80" t="str">
        <f>sample_mgmt_az2_vsan_vlan</f>
        <v>1213</v>
      </c>
      <c r="D77" s="9" t="str">
        <f>mgmt_az2_vsan_vlan</f>
        <v>Value Missing</v>
      </c>
      <c r="E77" s="160"/>
    </row>
    <row r="78" spans="2:5" ht="20.100000000000001" customHeight="1" x14ac:dyDescent="0.2">
      <c r="B78" s="22" t="s">
        <v>399</v>
      </c>
      <c r="C78" s="80" t="str">
        <f>sample_mgmt_az2_vsan_gateway_ip</f>
        <v>10.12.13.1</v>
      </c>
      <c r="D78" s="9" t="str">
        <f>mgmt_az2_vsan_gateway_ip</f>
        <v>Value Missing</v>
      </c>
      <c r="E78" s="160" t="s">
        <v>3625</v>
      </c>
    </row>
    <row r="79" spans="2:5" ht="20.100000000000001" customHeight="1" x14ac:dyDescent="0.2">
      <c r="B79" s="22" t="s">
        <v>401</v>
      </c>
      <c r="C79" s="80">
        <f>sample_mgmt_az2_vsan_mtu</f>
        <v>9000</v>
      </c>
      <c r="D79" s="9" t="str">
        <f>mgmt_az2_vsan_mtu</f>
        <v>Value Missing</v>
      </c>
      <c r="E79" s="160"/>
    </row>
    <row r="80" spans="2:5" ht="20.100000000000001" customHeight="1" x14ac:dyDescent="0.2">
      <c r="B80" s="22" t="s">
        <v>400</v>
      </c>
      <c r="C80" s="80" t="str">
        <f>CONCATENATE(prefix_mgmt_az2_cidr,"13.0/24")</f>
        <v>10.12.13.0/24</v>
      </c>
      <c r="D80" s="9" t="str">
        <f>mgmt_az2_vsan_cidr</f>
        <v>Value Missing</v>
      </c>
      <c r="E80" s="160"/>
    </row>
    <row r="81" spans="2:5" ht="20.100000000000001" customHeight="1" x14ac:dyDescent="0.2">
      <c r="B81" s="22" t="s">
        <v>460</v>
      </c>
      <c r="C81" s="80" t="str">
        <f>sample_mgmt_az2_vsan_pool_start_ip</f>
        <v>10.12.13.101</v>
      </c>
      <c r="D81" s="9" t="str">
        <f>mgmt_az2_vsan_pool_start_ip</f>
        <v>Value Missing</v>
      </c>
      <c r="E81" s="160"/>
    </row>
    <row r="82" spans="2:5" ht="20.100000000000001" customHeight="1" x14ac:dyDescent="0.2">
      <c r="B82" s="22" t="s">
        <v>461</v>
      </c>
      <c r="C82" s="80" t="str">
        <f>sample_mgmt_az2_vsan_pool_end_ip</f>
        <v>10.12.13.116</v>
      </c>
      <c r="D82" s="9" t="str">
        <f>mgmt_az2_vsan_pool_end_ip</f>
        <v>Value Missing</v>
      </c>
      <c r="E82" s="160"/>
    </row>
    <row r="83" spans="2:5" ht="20.100000000000001" customHeight="1" x14ac:dyDescent="0.2">
      <c r="B83" s="417" t="s">
        <v>410</v>
      </c>
      <c r="C83" s="418"/>
      <c r="D83" s="418"/>
      <c r="E83" s="419"/>
    </row>
    <row r="84" spans="2:5" ht="20.100000000000001" customHeight="1" x14ac:dyDescent="0.2">
      <c r="B84" s="22" t="s">
        <v>398</v>
      </c>
      <c r="C84" s="135" t="str">
        <f>sample_mgmt_az2_secondary_storage_vlan</f>
        <v>1215</v>
      </c>
      <c r="D84" s="276" t="str">
        <f>mgmt_az2_secondary_storage_vlan</f>
        <v>Value Missing</v>
      </c>
      <c r="E84" s="160"/>
    </row>
    <row r="85" spans="2:5" ht="20.100000000000001" customHeight="1" x14ac:dyDescent="0.2">
      <c r="B85" s="22" t="s">
        <v>399</v>
      </c>
      <c r="C85" s="135" t="str">
        <f>sample_mgmt_az2_secondary_storage_gateway_ip</f>
        <v>10.12.15.1</v>
      </c>
      <c r="D85" s="276" t="str">
        <f>mgmt_az2_secondary_storage_gateway_ip</f>
        <v>Value Missing</v>
      </c>
      <c r="E85" s="160"/>
    </row>
    <row r="86" spans="2:5" ht="20.100000000000001" customHeight="1" x14ac:dyDescent="0.2">
      <c r="B86" s="22" t="s">
        <v>401</v>
      </c>
      <c r="C86" s="135">
        <f>sample_mgmt_az2_secondary_storage_mtu</f>
        <v>9000</v>
      </c>
      <c r="D86" s="276" t="str">
        <f>mgmt_az2_secondary_storage_mtu</f>
        <v>Value Missing</v>
      </c>
      <c r="E86" s="160"/>
    </row>
    <row r="87" spans="2:5" ht="20.100000000000001" customHeight="1" x14ac:dyDescent="0.2">
      <c r="B87" s="22" t="s">
        <v>400</v>
      </c>
      <c r="C87" s="135" t="str">
        <f>CONCATENATE(prefix_mgmt_az2_cidr,"15.0/24")</f>
        <v>10.12.15.0/24</v>
      </c>
      <c r="D87" s="276" t="str">
        <f>sample_mgmt_az2_secondary_storage_cidr</f>
        <v>10.12.15.0/24</v>
      </c>
      <c r="E87" s="160"/>
    </row>
    <row r="88" spans="2:5" ht="20.100000000000001" customHeight="1" x14ac:dyDescent="0.2">
      <c r="B88" s="22" t="s">
        <v>460</v>
      </c>
      <c r="C88" s="135" t="str">
        <f>sample_mgmt_az2_secondary_storage_pool_start_ip</f>
        <v>10.12.15.101</v>
      </c>
      <c r="D88" s="277" t="str">
        <f>mgmt_az2_secondary_storage_pool_start_ip</f>
        <v>Value Missing</v>
      </c>
      <c r="E88" s="160"/>
    </row>
    <row r="89" spans="2:5" ht="20.100000000000001" customHeight="1" x14ac:dyDescent="0.2">
      <c r="B89" s="22" t="s">
        <v>461</v>
      </c>
      <c r="C89" s="135" t="str">
        <f>sample_mgmt_az2_secondary_storage_pool_end_ip</f>
        <v>10.12.15.116</v>
      </c>
      <c r="D89" s="277" t="str">
        <f>mgmt_az2_secondary_storage_pool_end_ip</f>
        <v>Value Missing</v>
      </c>
      <c r="E89" s="160"/>
    </row>
    <row r="90" spans="2:5" ht="20.100000000000001" customHeight="1" x14ac:dyDescent="0.2">
      <c r="B90" s="417" t="s">
        <v>467</v>
      </c>
      <c r="C90" s="418"/>
      <c r="D90" s="418"/>
      <c r="E90" s="419"/>
    </row>
    <row r="91" spans="2:5" ht="20.100000000000001" customHeight="1" x14ac:dyDescent="0.2">
      <c r="B91" s="22" t="s">
        <v>398</v>
      </c>
      <c r="C91" s="80" t="str">
        <f>sample_mgmt_az2_host_overlay_vlan</f>
        <v>1214</v>
      </c>
      <c r="D91" s="9" t="str">
        <f>mgmt_az2_host_overlay_vlan</f>
        <v>Value Missing</v>
      </c>
      <c r="E91" s="160"/>
    </row>
    <row r="92" spans="2:5" ht="20.100000000000001" customHeight="1" x14ac:dyDescent="0.2">
      <c r="B92" s="22" t="s">
        <v>399</v>
      </c>
      <c r="C92" s="80" t="str">
        <f>sample_mgmt_az2_host_overlay_gateway_ip</f>
        <v>10.12.14.1</v>
      </c>
      <c r="D92" s="9" t="str">
        <f>mgmt_az2_host_overlay_gateway_ip</f>
        <v>Value Missing</v>
      </c>
      <c r="E92" s="160"/>
    </row>
    <row r="93" spans="2:5" ht="20.100000000000001" customHeight="1" x14ac:dyDescent="0.2">
      <c r="B93" s="22" t="s">
        <v>401</v>
      </c>
      <c r="C93" s="80">
        <f>sample_mgmt_az2_host_overlay_mtu</f>
        <v>9000</v>
      </c>
      <c r="D93" s="9" t="str">
        <f>mgmt_az2_host_overlay_mtu</f>
        <v>Value Missing</v>
      </c>
      <c r="E93" s="160"/>
    </row>
    <row r="94" spans="2:5" ht="20.100000000000001" customHeight="1" x14ac:dyDescent="0.2">
      <c r="B94" s="22" t="s">
        <v>400</v>
      </c>
      <c r="C94" s="80" t="str">
        <f>sample_mgmt_az2_host_overlay_cidr</f>
        <v>10.12.14.0/24</v>
      </c>
      <c r="D94" s="9" t="str">
        <f>mgmt_az2_host_overlay_cidr</f>
        <v>Value Missing</v>
      </c>
      <c r="E94" s="160"/>
    </row>
    <row r="95" spans="2:5" ht="20.100000000000001" customHeight="1" x14ac:dyDescent="0.2">
      <c r="B95" s="22" t="s">
        <v>460</v>
      </c>
      <c r="C95" s="80" t="str">
        <f>sample_mgmt_az2_host_overlay_pool_start_ip</f>
        <v>10.12.14.101</v>
      </c>
      <c r="D95" s="9" t="str">
        <f>mgmt_az2_host_overlay_pool_start_ip</f>
        <v>Value Missing</v>
      </c>
      <c r="E95" s="160"/>
    </row>
    <row r="96" spans="2:5" ht="20.100000000000001" customHeight="1" x14ac:dyDescent="0.2">
      <c r="B96" s="22" t="s">
        <v>461</v>
      </c>
      <c r="C96" s="80" t="str">
        <f>sample_mgmt_az2_host_overlay_pool_end_ip</f>
        <v>10.12.14.132</v>
      </c>
      <c r="D96" s="9" t="str">
        <f>mgmt_az2_host_overlay_pool_end_ip</f>
        <v>Value Missing</v>
      </c>
      <c r="E96" s="160"/>
    </row>
    <row r="97" spans="2:5" ht="20.100000000000001" customHeight="1" x14ac:dyDescent="0.2">
      <c r="B97" s="405" t="s">
        <v>3622</v>
      </c>
      <c r="C97" s="406"/>
      <c r="D97" s="406"/>
      <c r="E97" s="407"/>
    </row>
    <row r="98" spans="2:5" ht="20.100000000000001" customHeight="1" x14ac:dyDescent="0.2">
      <c r="B98" s="182" t="str">
        <f>mgmt_witness_fqdn</f>
        <v>Value Missing</v>
      </c>
      <c r="C98" s="181" t="str">
        <f>sample_mgmt_witness_ip</f>
        <v>10.21.10.218</v>
      </c>
      <c r="D98" s="182" t="e">
        <f>mgmt_witness_mgmt_ip</f>
        <v>#NAME?</v>
      </c>
      <c r="E98" s="150" t="s">
        <v>726</v>
      </c>
    </row>
    <row r="99" spans="2:5" ht="20.100000000000001" customHeight="1" x14ac:dyDescent="0.2">
      <c r="B99" s="182" t="str">
        <f t="array" ref="B99">mgmt_witness_vcenter_fqdn</f>
        <v>Value Missing</v>
      </c>
      <c r="C99" s="181" t="str">
        <f>sample_mgmt_witness_zone_vc_ip</f>
        <v>10.21.10.70</v>
      </c>
      <c r="D99" s="182" t="str">
        <f>mgmt_witness_zone_vc_ip</f>
        <v>Value Missing</v>
      </c>
      <c r="E99" s="150" t="s">
        <v>722</v>
      </c>
    </row>
    <row r="100" spans="2:5" ht="20.100000000000001" customHeight="1" x14ac:dyDescent="0.2">
      <c r="B100" s="632" t="s">
        <v>3626</v>
      </c>
      <c r="C100" s="633"/>
      <c r="D100" s="633"/>
      <c r="E100" s="634"/>
    </row>
    <row r="101" spans="2:5" ht="20.100000000000001" customHeight="1" x14ac:dyDescent="0.2">
      <c r="B101" s="182" t="str">
        <f t="array" ref="B101:B116">mgmt_az2_host_fqdns</f>
        <v>Value Missing</v>
      </c>
      <c r="C101" s="131" t="str">
        <f>CONCATENATE(prefix_mgmt_az2_cidr,"11.101")</f>
        <v>10.12.11.101</v>
      </c>
      <c r="D101" s="182" t="str">
        <f>mgmt_az2_host1_mgmt_ip</f>
        <v>Value Missing</v>
      </c>
      <c r="E101" s="150"/>
    </row>
    <row r="102" spans="2:5" ht="20.100000000000001" customHeight="1" x14ac:dyDescent="0.2">
      <c r="B102" s="182" t="str">
        <v>Value Missing</v>
      </c>
      <c r="C102" s="131" t="str">
        <f>CONCATENATE(prefix_mgmt_az2_cidr,"11.102")</f>
        <v>10.12.11.102</v>
      </c>
      <c r="D102" s="182" t="str">
        <f>mgmt_az2_host2_mgmt_ip</f>
        <v>Value Missing</v>
      </c>
      <c r="E102" s="150"/>
    </row>
    <row r="103" spans="2:5" ht="20.100000000000001" customHeight="1" x14ac:dyDescent="0.2">
      <c r="B103" s="182" t="str">
        <v>Value Missing</v>
      </c>
      <c r="C103" s="131" t="str">
        <f>CONCATENATE(prefix_mgmt_az2_cidr,"11.103")</f>
        <v>10.12.11.103</v>
      </c>
      <c r="D103" s="182" t="str">
        <f>mgmt_az2_host3_mgmt_ip</f>
        <v>Value Missing</v>
      </c>
      <c r="E103" s="150"/>
    </row>
    <row r="104" spans="2:5" ht="20.100000000000001" customHeight="1" x14ac:dyDescent="0.2">
      <c r="B104" s="182" t="str">
        <v>Value Missing</v>
      </c>
      <c r="C104" s="131" t="str">
        <f>CONCATENATE(prefix_mgmt_az2_cidr,"11.104")</f>
        <v>10.12.11.104</v>
      </c>
      <c r="D104" s="182" t="str">
        <f>mgmt_az2_host4_mgmt_ip</f>
        <v>Value Missing</v>
      </c>
      <c r="E104" s="150"/>
    </row>
    <row r="105" spans="2:5" ht="20.100000000000001" customHeight="1" x14ac:dyDescent="0.2">
      <c r="B105" s="182" t="str">
        <v>Value Missing</v>
      </c>
      <c r="C105" s="131" t="str">
        <f>CONCATENATE(prefix_mgmt_az2_cidr,"11.105")</f>
        <v>10.12.11.105</v>
      </c>
      <c r="D105" s="182" t="str">
        <f>mgmt_az2_host5_mgmt_ip</f>
        <v>Value Missing</v>
      </c>
      <c r="E105" s="150"/>
    </row>
    <row r="106" spans="2:5" ht="20.100000000000001" customHeight="1" x14ac:dyDescent="0.2">
      <c r="B106" s="182" t="str">
        <v>Value Missing</v>
      </c>
      <c r="C106" s="131" t="str">
        <f>CONCATENATE(prefix_mgmt_az2_cidr,"11.106")</f>
        <v>10.12.11.106</v>
      </c>
      <c r="D106" s="182" t="str">
        <f>mgmt_az2_host6_mgmt_ip</f>
        <v>Value Missing</v>
      </c>
      <c r="E106" s="150"/>
    </row>
    <row r="107" spans="2:5" ht="20.100000000000001" customHeight="1" x14ac:dyDescent="0.2">
      <c r="B107" s="182" t="str">
        <v>Value Missing</v>
      </c>
      <c r="C107" s="131" t="str">
        <f>CONCATENATE(prefix_mgmt_az2_cidr,"11.107")</f>
        <v>10.12.11.107</v>
      </c>
      <c r="D107" s="182" t="str">
        <f>mgmt_az2_host7_mgmt_ip</f>
        <v>Value Missing</v>
      </c>
      <c r="E107" s="150"/>
    </row>
    <row r="108" spans="2:5" ht="20.100000000000001" customHeight="1" x14ac:dyDescent="0.2">
      <c r="B108" s="182" t="str">
        <v>Value Missing</v>
      </c>
      <c r="C108" s="131" t="str">
        <f>CONCATENATE(prefix_mgmt_az2_cidr,"11.108")</f>
        <v>10.12.11.108</v>
      </c>
      <c r="D108" s="182" t="str">
        <f>mgmt_az2_host8_mgmt_ip</f>
        <v>Value Missing</v>
      </c>
      <c r="E108" s="150"/>
    </row>
    <row r="109" spans="2:5" ht="20.100000000000001" customHeight="1" x14ac:dyDescent="0.2">
      <c r="B109" s="182" t="str">
        <v>Value Missing</v>
      </c>
      <c r="C109" s="131" t="str">
        <f>CONCATENATE(prefix_mgmt_az2_cidr,"11.109")</f>
        <v>10.12.11.109</v>
      </c>
      <c r="D109" s="182" t="str">
        <f>mgmt_az2_host9_mgmt_ip</f>
        <v>Value Missing</v>
      </c>
      <c r="E109" s="150"/>
    </row>
    <row r="110" spans="2:5" ht="20.100000000000001" customHeight="1" x14ac:dyDescent="0.2">
      <c r="B110" s="182" t="str">
        <v>Value Missing</v>
      </c>
      <c r="C110" s="131" t="str">
        <f>CONCATENATE(prefix_mgmt_az2_cidr,"11.110")</f>
        <v>10.12.11.110</v>
      </c>
      <c r="D110" s="182" t="str">
        <f>mgmt_az2_host10_mgmt_ip</f>
        <v>Value Missing</v>
      </c>
      <c r="E110" s="150"/>
    </row>
    <row r="111" spans="2:5" ht="20.100000000000001" customHeight="1" x14ac:dyDescent="0.2">
      <c r="B111" s="182" t="str">
        <v>Value Missing</v>
      </c>
      <c r="C111" s="131" t="str">
        <f>CONCATENATE(prefix_mgmt_az2_cidr,"11.111")</f>
        <v>10.12.11.111</v>
      </c>
      <c r="D111" s="182" t="str">
        <f>mgmt_az2_host11_mgmt_ip</f>
        <v>Value Missing</v>
      </c>
      <c r="E111" s="150"/>
    </row>
    <row r="112" spans="2:5" ht="20.100000000000001" customHeight="1" x14ac:dyDescent="0.2">
      <c r="B112" s="182" t="str">
        <v>Value Missing</v>
      </c>
      <c r="C112" s="131" t="str">
        <f>CONCATENATE(prefix_mgmt_az2_cidr,"11.112")</f>
        <v>10.12.11.112</v>
      </c>
      <c r="D112" s="182" t="str">
        <f>mgmt_az2_host12_mgmt_ip</f>
        <v>Value Missing</v>
      </c>
      <c r="E112" s="150"/>
    </row>
    <row r="113" spans="2:5" ht="20.100000000000001" customHeight="1" x14ac:dyDescent="0.2">
      <c r="B113" s="182" t="str">
        <v>Value Missing</v>
      </c>
      <c r="C113" s="131" t="str">
        <f>CONCATENATE(prefix_mgmt_az2_cidr,"11.113")</f>
        <v>10.12.11.113</v>
      </c>
      <c r="D113" s="182" t="str">
        <f>mgmt_az2_host13_mgmt_ip</f>
        <v>Value Missing</v>
      </c>
      <c r="E113" s="150"/>
    </row>
    <row r="114" spans="2:5" ht="20.100000000000001" customHeight="1" x14ac:dyDescent="0.2">
      <c r="B114" s="182" t="str">
        <v>Value Missing</v>
      </c>
      <c r="C114" s="131" t="str">
        <f>CONCATENATE(prefix_mgmt_az2_cidr,"11.114")</f>
        <v>10.12.11.114</v>
      </c>
      <c r="D114" s="182" t="str">
        <f>mgmt_az2_host14_mgmt_ip</f>
        <v>Value Missing</v>
      </c>
      <c r="E114" s="150"/>
    </row>
    <row r="115" spans="2:5" ht="20.100000000000001" customHeight="1" x14ac:dyDescent="0.2">
      <c r="B115" s="182" t="str">
        <v>Value Missing</v>
      </c>
      <c r="C115" s="131" t="str">
        <f>CONCATENATE(prefix_mgmt_az2_cidr,"11.115")</f>
        <v>10.12.11.115</v>
      </c>
      <c r="D115" s="182" t="str">
        <f>mgmt_az2_host15_mgmt_ip</f>
        <v>Value Missing</v>
      </c>
      <c r="E115" s="150"/>
    </row>
    <row r="116" spans="2:5" ht="20.100000000000001" customHeight="1" x14ac:dyDescent="0.2">
      <c r="B116" s="182" t="str">
        <v>Value Missing</v>
      </c>
      <c r="C116" s="131" t="str">
        <f>CONCATENATE(prefix_mgmt_az2_cidr,"11.116")</f>
        <v>10.12.11.116</v>
      </c>
      <c r="D116" s="182" t="str">
        <f>mgmt_az2_host16_mgmt_ip</f>
        <v>Value Missing</v>
      </c>
      <c r="E116" s="150"/>
    </row>
    <row r="117" spans="2:5" ht="20.100000000000001" customHeight="1" x14ac:dyDescent="0.2">
      <c r="B117" s="522" t="s">
        <v>3618</v>
      </c>
      <c r="C117" s="522"/>
      <c r="D117" s="522"/>
      <c r="E117" s="522"/>
    </row>
    <row r="118" spans="2:5" ht="20.100000000000001" customHeight="1" x14ac:dyDescent="0.2">
      <c r="B118" s="4" t="s">
        <v>1411</v>
      </c>
      <c r="C118" s="80" t="str">
        <f>sample_mgmt_en_asn</f>
        <v>65101</v>
      </c>
      <c r="D118" s="337" t="str">
        <f>mgmt_en_asn</f>
        <v>Value Missing</v>
      </c>
      <c r="E118" s="32"/>
    </row>
    <row r="119" spans="2:5" ht="20.100000000000001" customHeight="1" x14ac:dyDescent="0.2">
      <c r="B119" s="4" t="s">
        <v>648</v>
      </c>
      <c r="C119" s="80" t="str">
        <f>sample_mgmt_az2_tor1_peer_ip</f>
        <v>10.11.17.11</v>
      </c>
      <c r="D119" s="337" t="str">
        <f>mgmt_az1_tor1_peer_ip</f>
        <v>Value Missing</v>
      </c>
      <c r="E119" s="32"/>
    </row>
    <row r="120" spans="2:5" ht="20.100000000000001" customHeight="1" x14ac:dyDescent="0.2">
      <c r="B120" s="4" t="s">
        <v>649</v>
      </c>
      <c r="C120" s="80" t="str">
        <f>sample_mgmt_az2_tor1_peer_asn</f>
        <v>65121</v>
      </c>
      <c r="D120" s="337" t="str">
        <f>mgmt_az1_tor1_peer_asn</f>
        <v>Value Missing</v>
      </c>
      <c r="E120" s="32"/>
    </row>
    <row r="121" spans="2:5" ht="20.100000000000001" customHeight="1" x14ac:dyDescent="0.2">
      <c r="B121" s="4" t="s">
        <v>650</v>
      </c>
      <c r="C121" s="80" t="str">
        <f>sample_mgmt_az2_tor1_peer_bgp_password</f>
        <v>VMw@re1!</v>
      </c>
      <c r="D121" s="337" t="str">
        <f>mgmt_az1_tor1_peer_bgp_password</f>
        <v>Value Missing</v>
      </c>
      <c r="E121" s="32"/>
    </row>
    <row r="122" spans="2:5" ht="20.100000000000001" customHeight="1" x14ac:dyDescent="0.2">
      <c r="B122" s="4" t="s">
        <v>651</v>
      </c>
      <c r="C122" s="80" t="str">
        <f>sample_mgmt_az2_tor2_peer_ip</f>
        <v>10.11.18.11</v>
      </c>
      <c r="D122" s="337" t="str">
        <f>mgmt_az1_tor2_peer_ip</f>
        <v>Value Missing</v>
      </c>
      <c r="E122" s="32"/>
    </row>
    <row r="123" spans="2:5" ht="20.100000000000001" customHeight="1" x14ac:dyDescent="0.2">
      <c r="B123" s="4" t="s">
        <v>652</v>
      </c>
      <c r="C123" s="80" t="str">
        <f>sample_mgmt_az2_tor2_peer_asn</f>
        <v>65121</v>
      </c>
      <c r="D123" s="337" t="str">
        <f>mgmt_az1_tor2_peer_asn</f>
        <v>Value Missing</v>
      </c>
      <c r="E123" s="32"/>
    </row>
    <row r="124" spans="2:5" ht="20.100000000000001" customHeight="1" x14ac:dyDescent="0.2">
      <c r="B124" s="4" t="s">
        <v>653</v>
      </c>
      <c r="C124" s="80" t="str">
        <f>sample_mgmt_az2_tor2_peer_bgp_password</f>
        <v>VMw@re1!</v>
      </c>
      <c r="D124" s="337" t="str">
        <f>mgmt_az1_tor2_peer_bgp_password</f>
        <v>Value Missing</v>
      </c>
      <c r="E124" s="32"/>
    </row>
    <row r="126" spans="2:5" ht="33.950000000000003" customHeight="1" x14ac:dyDescent="0.2">
      <c r="B126" s="408" t="s">
        <v>508</v>
      </c>
      <c r="C126" s="409"/>
      <c r="D126" s="409"/>
      <c r="E126" s="410"/>
    </row>
    <row r="127" spans="2:5" ht="20.100000000000001" customHeight="1" x14ac:dyDescent="0.2">
      <c r="B127" s="346" t="s">
        <v>37</v>
      </c>
      <c r="C127" s="346" t="s">
        <v>276</v>
      </c>
      <c r="D127" s="346" t="s">
        <v>277</v>
      </c>
      <c r="E127" s="346" t="s">
        <v>5</v>
      </c>
    </row>
    <row r="128" spans="2:5" ht="20.100000000000001" customHeight="1" x14ac:dyDescent="0.2">
      <c r="B128" s="405" t="s">
        <v>402</v>
      </c>
      <c r="C128" s="406"/>
      <c r="D128" s="406"/>
      <c r="E128" s="407"/>
    </row>
    <row r="129" spans="2:5" ht="20.100000000000001" customHeight="1" x14ac:dyDescent="0.2">
      <c r="B129" s="4" t="s">
        <v>398</v>
      </c>
      <c r="C129" s="89" t="str">
        <f>sample_mgmt_az1_mgmt_vm_vlan</f>
        <v>1110</v>
      </c>
      <c r="D129" s="337">
        <f>mgmt_az1_mgmt_vm_vlan</f>
        <v>250</v>
      </c>
      <c r="E129" s="33" t="s">
        <v>3627</v>
      </c>
    </row>
    <row r="130" spans="2:5" ht="20.100000000000001" customHeight="1" x14ac:dyDescent="0.2">
      <c r="B130" s="4" t="s">
        <v>399</v>
      </c>
      <c r="C130" s="80" t="str">
        <f>sample_mgmt_az1_mgmt_vm_gateway_ip</f>
        <v>10.11.10.1</v>
      </c>
      <c r="D130" s="337" t="str">
        <f>mgmt_az1_mgmt_vm_gateway_ip</f>
        <v>10.100.50.1</v>
      </c>
      <c r="E130" s="33"/>
    </row>
    <row r="131" spans="2:5" ht="20.100000000000001" customHeight="1" x14ac:dyDescent="0.2">
      <c r="B131" s="4" t="s">
        <v>400</v>
      </c>
      <c r="C131" s="80" t="str">
        <f>sample_mgmt_az1_mgmt_cidr</f>
        <v>10.11.11.0/24</v>
      </c>
      <c r="D131" s="337" t="str">
        <f>mgmt_az1_mgmt_cidr</f>
        <v>10.100.51.0/24</v>
      </c>
      <c r="E131" s="33"/>
    </row>
    <row r="132" spans="2:5" ht="20.100000000000001" customHeight="1" x14ac:dyDescent="0.2">
      <c r="B132" s="4" t="s">
        <v>401</v>
      </c>
      <c r="C132" s="80">
        <f>sample_mgmt_az1_mgmt_vm_mtu</f>
        <v>1500</v>
      </c>
      <c r="D132" s="337">
        <f>mgmt_az1_mgmt_vm_mtu</f>
        <v>1500</v>
      </c>
      <c r="E132" s="33"/>
    </row>
    <row r="133" spans="2:5" ht="20.100000000000001" customHeight="1" x14ac:dyDescent="0.2">
      <c r="B133" s="405" t="s">
        <v>3628</v>
      </c>
      <c r="C133" s="406"/>
      <c r="D133" s="406"/>
      <c r="E133" s="407"/>
    </row>
    <row r="134" spans="2:5" ht="20.100000000000001" customHeight="1" x14ac:dyDescent="0.2">
      <c r="B134" s="4" t="s">
        <v>398</v>
      </c>
      <c r="C134" s="362" t="str">
        <f>sample_mgmt_az1_rtep_overlay_vlan</f>
        <v>1120</v>
      </c>
      <c r="D134" s="337" t="str">
        <f>mgmt_az1_rtep_overlay_vlan</f>
        <v>Value Missing</v>
      </c>
      <c r="E134" s="337"/>
    </row>
    <row r="135" spans="2:5" ht="20.100000000000001" customHeight="1" x14ac:dyDescent="0.2">
      <c r="B135" s="4" t="s">
        <v>399</v>
      </c>
      <c r="C135" s="362" t="str">
        <f>sample_mgmt_az1_rtep_overlay_gateway_ip</f>
        <v>10.11.20.1</v>
      </c>
      <c r="D135" s="337" t="str">
        <f>mgmt_az1_rtep_overlay_gateway_ip</f>
        <v>Value Missing</v>
      </c>
      <c r="E135" s="337"/>
    </row>
    <row r="136" spans="2:5" ht="20.100000000000001" customHeight="1" x14ac:dyDescent="0.2">
      <c r="B136" s="4" t="s">
        <v>400</v>
      </c>
      <c r="C136" s="362" t="str">
        <f>sample_mgmt_az1_rtep_overlay_cidr</f>
        <v>10.11.20.0/24</v>
      </c>
      <c r="D136" s="337" t="str">
        <f>mgmt_az1_rtep_overlay_cidr</f>
        <v>Value Missing</v>
      </c>
      <c r="E136" s="337"/>
    </row>
    <row r="137" spans="2:5" ht="20.100000000000001" customHeight="1" x14ac:dyDescent="0.2">
      <c r="B137" s="405" t="s">
        <v>3619</v>
      </c>
      <c r="C137" s="406"/>
      <c r="D137" s="406"/>
      <c r="E137" s="407"/>
    </row>
    <row r="138" spans="2:5" ht="20.100000000000001" customHeight="1" x14ac:dyDescent="0.2">
      <c r="B138" s="4" t="str">
        <f>mgmt_nsxt_global_mgra_fqdn</f>
        <v>Value Missing</v>
      </c>
      <c r="C138" s="362" t="str">
        <f>sample_mgmt_nsxt_gm_vip_ip</f>
        <v>10.11.10.81</v>
      </c>
      <c r="D138" s="337" t="str">
        <f>mgmt_nsxt_gm_vip_ip</f>
        <v>Value Missing</v>
      </c>
      <c r="E138" s="337"/>
    </row>
    <row r="139" spans="2:5" ht="20.100000000000001" customHeight="1" x14ac:dyDescent="0.2">
      <c r="B139" s="4" t="str">
        <f>mgmt_nsxt_global_mgra_fqdn</f>
        <v>Value Missing</v>
      </c>
      <c r="C139" s="362" t="str">
        <f>sample_mgmt_nsxt_global_mgra_ip</f>
        <v>10.11.10.82</v>
      </c>
      <c r="D139" s="337" t="str">
        <f>mgmt_nsxt_global_mgra_ip</f>
        <v>Value Missing</v>
      </c>
      <c r="E139" s="337"/>
    </row>
    <row r="140" spans="2:5" ht="20.100000000000001" customHeight="1" x14ac:dyDescent="0.2">
      <c r="B140" s="4" t="str">
        <f>mgmt_nsxt_global_mgrb_fqdn</f>
        <v>Value Missing</v>
      </c>
      <c r="C140" s="362" t="str">
        <f>sample_mgmt_nsxt_global_mgrb_ip</f>
        <v>10.11.10.83</v>
      </c>
      <c r="D140" s="337" t="str">
        <f>mgmt_nsxt_global_mgrb_ip</f>
        <v>Value Missing</v>
      </c>
      <c r="E140" s="337"/>
    </row>
    <row r="141" spans="2:5" ht="20.100000000000001" customHeight="1" x14ac:dyDescent="0.2">
      <c r="B141" s="4" t="str">
        <f>mgmt_nsxt_global_mgrc_fqdn</f>
        <v>Value Missing</v>
      </c>
      <c r="C141" s="362" t="str">
        <f>sample_mgmt_nsxt_global_mgrc_ip</f>
        <v>10.11.10.84</v>
      </c>
      <c r="D141" s="337" t="str">
        <f>mgmt_nsxt_global_mgrc_ip</f>
        <v>Value Missing</v>
      </c>
      <c r="E141" s="337"/>
    </row>
    <row r="142" spans="2:5" ht="20.100000000000001" customHeight="1" x14ac:dyDescent="0.2">
      <c r="B142" s="30" t="str">
        <f>sample_mgmt_az1_en1_hostname</f>
        <v>sfo-m01-en1</v>
      </c>
      <c r="C142" s="80" t="str">
        <f>sample_mgmt_az1_en1_mgmt_cidr</f>
        <v>10.11.10.75/24</v>
      </c>
      <c r="D142" s="337" t="str">
        <f>mgmt_az1_en1_mgmt_cidr</f>
        <v>Value Missing</v>
      </c>
      <c r="E142" s="337"/>
    </row>
    <row r="143" spans="2:5" ht="20.100000000000001" customHeight="1" x14ac:dyDescent="0.2">
      <c r="B143" s="99" t="s">
        <v>473</v>
      </c>
      <c r="C143" s="80" t="str">
        <f>sample_mgmt_az1_en1_uplink01_interface_cidr</f>
        <v>10.11.17.2/24</v>
      </c>
      <c r="D143" s="337" t="str">
        <f>mgmt_az1_en1_uplink01_interface_cidr</f>
        <v>Value Missing</v>
      </c>
      <c r="E143" s="337" t="s">
        <v>638</v>
      </c>
    </row>
    <row r="144" spans="2:5" ht="20.100000000000001" customHeight="1" x14ac:dyDescent="0.2">
      <c r="B144" s="99" t="s">
        <v>473</v>
      </c>
      <c r="C144" s="80" t="str">
        <f>sample_mgmt_az1_en1_uplink02_interface_cidr</f>
        <v>10.11.18.2/24</v>
      </c>
      <c r="D144" s="337" t="str">
        <f>mgmt_az1_en1_uplink02_interface_cidr</f>
        <v>Value Missing</v>
      </c>
      <c r="E144" s="337" t="s">
        <v>1441</v>
      </c>
    </row>
    <row r="145" spans="2:5" ht="20.100000000000001" customHeight="1" x14ac:dyDescent="0.2">
      <c r="B145" s="179" t="s">
        <v>473</v>
      </c>
      <c r="C145" s="80" t="str">
        <f>sample_mgmt_az1_en1_edge_overlay_interface_ip_1_ip</f>
        <v>10.11.19.2</v>
      </c>
      <c r="D145" s="337" t="str">
        <f>mgmt_az1_en1_edge_overlay_interface_ip_1_ip</f>
        <v>Value Missing</v>
      </c>
      <c r="E145" s="337" t="s">
        <v>1430</v>
      </c>
    </row>
    <row r="146" spans="2:5" ht="20.100000000000001" customHeight="1" x14ac:dyDescent="0.2">
      <c r="B146" s="180" t="s">
        <v>473</v>
      </c>
      <c r="C146" s="80" t="str">
        <f>sample_mgmt_az1_en1_edge_overlay_interface_ip_2_ip</f>
        <v>10.11.19.3</v>
      </c>
      <c r="D146" s="337" t="str">
        <f>mgmt_az1_en1_edge_overlay_interface_ip_2_ip</f>
        <v>Value Missing</v>
      </c>
      <c r="E146" s="337" t="s">
        <v>3620</v>
      </c>
    </row>
    <row r="147" spans="2:5" ht="20.100000000000001" customHeight="1" x14ac:dyDescent="0.2">
      <c r="B147" s="30" t="str">
        <f>sample_mgmt_az1_en2_hostname</f>
        <v>sfo-m01-en2</v>
      </c>
      <c r="C147" s="80" t="str">
        <f>sample_mgmt_az1_en2_mgmt_cidr</f>
        <v>10.11.10.76/24</v>
      </c>
      <c r="D147" s="337" t="str">
        <f>mgmt_az1_en2_mgmt_cidr</f>
        <v>Value Missing</v>
      </c>
      <c r="E147" s="337"/>
    </row>
    <row r="148" spans="2:5" ht="20.100000000000001" customHeight="1" x14ac:dyDescent="0.2">
      <c r="B148" s="99" t="s">
        <v>473</v>
      </c>
      <c r="C148" s="80" t="str">
        <f>sample_mgmt_az1_en2_uplink01_interface_cidr</f>
        <v>10.11.17.3/24</v>
      </c>
      <c r="D148" s="337" t="str">
        <f>mgmt_az1_en2_uplink01_interface_cidr</f>
        <v>Value Missing</v>
      </c>
      <c r="E148" s="337" t="s">
        <v>647</v>
      </c>
    </row>
    <row r="149" spans="2:5" ht="20.100000000000001" customHeight="1" x14ac:dyDescent="0.2">
      <c r="B149" s="99" t="s">
        <v>473</v>
      </c>
      <c r="C149" s="80" t="str">
        <f>sample_mgmt_az1_en2_uplink02_interface_cidr</f>
        <v>10.11.18.3/24</v>
      </c>
      <c r="D149" s="337" t="str">
        <f>mgmt_az1_en2_uplink02_interface_cidr</f>
        <v>Value Missing</v>
      </c>
      <c r="E149" s="337" t="s">
        <v>645</v>
      </c>
    </row>
    <row r="150" spans="2:5" ht="20.100000000000001" customHeight="1" x14ac:dyDescent="0.2">
      <c r="B150" s="179" t="s">
        <v>473</v>
      </c>
      <c r="C150" s="80" t="str">
        <f>sample_mgmt_az1_en2_edge_overlay_interface_ip_1_ip</f>
        <v>10.11.19.4</v>
      </c>
      <c r="D150" s="337" t="str">
        <f>mgmt_az1_en2_edge_overlay_interface_ip_1_ip</f>
        <v>Value Missing</v>
      </c>
      <c r="E150" s="337" t="s">
        <v>1436</v>
      </c>
    </row>
    <row r="151" spans="2:5" ht="20.100000000000001" customHeight="1" x14ac:dyDescent="0.2">
      <c r="B151" s="180" t="s">
        <v>473</v>
      </c>
      <c r="C151" s="80" t="str">
        <f>sample_mgmt_az1_en2_edge_overlay_interface_ip_2_ip</f>
        <v>10.11.19.5</v>
      </c>
      <c r="D151" s="337" t="str">
        <f>mgmt_az1_en2_edge_overlay_interface_ip_2_ip</f>
        <v>Value Missing</v>
      </c>
      <c r="E151" s="337" t="s">
        <v>1438</v>
      </c>
    </row>
  </sheetData>
  <sheetProtection algorithmName="SHA-512" hashValue="nUPEmXMgPmMwaLeMRjscM78D2cKiq3FkSMxuKmDGwswDMXwujgaWnMf2FMNjAa0vcWbbIFHsUTUBFCnP6g8SnQ==" saltValue="lTeQBUBWNmGPOerRTEbUyw==" spinCount="100000" sheet="1" objects="1" scenarios="1"/>
  <mergeCells count="26">
    <mergeCell ref="B137:E137"/>
    <mergeCell ref="B62:E62"/>
    <mergeCell ref="B64:E64"/>
    <mergeCell ref="B117:E117"/>
    <mergeCell ref="B126:E126"/>
    <mergeCell ref="B133:E133"/>
    <mergeCell ref="B128:E128"/>
    <mergeCell ref="B76:E76"/>
    <mergeCell ref="B83:E83"/>
    <mergeCell ref="B90:E90"/>
    <mergeCell ref="B97:E97"/>
    <mergeCell ref="B100:E100"/>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s>
  <conditionalFormatting sqref="B98:B99">
    <cfRule type="expression" dxfId="2433" priority="2" stopIfTrue="1">
      <formula>mgmt_stretched_cluster_result="Excluded"</formula>
    </cfRule>
    <cfRule type="containsBlanks" dxfId="2432" priority="3">
      <formula>LEN(TRIM(B98))=0</formula>
    </cfRule>
    <cfRule type="notContainsBlanks" dxfId="2431" priority="5" stopIfTrue="1">
      <formula>LEN(TRIM(B98))&gt;0</formula>
    </cfRule>
  </conditionalFormatting>
  <conditionalFormatting sqref="B101:B116">
    <cfRule type="expression" dxfId="2430" priority="6" stopIfTrue="1">
      <formula>mgmt_stretched_cluster_result="Excluded"</formula>
    </cfRule>
    <cfRule type="containsBlanks" dxfId="2429" priority="7">
      <formula>LEN(TRIM(B101))=0</formula>
    </cfRule>
    <cfRule type="notContainsBlanks" dxfId="2428" priority="9" stopIfTrue="1">
      <formula>LEN(TRIM(B101))&gt;0</formula>
    </cfRule>
  </conditionalFormatting>
  <conditionalFormatting sqref="D10:D13">
    <cfRule type="containsBlanks" dxfId="2427" priority="55">
      <formula>LEN(TRIM(D10))=0</formula>
    </cfRule>
    <cfRule type="notContainsBlanks" dxfId="2426" priority="84">
      <formula>LEN(TRIM(D10))&gt;0</formula>
    </cfRule>
    <cfRule type="expression" dxfId="2425" priority="54">
      <formula>OR((mgmt_domain_result="Excluded"),(mgmt_vns_result="Excluded"))</formula>
    </cfRule>
  </conditionalFormatting>
  <conditionalFormatting sqref="D15:D18">
    <cfRule type="containsBlanks" dxfId="2424" priority="65">
      <formula>LEN(TRIM(D15))=0</formula>
    </cfRule>
    <cfRule type="expression" dxfId="2423" priority="64">
      <formula>OR((mgmt_domain_result="Excluded"),(mgmt_vns_result="Excluded"))</formula>
    </cfRule>
    <cfRule type="notContainsBlanks" dxfId="2422" priority="85">
      <formula>LEN(TRIM(D15))&gt;0</formula>
    </cfRule>
  </conditionalFormatting>
  <conditionalFormatting sqref="D20:D23">
    <cfRule type="expression" dxfId="2421" priority="61">
      <formula>OR((mgmt_domain_result="Excluded"),(mgmt_vns_result="Excluded"))</formula>
    </cfRule>
    <cfRule type="containsBlanks" dxfId="2420" priority="62">
      <formula>LEN(TRIM(D20))=0</formula>
    </cfRule>
  </conditionalFormatting>
  <conditionalFormatting sqref="D20:D24">
    <cfRule type="notContainsBlanks" dxfId="2419" priority="82">
      <formula>LEN(TRIM(D20))&gt;0</formula>
    </cfRule>
  </conditionalFormatting>
  <conditionalFormatting sqref="D24 D8:D9">
    <cfRule type="expression" dxfId="2418" priority="80">
      <formula>mgmt_domain_existing_vcenter_chosen="Selected"</formula>
    </cfRule>
  </conditionalFormatting>
  <conditionalFormatting sqref="D24">
    <cfRule type="containsBlanks" dxfId="2417" priority="83">
      <formula>LEN(TRIM(D24))=0</formula>
    </cfRule>
    <cfRule type="expression" dxfId="2416" priority="79">
      <formula>input_mgmt_principal_storage_chosen="VMFS on Fibre Channel (FC)"</formula>
    </cfRule>
  </conditionalFormatting>
  <conditionalFormatting sqref="D25:D28">
    <cfRule type="notContainsBlanks" dxfId="2415" priority="60">
      <formula>LEN(TRIM(D25))&gt;0</formula>
    </cfRule>
    <cfRule type="containsBlanks" dxfId="2414" priority="58">
      <formula>LEN(TRIM(D25))=0</formula>
    </cfRule>
    <cfRule type="expression" dxfId="2413" priority="57">
      <formula>OR((mgmt_domain_result="Excluded"),(mgmt_vns_result="Excluded"))</formula>
    </cfRule>
  </conditionalFormatting>
  <conditionalFormatting sqref="D30:D36">
    <cfRule type="notContainsBlanks" dxfId="2412" priority="86">
      <formula>LEN(TRIM(D30))&gt;0</formula>
    </cfRule>
    <cfRule type="expression" dxfId="2411" priority="71">
      <formula>mgmt_vns_chosen&lt;&gt;"Centralized Connectivity"</formula>
    </cfRule>
    <cfRule type="containsBlanks" dxfId="2410" priority="74">
      <formula>LEN(TRIM(D30))=0</formula>
    </cfRule>
    <cfRule type="expression" dxfId="2409" priority="72">
      <formula>OR((mgmt_domain_result="Excluded"),(mgmt_vns_result="Excluded"))</formula>
    </cfRule>
  </conditionalFormatting>
  <conditionalFormatting sqref="D38:D47">
    <cfRule type="containsBlanks" dxfId="2408" priority="68">
      <formula>LEN(TRIM(D38))=0</formula>
    </cfRule>
    <cfRule type="notContainsBlanks" dxfId="2407" priority="70">
      <formula>LEN(TRIM(D38))&gt;0</formula>
    </cfRule>
    <cfRule type="expression" dxfId="2406" priority="67">
      <formula>OR((mgmt_domain_result="Excluded"),(mgmt_vns_result="Excluded"))</formula>
    </cfRule>
  </conditionalFormatting>
  <conditionalFormatting sqref="D50:D51">
    <cfRule type="expression" dxfId="2405" priority="50">
      <formula>mgmt_domain_existing_vcenter_chosen="Selected"</formula>
    </cfRule>
  </conditionalFormatting>
  <conditionalFormatting sqref="D52:D55 D57:D60">
    <cfRule type="expression" dxfId="2404" priority="46">
      <formula>mgmt_avi_loadbalancer_result="Excluded"</formula>
    </cfRule>
  </conditionalFormatting>
  <conditionalFormatting sqref="D52:D55">
    <cfRule type="notContainsBlanks" dxfId="2403" priority="49">
      <formula>LEN(TRIM(D52))&gt;0</formula>
    </cfRule>
    <cfRule type="containsBlanks" dxfId="2402" priority="47">
      <formula>LEN(TRIM(D52))=0</formula>
    </cfRule>
  </conditionalFormatting>
  <conditionalFormatting sqref="D57:D60">
    <cfRule type="notContainsBlanks" dxfId="2401" priority="53">
      <formula>LEN(TRIM(D57))&gt;0</formula>
    </cfRule>
    <cfRule type="containsBlanks" dxfId="2400" priority="51">
      <formula>LEN(TRIM(D57))=0</formula>
    </cfRule>
  </conditionalFormatting>
  <conditionalFormatting sqref="D63:D64">
    <cfRule type="expression" dxfId="2399" priority="45">
      <formula>mgmt_domain_existing_vcenter_chosen="Selected"</formula>
    </cfRule>
  </conditionalFormatting>
  <conditionalFormatting sqref="D65:D68 D98:D99 D101:D116">
    <cfRule type="containsBlanks" dxfId="2398" priority="37">
      <formula>LEN(TRIM(D65))=0</formula>
    </cfRule>
    <cfRule type="notContainsBlanks" dxfId="2397" priority="39" stopIfTrue="1">
      <formula>LEN(TRIM(D65))&gt;0</formula>
    </cfRule>
    <cfRule type="expression" dxfId="2396" priority="36" stopIfTrue="1">
      <formula>mgmt_stretched_cluster_result="Excluded"</formula>
    </cfRule>
  </conditionalFormatting>
  <conditionalFormatting sqref="D70:D75">
    <cfRule type="expression" dxfId="2395" priority="22" stopIfTrue="1">
      <formula>mgmt_stretched_cluster_result="Excluded"</formula>
    </cfRule>
    <cfRule type="notContainsBlanks" dxfId="2394" priority="25" stopIfTrue="1">
      <formula>LEN(TRIM(D70))&gt;0</formula>
    </cfRule>
    <cfRule type="containsBlanks" dxfId="2393" priority="23">
      <formula>LEN(TRIM(D70))=0</formula>
    </cfRule>
  </conditionalFormatting>
  <conditionalFormatting sqref="D77:D82">
    <cfRule type="containsBlanks" dxfId="2392" priority="19">
      <formula>LEN(TRIM(D77))=0</formula>
    </cfRule>
    <cfRule type="expression" dxfId="2391" priority="18" stopIfTrue="1">
      <formula>mgmt_stretched_cluster_result="Excluded"</formula>
    </cfRule>
    <cfRule type="notContainsBlanks" dxfId="2390" priority="21" stopIfTrue="1">
      <formula>LEN(TRIM(D77))&gt;0</formula>
    </cfRule>
  </conditionalFormatting>
  <conditionalFormatting sqref="D84:D89">
    <cfRule type="expression" dxfId="2389" priority="1">
      <formula>mgmt_principal_storage_chosen&lt;&gt;"NFSv3"</formula>
    </cfRule>
  </conditionalFormatting>
  <conditionalFormatting sqref="D91:D96">
    <cfRule type="notContainsBlanks" dxfId="2388" priority="17" stopIfTrue="1">
      <formula>LEN(TRIM(D91))&gt;0</formula>
    </cfRule>
    <cfRule type="containsBlanks" dxfId="2387" priority="15">
      <formula>LEN(TRIM(D91))=0</formula>
    </cfRule>
    <cfRule type="expression" dxfId="2386" priority="14" stopIfTrue="1">
      <formula>mgmt_stretched_cluster_result="Excluded"</formula>
    </cfRule>
  </conditionalFormatting>
  <conditionalFormatting sqref="D118:D124">
    <cfRule type="notContainsBlanks" dxfId="2385" priority="43">
      <formula>LEN(TRIM(D118))&gt;0</formula>
    </cfRule>
    <cfRule type="expression" dxfId="2384" priority="40">
      <formula>OR((mgmt_domain_result="Excluded"),(mgmt_vns_result="Excluded"))</formula>
    </cfRule>
    <cfRule type="expression" dxfId="2383" priority="38">
      <formula>mgmt_vns_chosen&lt;&gt;"Overlay-Backed"</formula>
    </cfRule>
    <cfRule type="containsBlanks" dxfId="2382" priority="42">
      <formula>LEN(TRIM(D118))=0</formula>
    </cfRule>
  </conditionalFormatting>
  <conditionalFormatting sqref="D127:D128">
    <cfRule type="expression" dxfId="2381" priority="30">
      <formula>mgmt_domain_existing_vcenter_chosen="Selected"</formula>
    </cfRule>
  </conditionalFormatting>
  <conditionalFormatting sqref="D129:D132">
    <cfRule type="notContainsBlanks" dxfId="2380" priority="29">
      <formula>LEN(TRIM(D129))&gt;0</formula>
    </cfRule>
    <cfRule type="containsBlanks" dxfId="2379" priority="27">
      <formula>LEN(TRIM(D129))=0</formula>
    </cfRule>
    <cfRule type="expression" dxfId="2378" priority="26">
      <formula>mgmt_avi_loadbalancer_result="Excluded"</formula>
    </cfRule>
  </conditionalFormatting>
  <conditionalFormatting sqref="D133">
    <cfRule type="expression" dxfId="2377" priority="35">
      <formula>mgmt_domain_existing_vcenter_chosen="Selected"</formula>
    </cfRule>
  </conditionalFormatting>
  <conditionalFormatting sqref="D134:D136">
    <cfRule type="notContainsBlanks" dxfId="2376" priority="13">
      <formula>LEN(TRIM(D134))&gt;0</formula>
    </cfRule>
    <cfRule type="expression" dxfId="2375" priority="10">
      <formula>mgmt_avi_loadbalancer_result="Excluded"</formula>
    </cfRule>
    <cfRule type="containsBlanks" dxfId="2374" priority="11">
      <formula>LEN(TRIM(D134))=0</formula>
    </cfRule>
  </conditionalFormatting>
  <conditionalFormatting sqref="D138:D151">
    <cfRule type="notContainsBlanks" dxfId="2373" priority="34">
      <formula>LEN(TRIM(D138))&gt;0</formula>
    </cfRule>
    <cfRule type="expression" dxfId="2372" priority="31">
      <formula>OR((mgmt_domain_result="Excluded"),(mgmt_vns_result="Excluded"))</formula>
    </cfRule>
    <cfRule type="containsBlanks" dxfId="2371" priority="32">
      <formula>LEN(TRIM(D138))=0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1" stopIfTrue="1" operator="containsText" id="{2BEACADF-F6E6-874B-8004-073C384B0E26}">
            <xm:f>NOT(ISERROR(SEARCH("Value Missing",D65)))</xm:f>
            <xm:f>"Value Missing"</xm:f>
            <x14:dxf>
              <font>
                <color theme="1"/>
              </font>
              <fill>
                <patternFill>
                  <bgColor rgb="FFFFBE29"/>
                </patternFill>
              </fill>
            </x14:dxf>
          </x14:cfRule>
          <xm:sqref>D118:D124 D65:D68 D98:D99 D101:D116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activeCell="K27" sqref="K27"/>
    </sheetView>
  </sheetViews>
  <sheetFormatPr defaultColWidth="11" defaultRowHeight="15.75" x14ac:dyDescent="0.25"/>
  <cols>
    <col min="1" max="1" width="2.875" customWidth="1"/>
    <col min="2" max="4" width="75.875" customWidth="1"/>
    <col min="5" max="5" width="100.875" customWidth="1"/>
  </cols>
  <sheetData>
    <row r="1" spans="1:6" x14ac:dyDescent="0.25">
      <c r="A1" s="120"/>
      <c r="B1" s="120"/>
      <c r="C1" s="120"/>
      <c r="D1" s="120"/>
      <c r="E1" s="120"/>
      <c r="F1" s="120"/>
    </row>
    <row r="2" spans="1:6" ht="54" customHeight="1" x14ac:dyDescent="0.25">
      <c r="A2" s="248"/>
      <c r="B2" s="635" t="s">
        <v>3629</v>
      </c>
      <c r="C2" s="636"/>
      <c r="D2" s="636"/>
      <c r="E2" s="637"/>
      <c r="F2" s="120"/>
    </row>
    <row r="3" spans="1:6" x14ac:dyDescent="0.25">
      <c r="A3" s="249"/>
      <c r="B3" s="417" t="s">
        <v>502</v>
      </c>
      <c r="C3" s="418"/>
      <c r="D3" s="418"/>
      <c r="E3" s="631"/>
      <c r="F3" s="250"/>
    </row>
    <row r="4" spans="1:6" x14ac:dyDescent="0.25">
      <c r="A4" s="120"/>
      <c r="B4" s="120"/>
      <c r="C4" s="120"/>
      <c r="D4" s="120"/>
      <c r="E4" s="120"/>
      <c r="F4" s="120"/>
    </row>
    <row r="5" spans="1:6" x14ac:dyDescent="0.25">
      <c r="A5" s="120"/>
      <c r="B5" s="120"/>
      <c r="C5" s="120"/>
      <c r="D5" s="120"/>
      <c r="E5" s="120"/>
      <c r="F5" s="120"/>
    </row>
    <row r="6" spans="1:6" s="8" customFormat="1" ht="33.950000000000003" customHeight="1" x14ac:dyDescent="0.2">
      <c r="B6" s="408" t="s">
        <v>3630</v>
      </c>
      <c r="C6" s="409"/>
      <c r="D6" s="409"/>
      <c r="E6" s="410"/>
    </row>
    <row r="7" spans="1:6" s="8" customFormat="1" ht="20.100000000000001" customHeight="1" x14ac:dyDescent="0.2">
      <c r="B7" s="414" t="s">
        <v>3631</v>
      </c>
      <c r="C7" s="415"/>
      <c r="D7" s="415"/>
      <c r="E7" s="416"/>
    </row>
    <row r="8" spans="1:6" s="8" customFormat="1" ht="20.100000000000001" customHeight="1" x14ac:dyDescent="0.2">
      <c r="B8" s="346" t="s">
        <v>37</v>
      </c>
      <c r="C8" s="346" t="s">
        <v>276</v>
      </c>
      <c r="D8" s="346" t="s">
        <v>277</v>
      </c>
      <c r="E8" s="346" t="s">
        <v>5</v>
      </c>
    </row>
    <row r="9" spans="1:6" s="8" customFormat="1" ht="20.100000000000001" customHeight="1" x14ac:dyDescent="0.2">
      <c r="B9" s="405" t="s">
        <v>402</v>
      </c>
      <c r="C9" s="406"/>
      <c r="D9" s="406"/>
      <c r="E9" s="407"/>
    </row>
    <row r="10" spans="1:6" s="8" customFormat="1" ht="20.100000000000001" customHeight="1" x14ac:dyDescent="0.25">
      <c r="B10" s="128" t="s">
        <v>398</v>
      </c>
      <c r="C10" s="80" t="str">
        <f>IF(wld_dpg_separation_result="Included",CONCATENATE(prefix_wld_az1_vlan,"10"),CONCATENATE(prefix_wld_az1_vlan,"11"))</f>
        <v>1310</v>
      </c>
      <c r="D10" s="337" t="str">
        <f>wld_az1_mgmt_vm_vlan</f>
        <v>Value Missing</v>
      </c>
      <c r="E10" s="33"/>
    </row>
    <row r="11" spans="1:6" s="8" customFormat="1" ht="20.100000000000001" customHeight="1" x14ac:dyDescent="0.25">
      <c r="B11" s="128" t="s">
        <v>399</v>
      </c>
      <c r="C11" s="80" t="str">
        <f>IF(wld_dpg_separation_result="Included",CONCATENATE(prefix_wld_az1_cidr,"10.1"),CONCATENATE(prefix_wld_az1_cidr,"11.1"))</f>
        <v>10.13.10.1</v>
      </c>
      <c r="D11" s="337" t="str">
        <f>wld_az1_mgmt_vm_gateway_ip</f>
        <v>Value Missing</v>
      </c>
      <c r="E11" s="33"/>
    </row>
    <row r="12" spans="1:6" s="8" customFormat="1" ht="20.100000000000001" customHeight="1" x14ac:dyDescent="0.25">
      <c r="B12" s="128" t="s">
        <v>400</v>
      </c>
      <c r="C12" s="80" t="str">
        <f>IF(wld_dpg_separation_result="Included",CONCATENATE(prefix_wld_az1_cidr,"10.0/24"),CONCATENATE(prefix_wld_az1_cidr,"11.0/24"))</f>
        <v>10.13.10.0/24</v>
      </c>
      <c r="D12" s="337" t="str">
        <f>wld_az1_mgmt_vm_cidr</f>
        <v>Value Missing</v>
      </c>
      <c r="E12" s="33"/>
    </row>
    <row r="13" spans="1:6" s="8" customFormat="1" ht="20.100000000000001" customHeight="1" x14ac:dyDescent="0.2">
      <c r="B13" s="4" t="s">
        <v>401</v>
      </c>
      <c r="C13" s="80">
        <v>1500</v>
      </c>
      <c r="D13" s="337" t="str">
        <f>wld_az1_mgmt_vm_mtu</f>
        <v>Value Missing</v>
      </c>
      <c r="E13" s="33"/>
    </row>
    <row r="14" spans="1:6" s="8" customFormat="1" ht="20.100000000000001" customHeight="1" x14ac:dyDescent="0.2">
      <c r="B14" s="405" t="s">
        <v>664</v>
      </c>
      <c r="C14" s="406"/>
      <c r="D14" s="406"/>
      <c r="E14" s="407"/>
    </row>
    <row r="15" spans="1:6" s="8" customFormat="1" ht="20.100000000000001" customHeight="1" x14ac:dyDescent="0.2">
      <c r="B15" s="4" t="s">
        <v>398</v>
      </c>
      <c r="C15" s="80" t="str">
        <f>sample_wld_az1_uplink01_vlan</f>
        <v>1317</v>
      </c>
      <c r="D15" s="337" t="str">
        <f>wld_az1_uplink01_vlan</f>
        <v>Value Missing</v>
      </c>
      <c r="E15" s="32"/>
    </row>
    <row r="16" spans="1:6" s="8" customFormat="1" ht="20.100000000000001" customHeight="1" x14ac:dyDescent="0.2">
      <c r="B16" s="4" t="s">
        <v>399</v>
      </c>
      <c r="C16" s="80" t="str">
        <f>sample_wld_az1_uplink01_gateway_ip</f>
        <v>10.13.17.1</v>
      </c>
      <c r="D16" s="337" t="str">
        <f>wld_az1_uplink01_gateway_ip</f>
        <v>Value Missing</v>
      </c>
      <c r="E16" s="32"/>
    </row>
    <row r="17" spans="2:5" s="8" customFormat="1" ht="20.100000000000001" customHeight="1" x14ac:dyDescent="0.2">
      <c r="B17" s="4" t="s">
        <v>400</v>
      </c>
      <c r="C17" s="80" t="str">
        <f>sample_wld_az1_uplink01_cidr</f>
        <v>10.13.17.0/24</v>
      </c>
      <c r="D17" s="337" t="str">
        <f>wld_az1_uplink01_cidr</f>
        <v>Value Missing</v>
      </c>
      <c r="E17" s="32"/>
    </row>
    <row r="18" spans="2:5" s="8" customFormat="1" ht="20.100000000000001" customHeight="1" x14ac:dyDescent="0.2">
      <c r="B18" s="4" t="s">
        <v>401</v>
      </c>
      <c r="C18" s="80">
        <f>sample_wld_az1_uplink01_mtu</f>
        <v>9000</v>
      </c>
      <c r="D18" s="337" t="str">
        <f>wld_az1_uplink01_mtu</f>
        <v>Value Missing</v>
      </c>
      <c r="E18" s="32"/>
    </row>
    <row r="19" spans="2:5" s="8" customFormat="1" ht="20.100000000000001" customHeight="1" x14ac:dyDescent="0.2">
      <c r="B19" s="405" t="s">
        <v>666</v>
      </c>
      <c r="C19" s="406"/>
      <c r="D19" s="406"/>
      <c r="E19" s="407"/>
    </row>
    <row r="20" spans="2:5" s="8" customFormat="1" ht="20.100000000000001" customHeight="1" x14ac:dyDescent="0.2">
      <c r="B20" s="4" t="s">
        <v>398</v>
      </c>
      <c r="C20" s="80" t="str">
        <f>sample_wld_az1_uplink02_vlan</f>
        <v>1318</v>
      </c>
      <c r="D20" s="337" t="str">
        <f>wld_az1_uplink02_vlan</f>
        <v>Value Missing</v>
      </c>
      <c r="E20" s="93"/>
    </row>
    <row r="21" spans="2:5" s="8" customFormat="1" ht="20.100000000000001" customHeight="1" x14ac:dyDescent="0.2">
      <c r="B21" s="4" t="s">
        <v>399</v>
      </c>
      <c r="C21" s="80" t="str">
        <f>sample_wld_az1_uplink02_gateway_ip</f>
        <v>10.13.18.1</v>
      </c>
      <c r="D21" s="337" t="str">
        <f>wld_az1_uplink02_gateway_ip</f>
        <v>Value Missing</v>
      </c>
      <c r="E21" s="32"/>
    </row>
    <row r="22" spans="2:5" s="8" customFormat="1" ht="20.100000000000001" customHeight="1" x14ac:dyDescent="0.2">
      <c r="B22" s="4" t="s">
        <v>400</v>
      </c>
      <c r="C22" s="80" t="str">
        <f>sample_wld_az1_uplink02_cidr</f>
        <v>10.13.18.0/24</v>
      </c>
      <c r="D22" s="337" t="str">
        <f>wld_az1_uplink01_cidr</f>
        <v>Value Missing</v>
      </c>
      <c r="E22" s="32"/>
    </row>
    <row r="23" spans="2:5" s="8" customFormat="1" ht="20.100000000000001" customHeight="1" x14ac:dyDescent="0.2">
      <c r="B23" s="4" t="s">
        <v>401</v>
      </c>
      <c r="C23" s="80">
        <f>sample_wld_az1_uplink02_mtu</f>
        <v>9000</v>
      </c>
      <c r="D23" s="337" t="str">
        <f>wld_az1_uplink02_mtu</f>
        <v>Value Missing</v>
      </c>
      <c r="E23" s="32"/>
    </row>
    <row r="24" spans="2:5" s="8" customFormat="1" ht="20.100000000000001" customHeight="1" x14ac:dyDescent="0.2">
      <c r="B24" s="405" t="s">
        <v>667</v>
      </c>
      <c r="C24" s="406"/>
      <c r="D24" s="406"/>
      <c r="E24" s="407"/>
    </row>
    <row r="25" spans="2:5" s="8" customFormat="1" ht="20.100000000000001" customHeight="1" x14ac:dyDescent="0.2">
      <c r="B25" s="4" t="s">
        <v>398</v>
      </c>
      <c r="C25" s="80" t="str">
        <f>CONCATENATE(prefix_wld_az1_vlan,"19")</f>
        <v>1319</v>
      </c>
      <c r="D25" s="337" t="str">
        <f>wld_az1_edge_overlay_vlan</f>
        <v>Value Missing</v>
      </c>
      <c r="E25" s="32" t="str">
        <f>IF(AND(mgmt_stretched_cluster_result="Included",mgmt_dpg_reuse_result="Included"),"Stretched L2","")</f>
        <v/>
      </c>
    </row>
    <row r="26" spans="2:5" s="8" customFormat="1" ht="20.100000000000001" customHeight="1" x14ac:dyDescent="0.2">
      <c r="B26" s="4" t="s">
        <v>399</v>
      </c>
      <c r="C26" s="80" t="str">
        <f>sample_wld_az1_edge_overlay_gateway_ip</f>
        <v>10.13.19.1</v>
      </c>
      <c r="D26" s="337" t="str">
        <f>wld_az1_edge_overlay_gateway_ip</f>
        <v>Value Missing</v>
      </c>
      <c r="E26" s="32" t="str">
        <f>IF(AND(mgmt_stretched_cluster_result="Included",mgmt_dpg_reuse_result="Excluded"),"Stretched L2","")</f>
        <v/>
      </c>
    </row>
    <row r="27" spans="2:5" s="8" customFormat="1" ht="20.100000000000001" customHeight="1" x14ac:dyDescent="0.2">
      <c r="B27" s="4" t="s">
        <v>400</v>
      </c>
      <c r="C27" s="80" t="str">
        <f>sample_wld_az1_edge_overlay_cidr</f>
        <v>10.13.19.0/24</v>
      </c>
      <c r="D27" s="337" t="str">
        <f>wld_az1_edge_overlay_cidr</f>
        <v>Value Missing</v>
      </c>
      <c r="E27" s="32"/>
    </row>
    <row r="28" spans="2:5" s="8" customFormat="1" ht="20.100000000000001" customHeight="1" x14ac:dyDescent="0.2">
      <c r="B28" s="522" t="s">
        <v>3632</v>
      </c>
      <c r="C28" s="522"/>
      <c r="D28" s="522"/>
      <c r="E28" s="522"/>
    </row>
    <row r="29" spans="2:5" s="8" customFormat="1" ht="20.100000000000001" customHeight="1" x14ac:dyDescent="0.2">
      <c r="B29" s="4" t="s">
        <v>1411</v>
      </c>
      <c r="C29" s="80" t="str">
        <f>sample_wld_en_asn</f>
        <v>65102</v>
      </c>
      <c r="D29" s="337" t="str">
        <f>wld_en_asn</f>
        <v>Value Missing</v>
      </c>
      <c r="E29" s="32"/>
    </row>
    <row r="30" spans="2:5" s="8" customFormat="1" ht="20.100000000000001" customHeight="1" x14ac:dyDescent="0.2">
      <c r="B30" s="4" t="s">
        <v>648</v>
      </c>
      <c r="C30" s="80" t="str">
        <f>sample_wld_az1_tor1_peer_ip</f>
        <v>10.13.17.10</v>
      </c>
      <c r="D30" s="337" t="str">
        <f>wld_az1_tor1_peer_ip</f>
        <v>Value Missing</v>
      </c>
      <c r="E30" s="32"/>
    </row>
    <row r="31" spans="2:5" s="8" customFormat="1" ht="20.100000000000001" customHeight="1" x14ac:dyDescent="0.2">
      <c r="B31" s="4" t="s">
        <v>649</v>
      </c>
      <c r="C31" s="80" t="str">
        <f>sample_wld_az1_tor1_peer_asn</f>
        <v>65131</v>
      </c>
      <c r="D31" s="337" t="str">
        <f>wld_az1_tor1_peer_asn</f>
        <v>Value Missing</v>
      </c>
      <c r="E31" s="32"/>
    </row>
    <row r="32" spans="2:5" s="8" customFormat="1" ht="20.100000000000001" customHeight="1" x14ac:dyDescent="0.2">
      <c r="B32" s="4" t="s">
        <v>650</v>
      </c>
      <c r="C32" s="80" t="str">
        <f>sample_wld_az1_tor1_peer_bgp_password</f>
        <v>VMw@re1!</v>
      </c>
      <c r="D32" s="337" t="str">
        <f>wld_az1_tor1_peer_bgp_password</f>
        <v>Value Missing</v>
      </c>
      <c r="E32" s="32"/>
    </row>
    <row r="33" spans="2:5" s="8" customFormat="1" ht="20.100000000000001" customHeight="1" x14ac:dyDescent="0.2">
      <c r="B33" s="4" t="s">
        <v>651</v>
      </c>
      <c r="C33" s="80" t="str">
        <f>sample_wld_az1_tor2_peer_ip</f>
        <v>10.13.18.10</v>
      </c>
      <c r="D33" s="337" t="str">
        <f>wld_az1_tor2_peer_ip</f>
        <v>Value Missing</v>
      </c>
      <c r="E33" s="32"/>
    </row>
    <row r="34" spans="2:5" s="8" customFormat="1" ht="20.100000000000001" customHeight="1" x14ac:dyDescent="0.2">
      <c r="B34" s="4" t="s">
        <v>652</v>
      </c>
      <c r="C34" s="80" t="str">
        <f>sample_wld_az1_tor2_peer_asn</f>
        <v>65131</v>
      </c>
      <c r="D34" s="337" t="str">
        <f>wld_az1_tor2_peer_asn</f>
        <v>Value Missing</v>
      </c>
      <c r="E34" s="32"/>
    </row>
    <row r="35" spans="2:5" s="8" customFormat="1" ht="20.100000000000001" customHeight="1" x14ac:dyDescent="0.2">
      <c r="B35" s="4" t="s">
        <v>653</v>
      </c>
      <c r="C35" s="80" t="str">
        <f>sample_wld_az1_tor2_peer_bgp_password</f>
        <v>VMw@re1!</v>
      </c>
      <c r="D35" s="337" t="str">
        <f>wld_az1_tor2_peer_bgp_password</f>
        <v>Value Missing</v>
      </c>
      <c r="E35" s="32"/>
    </row>
    <row r="36" spans="2:5" s="8" customFormat="1" ht="20.100000000000001" customHeight="1" x14ac:dyDescent="0.2">
      <c r="B36" s="405" t="s">
        <v>3619</v>
      </c>
      <c r="C36" s="406"/>
      <c r="D36" s="406"/>
      <c r="E36" s="407"/>
    </row>
    <row r="37" spans="2:5" s="8" customFormat="1" ht="20.100000000000001" customHeight="1" x14ac:dyDescent="0.2">
      <c r="B37" s="30" t="str">
        <f>wld_az1_en1_fqdn</f>
        <v>Value Missing</v>
      </c>
      <c r="C37" s="80" t="str">
        <f>sample_wld_az1_en1_mgmt_cidr</f>
        <v>10.13.10.135/24</v>
      </c>
      <c r="D37" s="337" t="str">
        <f>wld_az1_en1_mgmt_cidr</f>
        <v>Value Missing</v>
      </c>
      <c r="E37" s="337"/>
    </row>
    <row r="38" spans="2:5" s="8" customFormat="1" ht="20.100000000000001" customHeight="1" x14ac:dyDescent="0.2">
      <c r="B38" s="99" t="s">
        <v>473</v>
      </c>
      <c r="C38" s="80" t="str">
        <f>sample_wld_az1_en1_uplink01_interface_cidr</f>
        <v>10.13.17.2/24</v>
      </c>
      <c r="D38" s="337" t="str">
        <f>wld_az1_en1_uplink01_interface_cidr</f>
        <v>Value Missing</v>
      </c>
      <c r="E38" s="337" t="s">
        <v>638</v>
      </c>
    </row>
    <row r="39" spans="2:5" s="8" customFormat="1" ht="20.100000000000001" customHeight="1" x14ac:dyDescent="0.2">
      <c r="B39" s="99" t="s">
        <v>473</v>
      </c>
      <c r="C39" s="80" t="str">
        <f>sample_wld_az1_en1_uplink02_interface_cidr</f>
        <v>10.13.18.2/24</v>
      </c>
      <c r="D39" s="337" t="str">
        <f>wld_az1_en1_uplink02_interface_cidr</f>
        <v>Value Missing</v>
      </c>
      <c r="E39" s="337" t="s">
        <v>1441</v>
      </c>
    </row>
    <row r="40" spans="2:5" s="8" customFormat="1" ht="20.100000000000001" customHeight="1" x14ac:dyDescent="0.2">
      <c r="B40" s="179" t="s">
        <v>473</v>
      </c>
      <c r="C40" s="80" t="str">
        <f>sample_wld_az1_en1_edge_overlay_interface_ip_1_ip</f>
        <v>10.13.19.2</v>
      </c>
      <c r="D40" s="337" t="str">
        <f>wld_az1_en1_edge_overlay_interface_ip_1_ip</f>
        <v>Value Missing</v>
      </c>
      <c r="E40" s="337" t="s">
        <v>1430</v>
      </c>
    </row>
    <row r="41" spans="2:5" s="8" customFormat="1" ht="20.100000000000001" customHeight="1" x14ac:dyDescent="0.2">
      <c r="B41" s="180" t="s">
        <v>473</v>
      </c>
      <c r="C41" s="80" t="str">
        <f>sample_wld_az1_en1_edge_overlay_interface_ip_2_ip</f>
        <v>10.13.19.3</v>
      </c>
      <c r="D41" s="337" t="str">
        <f>wld_az1_en1_edge_overlay_interface_ip_2_ip</f>
        <v>Value Missing</v>
      </c>
      <c r="E41" s="337" t="s">
        <v>3620</v>
      </c>
    </row>
    <row r="42" spans="2:5" s="8" customFormat="1" ht="20.100000000000001" customHeight="1" x14ac:dyDescent="0.2">
      <c r="B42" s="30" t="str">
        <f>wld_az1_en2_fqdn</f>
        <v>Value Missing</v>
      </c>
      <c r="C42" s="80" t="str">
        <f>sample_wld_az1_en2_mgmt_cidr</f>
        <v>10.13.10.136/24</v>
      </c>
      <c r="D42" s="337" t="str">
        <f>wld_az1_en2_mgmt_cidr</f>
        <v>Value Missing</v>
      </c>
      <c r="E42" s="337"/>
    </row>
    <row r="43" spans="2:5" s="8" customFormat="1" ht="20.100000000000001" customHeight="1" x14ac:dyDescent="0.2">
      <c r="B43" s="99" t="s">
        <v>473</v>
      </c>
      <c r="C43" s="80" t="str">
        <f>sample_wld_az1_en2_uplink01_interface_cidr</f>
        <v>10.13.17.3/24</v>
      </c>
      <c r="D43" s="337" t="str">
        <f>wld_az1_en2_uplink01_interface_cidr</f>
        <v>Value Missing</v>
      </c>
      <c r="E43" s="337" t="s">
        <v>647</v>
      </c>
    </row>
    <row r="44" spans="2:5" s="8" customFormat="1" ht="20.100000000000001" customHeight="1" x14ac:dyDescent="0.2">
      <c r="B44" s="99" t="s">
        <v>473</v>
      </c>
      <c r="C44" s="80" t="str">
        <f>sample_wld_az1_en2_uplink02_interface_cidr</f>
        <v>10.13.18.3/24</v>
      </c>
      <c r="D44" s="337" t="str">
        <f>wld_az1_en2_uplink02_interface_cidr</f>
        <v>Value Missing</v>
      </c>
      <c r="E44" s="337" t="s">
        <v>645</v>
      </c>
    </row>
    <row r="45" spans="2:5" s="8" customFormat="1" ht="20.100000000000001" customHeight="1" x14ac:dyDescent="0.2">
      <c r="B45" s="179" t="s">
        <v>473</v>
      </c>
      <c r="C45" s="80" t="str">
        <f>sample_wld_az1_en2_edge_overlay_interface_ip_1_ip</f>
        <v>10.13.19.4</v>
      </c>
      <c r="D45" s="337" t="str">
        <f>wld_az1_en2_edge_overlay_interface_ip_1_ip</f>
        <v>Value Missing</v>
      </c>
      <c r="E45" s="337" t="s">
        <v>1436</v>
      </c>
    </row>
    <row r="46" spans="2:5" s="8" customFormat="1" ht="20.100000000000001" customHeight="1" x14ac:dyDescent="0.2">
      <c r="B46" s="180" t="s">
        <v>473</v>
      </c>
      <c r="C46" s="80" t="str">
        <f>sample_wld_az1_en2_edge_overlay_interface_ip_2_ip</f>
        <v>10.13.19.5</v>
      </c>
      <c r="D46" s="337" t="str">
        <f>wld_az1_en2_edge_overlay_interface_ip_2_ip</f>
        <v>Value Missing</v>
      </c>
      <c r="E46" s="337" t="s">
        <v>1438</v>
      </c>
    </row>
    <row r="47" spans="2:5" s="8" customFormat="1" ht="20.100000000000001" customHeight="1" x14ac:dyDescent="0.2"/>
    <row r="48" spans="2:5" s="8" customFormat="1" ht="33.950000000000003" customHeight="1" x14ac:dyDescent="0.2">
      <c r="B48" s="408" t="s">
        <v>3633</v>
      </c>
      <c r="C48" s="409"/>
      <c r="D48" s="409"/>
      <c r="E48" s="410"/>
    </row>
    <row r="49" spans="2:5" s="8" customFormat="1" ht="20.100000000000001" customHeight="1" x14ac:dyDescent="0.2">
      <c r="B49" s="346" t="s">
        <v>37</v>
      </c>
      <c r="C49" s="346" t="s">
        <v>276</v>
      </c>
      <c r="D49" s="346" t="s">
        <v>277</v>
      </c>
      <c r="E49" s="346" t="s">
        <v>5</v>
      </c>
    </row>
    <row r="50" spans="2:5" s="8" customFormat="1" ht="20.100000000000001" customHeight="1" x14ac:dyDescent="0.2">
      <c r="B50" s="405" t="s">
        <v>402</v>
      </c>
      <c r="C50" s="406"/>
      <c r="D50" s="406"/>
      <c r="E50" s="407"/>
    </row>
    <row r="51" spans="2:5" s="8" customFormat="1" ht="20.100000000000001" customHeight="1" x14ac:dyDescent="0.2">
      <c r="B51" s="4" t="s">
        <v>398</v>
      </c>
      <c r="C51" s="89" t="str">
        <f>sample_wld_az1_mgmt_vm_vlan</f>
        <v>1310</v>
      </c>
      <c r="D51" s="337" t="str">
        <f>wld_az1_mgmt_vm_vlan</f>
        <v>Value Missing</v>
      </c>
      <c r="E51" s="33"/>
    </row>
    <row r="52" spans="2:5" s="8" customFormat="1" ht="20.100000000000001" customHeight="1" x14ac:dyDescent="0.2">
      <c r="B52" s="4" t="s">
        <v>399</v>
      </c>
      <c r="C52" s="80" t="str">
        <f>sample_wld_az1_mgmt_vm_gateway_ip</f>
        <v>10.13.10.1</v>
      </c>
      <c r="D52" s="337" t="str">
        <f>wld_az1_mgmt_vm_gateway_ip</f>
        <v>Value Missing</v>
      </c>
      <c r="E52" s="33"/>
    </row>
    <row r="53" spans="2:5" s="8" customFormat="1" ht="20.100000000000001" customHeight="1" x14ac:dyDescent="0.2">
      <c r="B53" s="4" t="s">
        <v>400</v>
      </c>
      <c r="C53" s="80" t="str">
        <f>sample_wld_az1_mgmt_cidr</f>
        <v>10.13.11.0/24</v>
      </c>
      <c r="D53" s="337" t="str">
        <f>wld_az1_mgmt_cidr</f>
        <v>Value Missing</v>
      </c>
      <c r="E53" s="33"/>
    </row>
    <row r="54" spans="2:5" s="8" customFormat="1" ht="20.100000000000001" customHeight="1" x14ac:dyDescent="0.2">
      <c r="B54" s="4" t="s">
        <v>401</v>
      </c>
      <c r="C54" s="80">
        <f>sample_wld_az1_mgmt_vm_mtu</f>
        <v>1500</v>
      </c>
      <c r="D54" s="337" t="str">
        <f>wld_az1_mgmt_vm_mtu</f>
        <v>Value Missing</v>
      </c>
      <c r="E54" s="33"/>
    </row>
    <row r="55" spans="2:5" s="8" customFormat="1" ht="20.100000000000001" customHeight="1" x14ac:dyDescent="0.2">
      <c r="B55" s="405" t="s">
        <v>3619</v>
      </c>
      <c r="C55" s="406"/>
      <c r="D55" s="406"/>
      <c r="E55" s="407"/>
    </row>
    <row r="56" spans="2:5" s="8" customFormat="1" ht="20.100000000000001" customHeight="1" x14ac:dyDescent="0.2">
      <c r="B56" s="30" t="str">
        <f>sample_wld_avilb_cluster_fqdn</f>
        <v>sfo-w01-avilb01.sfo.rainpole.io</v>
      </c>
      <c r="C56" s="80" t="str">
        <f>sample_wld_avilb_ip</f>
        <v>10.11.10.151</v>
      </c>
      <c r="D56" s="337" t="str">
        <f>wld_avilb_ip</f>
        <v>Value Missing</v>
      </c>
      <c r="E56" s="99" t="s">
        <v>683</v>
      </c>
    </row>
    <row r="57" spans="2:5" s="8" customFormat="1" ht="20.100000000000001" customHeight="1" x14ac:dyDescent="0.2">
      <c r="B57" s="99" t="s">
        <v>473</v>
      </c>
      <c r="C57" s="80" t="str">
        <f>sample_wld_avilb_mgra_ip</f>
        <v>10.11.10.152</v>
      </c>
      <c r="D57" s="337" t="str">
        <f>wld_avilb_mgra_ip</f>
        <v>Value Missing</v>
      </c>
      <c r="E57" s="99" t="s">
        <v>677</v>
      </c>
    </row>
    <row r="58" spans="2:5" s="8" customFormat="1" ht="20.100000000000001" customHeight="1" x14ac:dyDescent="0.2">
      <c r="B58" s="99" t="s">
        <v>473</v>
      </c>
      <c r="C58" s="80" t="str">
        <f>sample_wld_avilb_mgrb_ip</f>
        <v>10.11.10.153</v>
      </c>
      <c r="D58" s="337" t="str">
        <f>wld_avilb_mgrb_ip</f>
        <v>Value Missing</v>
      </c>
      <c r="E58" s="99" t="s">
        <v>679</v>
      </c>
    </row>
    <row r="59" spans="2:5" s="8" customFormat="1" ht="20.100000000000001" customHeight="1" x14ac:dyDescent="0.2">
      <c r="B59" s="99" t="s">
        <v>473</v>
      </c>
      <c r="C59" s="80" t="str">
        <f>sample_wld_avilb_mgrc_ip</f>
        <v>10.11.10.154</v>
      </c>
      <c r="D59" s="337" t="str">
        <f>wld_avilb_mgrc_ip</f>
        <v>Value Missing</v>
      </c>
      <c r="E59" s="99" t="s">
        <v>681</v>
      </c>
    </row>
    <row r="60" spans="2:5" s="8" customFormat="1" ht="20.100000000000001" customHeight="1" x14ac:dyDescent="0.2"/>
    <row r="61" spans="2:5" s="8" customFormat="1" ht="33.950000000000003" customHeight="1" x14ac:dyDescent="0.2">
      <c r="B61" s="408" t="s">
        <v>1564</v>
      </c>
      <c r="C61" s="409"/>
      <c r="D61" s="409"/>
      <c r="E61" s="410"/>
    </row>
    <row r="62" spans="2:5" s="8" customFormat="1" ht="20.100000000000001" customHeight="1" x14ac:dyDescent="0.2">
      <c r="B62" s="346" t="s">
        <v>37</v>
      </c>
      <c r="C62" s="346" t="s">
        <v>276</v>
      </c>
      <c r="D62" s="346" t="s">
        <v>277</v>
      </c>
      <c r="E62" s="346" t="s">
        <v>5</v>
      </c>
    </row>
    <row r="63" spans="2:5" s="8" customFormat="1" ht="20.100000000000001" customHeight="1" x14ac:dyDescent="0.2">
      <c r="B63" s="405" t="s">
        <v>3624</v>
      </c>
      <c r="C63" s="406"/>
      <c r="D63" s="406"/>
      <c r="E63" s="407"/>
    </row>
    <row r="64" spans="2:5" s="8" customFormat="1" ht="20.100000000000001" customHeight="1" x14ac:dyDescent="0.2">
      <c r="B64" s="4" t="s">
        <v>398</v>
      </c>
      <c r="C64" s="80" t="str">
        <f>IF(mgmt_dpg_reuse_result="Included",CONCATENATE(prefix_wld_witness_vlan,"10"),CONCATENATE(prefix_wld_witness_vlan,"11"))</f>
        <v>2110</v>
      </c>
      <c r="D64" s="258" t="str">
        <f>wld_witnessaz_mgmt_vlan</f>
        <v>Value Missing</v>
      </c>
      <c r="E64" s="32"/>
    </row>
    <row r="65" spans="2:5" s="8" customFormat="1" ht="20.100000000000001" customHeight="1" x14ac:dyDescent="0.2">
      <c r="B65" s="4" t="s">
        <v>399</v>
      </c>
      <c r="C65" s="362" t="str">
        <f>sample_wld_witnessaz_mgmt_gateway_ip</f>
        <v>10.21.10.1</v>
      </c>
      <c r="D65" s="258" t="str">
        <f>wld_witnessaz_mgmt_gateway_ip</f>
        <v>Value Missing</v>
      </c>
      <c r="E65" s="32"/>
    </row>
    <row r="66" spans="2:5" s="8" customFormat="1" ht="20.100000000000001" customHeight="1" x14ac:dyDescent="0.2">
      <c r="B66" s="4" t="s">
        <v>400</v>
      </c>
      <c r="C66" s="80" t="str">
        <f>IF(mgmt_dpg_reuse_result="Included",CONCATENATE(prefix_wld_witness_cidr,"10.0/24"),CONCATENATE(prefix_wld_witness_cidr,"11.0/24"))</f>
        <v>10.21.10.0/24</v>
      </c>
      <c r="D66" s="258" t="str">
        <f>wld_witnessaz_mgmt_cidr</f>
        <v>Value Missing</v>
      </c>
      <c r="E66" s="32"/>
    </row>
    <row r="67" spans="2:5" s="8" customFormat="1" ht="20.100000000000001" customHeight="1" x14ac:dyDescent="0.2">
      <c r="B67" s="4" t="s">
        <v>401</v>
      </c>
      <c r="C67" s="362">
        <f>sample_wld_witnessaz_mgmt_mtu</f>
        <v>1500</v>
      </c>
      <c r="D67" s="258" t="str">
        <f>wld_witnessaz_mgmt_mtu</f>
        <v>Value Missing</v>
      </c>
      <c r="E67" s="32"/>
    </row>
    <row r="68" spans="2:5" s="8" customFormat="1" ht="20.100000000000001" customHeight="1" x14ac:dyDescent="0.2">
      <c r="B68" s="417" t="s">
        <v>404</v>
      </c>
      <c r="C68" s="418"/>
      <c r="D68" s="418"/>
      <c r="E68" s="631"/>
    </row>
    <row r="69" spans="2:5" s="8" customFormat="1" ht="20.100000000000001" customHeight="1" x14ac:dyDescent="0.2">
      <c r="B69" s="22" t="s">
        <v>398</v>
      </c>
      <c r="C69" s="80" t="str">
        <f>sample_wld_az2_vmotion_vlan</f>
        <v>1412</v>
      </c>
      <c r="D69" s="258" t="str">
        <f>wld_az2_vmotion_vlan</f>
        <v>Value Missing</v>
      </c>
      <c r="E69" s="199"/>
    </row>
    <row r="70" spans="2:5" s="8" customFormat="1" ht="20.100000000000001" customHeight="1" x14ac:dyDescent="0.2">
      <c r="B70" s="22" t="s">
        <v>399</v>
      </c>
      <c r="C70" s="80" t="str">
        <f>sample_wld_az2_vmotion_gateway_ip</f>
        <v>10.14.12.1</v>
      </c>
      <c r="D70" s="258" t="str">
        <f>wld_az2_vmotion_gateway_ip</f>
        <v>Value Missing</v>
      </c>
      <c r="E70" s="160"/>
    </row>
    <row r="71" spans="2:5" s="8" customFormat="1" ht="20.100000000000001" customHeight="1" x14ac:dyDescent="0.2">
      <c r="B71" s="22" t="s">
        <v>400</v>
      </c>
      <c r="C71" s="80" t="str">
        <f>CONCATENATE(prefix_wld_az2_cidr,"12.0/24")</f>
        <v>10.14.12.0/24</v>
      </c>
      <c r="D71" s="258" t="str">
        <f>wld_az2_vmotion_cidr</f>
        <v>Value Missing</v>
      </c>
      <c r="E71" s="160"/>
    </row>
    <row r="72" spans="2:5" s="8" customFormat="1" ht="20.100000000000001" customHeight="1" x14ac:dyDescent="0.2">
      <c r="B72" s="22" t="s">
        <v>401</v>
      </c>
      <c r="C72" s="80">
        <f>sample_wld_az2_vmotion_mtu</f>
        <v>9000</v>
      </c>
      <c r="D72" s="258" t="str">
        <f>wld_az2_vmotion_mtu</f>
        <v>Value Missing</v>
      </c>
      <c r="E72" s="160"/>
    </row>
    <row r="73" spans="2:5" s="8" customFormat="1" ht="20.100000000000001" customHeight="1" x14ac:dyDescent="0.2">
      <c r="B73" s="22" t="s">
        <v>460</v>
      </c>
      <c r="C73" s="80" t="str">
        <f>sample_wld_az2_vmotion_pool_end_ip</f>
        <v>10.14.12.116</v>
      </c>
      <c r="D73" s="258" t="str">
        <f>wld_az2_vmotion_pool_end_ip</f>
        <v>Value Missing</v>
      </c>
      <c r="E73" s="160"/>
    </row>
    <row r="74" spans="2:5" s="8" customFormat="1" ht="20.100000000000001" customHeight="1" x14ac:dyDescent="0.2">
      <c r="B74" s="22" t="s">
        <v>461</v>
      </c>
      <c r="C74" s="80" t="str">
        <f>sample_wld_az2_vmotion_pool_start_ip</f>
        <v>10.14.12.101</v>
      </c>
      <c r="D74" s="258" t="str">
        <f>wld_az2_vmotion_pool_start_ip</f>
        <v>Value Missing</v>
      </c>
      <c r="E74" s="160"/>
    </row>
    <row r="75" spans="2:5" s="8" customFormat="1" ht="20.100000000000001" customHeight="1" x14ac:dyDescent="0.2">
      <c r="B75" s="417" t="s">
        <v>407</v>
      </c>
      <c r="C75" s="418"/>
      <c r="D75" s="418"/>
      <c r="E75" s="419"/>
    </row>
    <row r="76" spans="2:5" s="8" customFormat="1" ht="20.100000000000001" customHeight="1" x14ac:dyDescent="0.2">
      <c r="B76" s="22" t="s">
        <v>398</v>
      </c>
      <c r="C76" s="80" t="str">
        <f>sample_wld_az2_principal_storage_vlan</f>
        <v>1413</v>
      </c>
      <c r="D76" s="9" t="str">
        <f>wld_az2_principal_storage_vlan</f>
        <v>Value Missing</v>
      </c>
      <c r="E76" s="160"/>
    </row>
    <row r="77" spans="2:5" s="8" customFormat="1" ht="20.100000000000001" customHeight="1" x14ac:dyDescent="0.2">
      <c r="B77" s="22" t="s">
        <v>399</v>
      </c>
      <c r="C77" s="80" t="str">
        <f>sample_wld_az2_principal_storage_gateway_ip</f>
        <v>10.14.13.1</v>
      </c>
      <c r="D77" s="9" t="str">
        <f>wld_az2_principal_storage_gateway_ip</f>
        <v>Value Missing</v>
      </c>
      <c r="E77" s="160"/>
    </row>
    <row r="78" spans="2:5" s="8" customFormat="1" ht="20.100000000000001" customHeight="1" x14ac:dyDescent="0.2">
      <c r="B78" s="22" t="s">
        <v>401</v>
      </c>
      <c r="C78" s="80">
        <f>sample_wld_az2_principal_storage_mtu</f>
        <v>9000</v>
      </c>
      <c r="D78" s="9" t="str">
        <f>wld_az2_principal_storage_mtu</f>
        <v>Value Missing</v>
      </c>
      <c r="E78" s="160"/>
    </row>
    <row r="79" spans="2:5" s="8" customFormat="1" ht="20.100000000000001" customHeight="1" x14ac:dyDescent="0.2">
      <c r="B79" s="22" t="s">
        <v>400</v>
      </c>
      <c r="C79" s="80" t="str">
        <f>CONCATENATE(prefix_mgmt_az2_cidr,"13.0/24")</f>
        <v>10.12.13.0/24</v>
      </c>
      <c r="D79" s="9" t="str">
        <f>wld_az2_principal_storage_network</f>
        <v>Value Missing</v>
      </c>
      <c r="E79" s="160"/>
    </row>
    <row r="80" spans="2:5" s="8" customFormat="1" ht="20.100000000000001" customHeight="1" x14ac:dyDescent="0.2">
      <c r="B80" s="22" t="s">
        <v>460</v>
      </c>
      <c r="C80" s="80" t="str">
        <f>sample_mgmt_az2_vsan_pool_start_ip</f>
        <v>10.12.13.101</v>
      </c>
      <c r="D80" s="9" t="str">
        <f>wld_az2_principal_storage_pool_start_ip</f>
        <v>Value Missing</v>
      </c>
      <c r="E80" s="160"/>
    </row>
    <row r="81" spans="2:5" s="8" customFormat="1" ht="20.100000000000001" customHeight="1" x14ac:dyDescent="0.2">
      <c r="B81" s="22" t="s">
        <v>461</v>
      </c>
      <c r="C81" s="80" t="str">
        <f>sample_mgmt_az2_vsan_pool_end_ip</f>
        <v>10.12.13.116</v>
      </c>
      <c r="D81" s="9" t="str">
        <f>wld_az2_principal_storage_pool_end_ip</f>
        <v>Value Missing</v>
      </c>
      <c r="E81" s="160"/>
    </row>
    <row r="82" spans="2:5" s="8" customFormat="1" ht="20.100000000000001" customHeight="1" x14ac:dyDescent="0.2">
      <c r="B82" s="417" t="s">
        <v>410</v>
      </c>
      <c r="C82" s="418"/>
      <c r="D82" s="418"/>
      <c r="E82" s="419"/>
    </row>
    <row r="83" spans="2:5" s="8" customFormat="1" ht="20.100000000000001" customHeight="1" x14ac:dyDescent="0.2">
      <c r="B83" s="22" t="s">
        <v>398</v>
      </c>
      <c r="C83" s="135" t="str">
        <f>sample_wld_az2_secondary_storage_vlan</f>
        <v>1415</v>
      </c>
      <c r="D83" s="9" t="str">
        <f>wld_az2_secondary_storage_vlan</f>
        <v>Value Missing</v>
      </c>
      <c r="E83" s="160"/>
    </row>
    <row r="84" spans="2:5" s="8" customFormat="1" ht="20.100000000000001" customHeight="1" x14ac:dyDescent="0.2">
      <c r="B84" s="22" t="s">
        <v>399</v>
      </c>
      <c r="C84" s="135" t="str">
        <f>sample_wld_az2_secondary_storage_gateway_ip</f>
        <v>10.14.15.1</v>
      </c>
      <c r="D84" s="9" t="str">
        <f>wld_az2_secondary_storage_gateway_ip</f>
        <v>Value Missing</v>
      </c>
      <c r="E84" s="160"/>
    </row>
    <row r="85" spans="2:5" s="8" customFormat="1" ht="20.100000000000001" customHeight="1" x14ac:dyDescent="0.2">
      <c r="B85" s="22" t="s">
        <v>401</v>
      </c>
      <c r="C85" s="135">
        <f>sample_wld_az2_secondary_storage_mtu</f>
        <v>9000</v>
      </c>
      <c r="D85" s="9" t="str">
        <f>wld_az2_secondary_storage_mtu</f>
        <v>Value Missing</v>
      </c>
      <c r="E85" s="160"/>
    </row>
    <row r="86" spans="2:5" s="8" customFormat="1" ht="20.100000000000001" customHeight="1" x14ac:dyDescent="0.2">
      <c r="B86" s="22" t="s">
        <v>400</v>
      </c>
      <c r="C86" s="135" t="str">
        <f>CONCATENATE(prefix_wld_az2_cidr,"15.0/24")</f>
        <v>10.14.15.0/24</v>
      </c>
      <c r="D86" s="9" t="e">
        <f>wld_az2_secondary_storage_cidr</f>
        <v>#N/A</v>
      </c>
      <c r="E86" s="160"/>
    </row>
    <row r="87" spans="2:5" s="8" customFormat="1" ht="20.100000000000001" customHeight="1" x14ac:dyDescent="0.2">
      <c r="B87" s="22" t="s">
        <v>460</v>
      </c>
      <c r="C87" s="135" t="str">
        <f>sample_wld_az2_secondary_storage_pool_start_ip</f>
        <v>10.14.15.101</v>
      </c>
      <c r="D87" s="9" t="str">
        <f>wld_az2_secondary_storage_pool_start_ip</f>
        <v>Value Missing</v>
      </c>
      <c r="E87" s="160"/>
    </row>
    <row r="88" spans="2:5" s="8" customFormat="1" ht="20.100000000000001" customHeight="1" x14ac:dyDescent="0.2">
      <c r="B88" s="22" t="s">
        <v>461</v>
      </c>
      <c r="C88" s="135" t="str">
        <f>sample_wld_az2_secondary_storage_pool_end_ip</f>
        <v>10.14.15.116</v>
      </c>
      <c r="D88" s="9" t="str">
        <f>wld_az2_secondary_storage_pool_end_ip</f>
        <v>Value Missing</v>
      </c>
      <c r="E88" s="160"/>
    </row>
    <row r="89" spans="2:5" s="8" customFormat="1" ht="20.100000000000001" customHeight="1" x14ac:dyDescent="0.2">
      <c r="B89" s="405" t="s">
        <v>3634</v>
      </c>
      <c r="C89" s="406"/>
      <c r="D89" s="406"/>
      <c r="E89" s="407"/>
    </row>
    <row r="90" spans="2:5" s="8" customFormat="1" ht="20.100000000000001" customHeight="1" x14ac:dyDescent="0.2">
      <c r="B90" s="4" t="s">
        <v>398</v>
      </c>
      <c r="C90" s="362" t="str">
        <f>sample_wld_az2_host_overlay_vlan</f>
        <v>1414</v>
      </c>
      <c r="D90" s="258" t="str">
        <f>wld_az2_host_overlay_vlan</f>
        <v>Value Missing</v>
      </c>
      <c r="E90" s="56"/>
    </row>
    <row r="91" spans="2:5" s="8" customFormat="1" ht="20.100000000000001" customHeight="1" x14ac:dyDescent="0.2">
      <c r="B91" s="4" t="s">
        <v>399</v>
      </c>
      <c r="C91" s="80" t="str">
        <f>sample_wld_az2_host_overlay_gateway_ip</f>
        <v>10.14.14.1</v>
      </c>
      <c r="D91" s="258" t="str">
        <f>wld_az2_host_overlay_gateway_ip</f>
        <v>Value Missing</v>
      </c>
      <c r="E91" s="56"/>
    </row>
    <row r="92" spans="2:5" s="8" customFormat="1" ht="20.100000000000001" customHeight="1" x14ac:dyDescent="0.2">
      <c r="B92" s="4" t="s">
        <v>400</v>
      </c>
      <c r="C92" s="80" t="str">
        <f>sample_wld_az2_host_overlay_cidr</f>
        <v>10.14.14.0/24</v>
      </c>
      <c r="D92" s="258" t="str">
        <f>wld_az2_host_overlay_cidr</f>
        <v>Value Missing</v>
      </c>
      <c r="E92" s="56"/>
    </row>
    <row r="93" spans="2:5" s="8" customFormat="1" ht="20.100000000000001" customHeight="1" x14ac:dyDescent="0.2">
      <c r="B93" s="4" t="s">
        <v>401</v>
      </c>
      <c r="C93" s="80">
        <f>sample_wld_az2_host_overlay_mtu</f>
        <v>9000</v>
      </c>
      <c r="D93" s="258" t="str">
        <f>wld_az2_host_overlay_cidr</f>
        <v>Value Missing</v>
      </c>
    </row>
    <row r="94" spans="2:5" s="8" customFormat="1" ht="20.100000000000001" customHeight="1" x14ac:dyDescent="0.2">
      <c r="B94" s="22" t="s">
        <v>460</v>
      </c>
      <c r="C94" s="80" t="str">
        <f>sample_wld_az2_host_overlay_pool_start_ip</f>
        <v>10.14.14.101</v>
      </c>
      <c r="D94" s="9" t="str">
        <f>wld_az2_host_overlay_pool_start_ip</f>
        <v>Value Missing</v>
      </c>
      <c r="E94" s="160"/>
    </row>
    <row r="95" spans="2:5" s="8" customFormat="1" ht="20.100000000000001" customHeight="1" x14ac:dyDescent="0.2">
      <c r="B95" s="22" t="s">
        <v>461</v>
      </c>
      <c r="C95" s="80" t="str">
        <f>sample_wld_az2_host_overlay_pool_end_ip</f>
        <v>10.14.14.132</v>
      </c>
      <c r="D95" s="9" t="str">
        <f>wld_az2_host_overlay_pool_end_ip</f>
        <v>Value Missing</v>
      </c>
      <c r="E95" s="160"/>
    </row>
    <row r="96" spans="2:5" s="8" customFormat="1" ht="20.100000000000001" customHeight="1" x14ac:dyDescent="0.2">
      <c r="B96" s="405" t="s">
        <v>1329</v>
      </c>
      <c r="C96" s="406"/>
      <c r="D96" s="406"/>
      <c r="E96" s="407"/>
    </row>
    <row r="97" spans="2:5" s="8" customFormat="1" ht="20.100000000000001" customHeight="1" x14ac:dyDescent="0.2">
      <c r="B97" s="9" t="str">
        <f>mgmt_witness_hostname</f>
        <v>Value Missing</v>
      </c>
      <c r="C97" s="181" t="str">
        <f>sample_wld_witness_ip</f>
        <v>10.21.10.219</v>
      </c>
      <c r="D97" s="182" t="e">
        <f>wld_witness_mgmt_ip</f>
        <v>#NAME?</v>
      </c>
      <c r="E97" s="150" t="s">
        <v>726</v>
      </c>
    </row>
    <row r="98" spans="2:5" s="8" customFormat="1" ht="20.100000000000001" customHeight="1" x14ac:dyDescent="0.2">
      <c r="B98" s="9" t="str">
        <f>wld_witness_zone_vc_hostname</f>
        <v>Value Missing</v>
      </c>
      <c r="C98" s="181" t="str">
        <f>sample_wld_witness_zone_vc_ip</f>
        <v>10.21.10.70</v>
      </c>
      <c r="D98" s="182" t="str">
        <f>wld_witness_zone_vc_ip</f>
        <v>Value Missing</v>
      </c>
      <c r="E98" s="150" t="s">
        <v>722</v>
      </c>
    </row>
    <row r="99" spans="2:5" s="8" customFormat="1" ht="20.100000000000001" customHeight="1" x14ac:dyDescent="0.2">
      <c r="B99" s="522" t="s">
        <v>3632</v>
      </c>
      <c r="C99" s="522"/>
      <c r="D99" s="522"/>
      <c r="E99" s="522"/>
    </row>
    <row r="100" spans="2:5" s="8" customFormat="1" ht="20.100000000000001" customHeight="1" x14ac:dyDescent="0.2">
      <c r="B100" s="4" t="s">
        <v>1411</v>
      </c>
      <c r="C100" s="80" t="str">
        <f>sample_wld_en_asn</f>
        <v>65102</v>
      </c>
      <c r="D100" s="182" t="str">
        <f>wld_en_asn</f>
        <v>Value Missing</v>
      </c>
      <c r="E100" s="32"/>
    </row>
    <row r="101" spans="2:5" s="8" customFormat="1" ht="20.100000000000001" customHeight="1" x14ac:dyDescent="0.2">
      <c r="B101" s="4" t="s">
        <v>648</v>
      </c>
      <c r="C101" s="80" t="str">
        <f>sample_wld_az2_tor1_peer_ip</f>
        <v>10.13.17.11</v>
      </c>
      <c r="D101" s="182" t="str">
        <f>wld_az1_tor1_peer_ip</f>
        <v>Value Missing</v>
      </c>
      <c r="E101" s="32"/>
    </row>
    <row r="102" spans="2:5" s="8" customFormat="1" ht="20.100000000000001" customHeight="1" x14ac:dyDescent="0.2">
      <c r="B102" s="4" t="s">
        <v>649</v>
      </c>
      <c r="C102" s="80" t="str">
        <f>sample_wld_az2_tor1_peer_asn</f>
        <v>65141</v>
      </c>
      <c r="D102" s="182" t="str">
        <f>wld_az1_tor1_peer_asn</f>
        <v>Value Missing</v>
      </c>
      <c r="E102" s="32"/>
    </row>
    <row r="103" spans="2:5" s="8" customFormat="1" ht="20.100000000000001" customHeight="1" x14ac:dyDescent="0.2">
      <c r="B103" s="4" t="s">
        <v>650</v>
      </c>
      <c r="C103" s="80" t="str">
        <f>sample_wld_az2_tor1_peer_bgp_password</f>
        <v>VMw@re1!</v>
      </c>
      <c r="D103" s="182" t="str">
        <f>wld_az1_tor1_peer_bgp_password</f>
        <v>Value Missing</v>
      </c>
      <c r="E103" s="32"/>
    </row>
    <row r="104" spans="2:5" s="8" customFormat="1" ht="20.100000000000001" customHeight="1" x14ac:dyDescent="0.2">
      <c r="B104" s="4" t="s">
        <v>651</v>
      </c>
      <c r="C104" s="80" t="str">
        <f>sample_wld_az2_tor2_peer_ip</f>
        <v>10.13.18.11</v>
      </c>
      <c r="D104" s="182" t="str">
        <f>wld_az1_tor2_peer_ip</f>
        <v>Value Missing</v>
      </c>
      <c r="E104" s="32"/>
    </row>
    <row r="105" spans="2:5" s="8" customFormat="1" ht="20.100000000000001" customHeight="1" x14ac:dyDescent="0.2">
      <c r="B105" s="4" t="s">
        <v>652</v>
      </c>
      <c r="C105" s="80" t="str">
        <f>sample_wld_az2_tor2_peer_asn</f>
        <v>65141</v>
      </c>
      <c r="D105" s="182" t="str">
        <f>wld_az1_tor2_peer_asn</f>
        <v>Value Missing</v>
      </c>
      <c r="E105" s="32"/>
    </row>
    <row r="106" spans="2:5" s="8" customFormat="1" ht="20.100000000000001" customHeight="1" x14ac:dyDescent="0.2">
      <c r="B106" s="4" t="s">
        <v>653</v>
      </c>
      <c r="C106" s="80" t="str">
        <f>sample_wld_az2_tor2_peer_bgp_password</f>
        <v>VMw@re1!</v>
      </c>
      <c r="D106" s="182" t="str">
        <f>wld_az1_tor2_peer_bgp_password</f>
        <v>Value Missing</v>
      </c>
      <c r="E106" s="32"/>
    </row>
    <row r="107" spans="2:5" s="8" customFormat="1" ht="20.100000000000001" customHeight="1" x14ac:dyDescent="0.2"/>
    <row r="108" spans="2:5" s="8" customFormat="1" ht="33.950000000000003" customHeight="1" x14ac:dyDescent="0.2">
      <c r="B108" s="408" t="s">
        <v>1415</v>
      </c>
      <c r="C108" s="409"/>
      <c r="D108" s="409"/>
      <c r="E108" s="410"/>
    </row>
    <row r="109" spans="2:5" s="8" customFormat="1" ht="20.100000000000001" customHeight="1" x14ac:dyDescent="0.2">
      <c r="B109" s="346" t="s">
        <v>37</v>
      </c>
      <c r="C109" s="346" t="s">
        <v>276</v>
      </c>
      <c r="D109" s="346" t="s">
        <v>277</v>
      </c>
      <c r="E109" s="346" t="s">
        <v>5</v>
      </c>
    </row>
    <row r="110" spans="2:5" s="8" customFormat="1" ht="20.100000000000001" customHeight="1" x14ac:dyDescent="0.2">
      <c r="B110" s="405" t="s">
        <v>402</v>
      </c>
      <c r="C110" s="406"/>
      <c r="D110" s="406"/>
      <c r="E110" s="407"/>
    </row>
    <row r="111" spans="2:5" s="8" customFormat="1" ht="20.100000000000001" customHeight="1" x14ac:dyDescent="0.2">
      <c r="B111" s="4" t="s">
        <v>398</v>
      </c>
      <c r="C111" s="89" t="str">
        <f>sample_mgmt_az1_mgmt_vm_vlan</f>
        <v>1110</v>
      </c>
      <c r="D111" s="337">
        <f>mgmt_az1_mgmt_vm_vlan</f>
        <v>250</v>
      </c>
      <c r="E111" s="33"/>
    </row>
    <row r="112" spans="2:5" s="8" customFormat="1" ht="20.100000000000001" customHeight="1" x14ac:dyDescent="0.2">
      <c r="B112" s="4" t="s">
        <v>399</v>
      </c>
      <c r="C112" s="80" t="str">
        <f>sample_mgmt_az1_mgmt_vm_gateway_ip</f>
        <v>10.11.10.1</v>
      </c>
      <c r="D112" s="337" t="str">
        <f>mgmt_az1_mgmt_vm_gateway_ip</f>
        <v>10.100.50.1</v>
      </c>
      <c r="E112" s="33"/>
    </row>
    <row r="113" spans="2:5" s="8" customFormat="1" ht="20.100000000000001" customHeight="1" x14ac:dyDescent="0.2">
      <c r="B113" s="4" t="s">
        <v>400</v>
      </c>
      <c r="C113" s="80" t="str">
        <f>sample_mgmt_az1_mgmt_cidr</f>
        <v>10.11.11.0/24</v>
      </c>
      <c r="D113" s="337" t="str">
        <f>mgmt_az1_mgmt_cidr</f>
        <v>10.100.51.0/24</v>
      </c>
      <c r="E113" s="33"/>
    </row>
    <row r="114" spans="2:5" s="8" customFormat="1" ht="20.100000000000001" customHeight="1" x14ac:dyDescent="0.2">
      <c r="B114" s="4" t="s">
        <v>401</v>
      </c>
      <c r="C114" s="80">
        <v>1500</v>
      </c>
      <c r="D114" s="337" t="str">
        <f>wld_witnessaz_mgmt_mtu</f>
        <v>Value Missing</v>
      </c>
      <c r="E114" s="33"/>
    </row>
    <row r="115" spans="2:5" s="8" customFormat="1" ht="20.100000000000001" customHeight="1" x14ac:dyDescent="0.2">
      <c r="B115" s="405" t="s">
        <v>3628</v>
      </c>
      <c r="C115" s="406"/>
      <c r="D115" s="406"/>
      <c r="E115" s="407"/>
    </row>
    <row r="116" spans="2:5" s="8" customFormat="1" ht="20.100000000000001" customHeight="1" x14ac:dyDescent="0.2">
      <c r="B116" s="4" t="s">
        <v>398</v>
      </c>
      <c r="C116" s="362" t="str">
        <f>sample_wld_az1_rtep_overlay_vlan</f>
        <v>1320</v>
      </c>
      <c r="D116" s="337" t="str">
        <f>wld_az1_rtep_overlay_vlan</f>
        <v>Value Missing</v>
      </c>
      <c r="E116" s="337"/>
    </row>
    <row r="117" spans="2:5" s="8" customFormat="1" ht="20.100000000000001" customHeight="1" x14ac:dyDescent="0.2">
      <c r="B117" s="4" t="s">
        <v>399</v>
      </c>
      <c r="C117" s="362" t="str">
        <f>sample_wld_az1_rtep_overlay_gateway_ip</f>
        <v>10.13.20.1</v>
      </c>
      <c r="D117" s="337" t="str">
        <f>wld_az1_rtep_overlay_gateway_ip</f>
        <v>Value Missing</v>
      </c>
      <c r="E117" s="337"/>
    </row>
    <row r="118" spans="2:5" s="8" customFormat="1" ht="20.100000000000001" customHeight="1" x14ac:dyDescent="0.2">
      <c r="B118" s="4" t="s">
        <v>400</v>
      </c>
      <c r="C118" s="362" t="str">
        <f>sample_wld_az1_rtep_overlay_cidr</f>
        <v>10.13.20.0/24</v>
      </c>
      <c r="D118" s="337" t="str">
        <f>wld_az1_rtep_overlay_cidr</f>
        <v>Value Missing</v>
      </c>
      <c r="E118" s="337"/>
    </row>
    <row r="119" spans="2:5" s="8" customFormat="1" ht="20.100000000000001" customHeight="1" x14ac:dyDescent="0.2">
      <c r="B119" s="405" t="s">
        <v>3619</v>
      </c>
      <c r="C119" s="406"/>
      <c r="D119" s="406"/>
      <c r="E119" s="407"/>
    </row>
    <row r="120" spans="2:5" s="8" customFormat="1" ht="20.100000000000001" customHeight="1" x14ac:dyDescent="0.2">
      <c r="B120" s="4" t="str">
        <f>wld_nsxt_global_mgra_fqdn</f>
        <v>Value Missing</v>
      </c>
      <c r="C120" s="362" t="str">
        <f>sample_wld_nsxt_gm_vip_ip</f>
        <v>10.11.10.141</v>
      </c>
      <c r="D120" s="337" t="str">
        <f>wld_nsxt_gm_vip_ip</f>
        <v>Value Missing</v>
      </c>
      <c r="E120" s="337"/>
    </row>
    <row r="121" spans="2:5" s="8" customFormat="1" ht="20.100000000000001" customHeight="1" x14ac:dyDescent="0.2">
      <c r="B121" s="4" t="str">
        <f>wld_nsxt_global_mgra_fqdn</f>
        <v>Value Missing</v>
      </c>
      <c r="C121" s="362" t="str">
        <f>sample_wld_nsxt_global_mgra_ip</f>
        <v>10.11.10.142</v>
      </c>
      <c r="D121" s="337" t="str">
        <f>wld_nsxt_global_mgra_ip</f>
        <v>Value Missing</v>
      </c>
      <c r="E121" s="337"/>
    </row>
    <row r="122" spans="2:5" s="8" customFormat="1" ht="20.100000000000001" customHeight="1" x14ac:dyDescent="0.2">
      <c r="B122" s="4" t="str">
        <f>wld_nsxt_global_mgrb_fqdn</f>
        <v>Value Missing</v>
      </c>
      <c r="C122" s="362" t="str">
        <f>sample_wld_nsxt_global_mgrb_ip</f>
        <v>10.11.10.143</v>
      </c>
      <c r="D122" s="337" t="str">
        <f>wld_nsxt_global_mgrb_ip</f>
        <v>Value Missing</v>
      </c>
      <c r="E122" s="337"/>
    </row>
    <row r="123" spans="2:5" s="8" customFormat="1" ht="20.100000000000001" customHeight="1" x14ac:dyDescent="0.2">
      <c r="B123" s="4" t="str">
        <f>wld_nsxt_global_mgrc_fqdn</f>
        <v>Value Missing</v>
      </c>
      <c r="C123" s="362" t="str">
        <f>sample_wld_nsxt_global_mgrc_ip</f>
        <v>10.11.10.144</v>
      </c>
      <c r="D123" s="337" t="str">
        <f>wld_nsxt_global_mgrc_ip</f>
        <v>Value Missing</v>
      </c>
      <c r="E123" s="337"/>
    </row>
    <row r="124" spans="2:5" s="8" customFormat="1" ht="20.100000000000001" customHeight="1" x14ac:dyDescent="0.2">
      <c r="B124" s="30" t="str">
        <f>wld_az1_en1_hostname</f>
        <v>Value Missing</v>
      </c>
      <c r="C124" s="80" t="str">
        <f>sample_wld_az1_en1_mgmt_cidr</f>
        <v>10.13.10.135/24</v>
      </c>
      <c r="D124" s="337" t="str">
        <f>wld_az1_en1_mgmt_cidr</f>
        <v>Value Missing</v>
      </c>
      <c r="E124" s="337"/>
    </row>
    <row r="125" spans="2:5" s="8" customFormat="1" ht="20.100000000000001" customHeight="1" x14ac:dyDescent="0.2">
      <c r="B125" s="99" t="s">
        <v>473</v>
      </c>
      <c r="C125" s="80" t="str">
        <f>sample_wld_az1_en1_uplink01_interface_cidr</f>
        <v>10.13.17.2/24</v>
      </c>
      <c r="D125" s="337" t="str">
        <f>wld_az1_en1_uplink01_interface_cidr</f>
        <v>Value Missing</v>
      </c>
      <c r="E125" s="337" t="s">
        <v>638</v>
      </c>
    </row>
    <row r="126" spans="2:5" s="8" customFormat="1" ht="20.100000000000001" customHeight="1" x14ac:dyDescent="0.2">
      <c r="B126" s="99" t="s">
        <v>473</v>
      </c>
      <c r="C126" s="80" t="str">
        <f>sample_wld_az1_en1_uplink02_interface_cidr</f>
        <v>10.13.18.2/24</v>
      </c>
      <c r="D126" s="337" t="str">
        <f>wld_az1_en1_uplink02_interface_cidr</f>
        <v>Value Missing</v>
      </c>
      <c r="E126" s="337" t="s">
        <v>1441</v>
      </c>
    </row>
    <row r="127" spans="2:5" s="8" customFormat="1" ht="20.100000000000001" customHeight="1" x14ac:dyDescent="0.2">
      <c r="B127" s="179" t="s">
        <v>473</v>
      </c>
      <c r="C127" s="80" t="str">
        <f>sample_wld_az1_en1_edge_overlay_interface_ip_1_ip</f>
        <v>10.13.19.2</v>
      </c>
      <c r="D127" s="337" t="str">
        <f>wld_az1_en1_edge_overlay_interface_ip_1_ip</f>
        <v>Value Missing</v>
      </c>
      <c r="E127" s="337" t="s">
        <v>1430</v>
      </c>
    </row>
    <row r="128" spans="2:5" s="8" customFormat="1" ht="20.100000000000001" customHeight="1" x14ac:dyDescent="0.2">
      <c r="B128" s="180" t="s">
        <v>473</v>
      </c>
      <c r="C128" s="80" t="str">
        <f>sample_wld_az1_en1_edge_overlay_interface_ip_2_ip</f>
        <v>10.13.19.3</v>
      </c>
      <c r="D128" s="337" t="str">
        <f>wld_az1_en1_edge_overlay_interface_ip_2_ip</f>
        <v>Value Missing</v>
      </c>
      <c r="E128" s="337" t="s">
        <v>3620</v>
      </c>
    </row>
    <row r="129" spans="2:5" s="8" customFormat="1" ht="20.100000000000001" customHeight="1" x14ac:dyDescent="0.2">
      <c r="B129" s="30" t="str">
        <f>wld_az1_en2_hostname</f>
        <v>Value Missing</v>
      </c>
      <c r="C129" s="80" t="str">
        <f>sample_wld_az1_en2_mgmt_cidr</f>
        <v>10.13.10.136/24</v>
      </c>
      <c r="D129" s="337" t="str">
        <f>wld_az1_en2_mgmt_cidr</f>
        <v>Value Missing</v>
      </c>
      <c r="E129" s="337"/>
    </row>
    <row r="130" spans="2:5" s="8" customFormat="1" ht="20.100000000000001" customHeight="1" x14ac:dyDescent="0.2">
      <c r="B130" s="99" t="s">
        <v>473</v>
      </c>
      <c r="C130" s="80" t="str">
        <f>sample_wld_az1_en2_uplink01_interface_cidr</f>
        <v>10.13.17.3/24</v>
      </c>
      <c r="D130" s="337" t="str">
        <f>wld_az1_en2_uplink01_interface_cidr</f>
        <v>Value Missing</v>
      </c>
      <c r="E130" s="337" t="s">
        <v>647</v>
      </c>
    </row>
    <row r="131" spans="2:5" s="8" customFormat="1" ht="20.100000000000001" customHeight="1" x14ac:dyDescent="0.2">
      <c r="B131" s="99" t="s">
        <v>473</v>
      </c>
      <c r="C131" s="80" t="str">
        <f>sample_wld_az1_en2_uplink02_interface_cidr</f>
        <v>10.13.18.3/24</v>
      </c>
      <c r="D131" s="337" t="str">
        <f>wld_az1_en2_uplink02_interface_cidr</f>
        <v>Value Missing</v>
      </c>
      <c r="E131" s="337" t="s">
        <v>645</v>
      </c>
    </row>
    <row r="132" spans="2:5" s="8" customFormat="1" ht="20.100000000000001" customHeight="1" x14ac:dyDescent="0.2">
      <c r="B132" s="179" t="s">
        <v>473</v>
      </c>
      <c r="C132" s="80" t="str">
        <f>sample_wld_az1_en2_edge_overlay_interface_ip_1_ip</f>
        <v>10.13.19.4</v>
      </c>
      <c r="D132" s="337" t="str">
        <f>wld_az1_en2_edge_overlay_interface_ip_1_ip</f>
        <v>Value Missing</v>
      </c>
      <c r="E132" s="337" t="s">
        <v>1436</v>
      </c>
    </row>
    <row r="133" spans="2:5" s="8" customFormat="1" ht="20.100000000000001" customHeight="1" x14ac:dyDescent="0.2">
      <c r="B133" s="180" t="s">
        <v>473</v>
      </c>
      <c r="C133" s="80" t="str">
        <f>sample_wld_az1_en2_edge_overlay_interface_ip_2_ip</f>
        <v>10.13.19.5</v>
      </c>
      <c r="D133" s="337" t="str">
        <f>wld_az1_en2_edge_overlay_interface_ip_2_ip</f>
        <v>Value Missing</v>
      </c>
      <c r="E133" s="337" t="s">
        <v>1438</v>
      </c>
    </row>
    <row r="134" spans="2:5" s="8" customFormat="1" ht="15" x14ac:dyDescent="0.2"/>
  </sheetData>
  <sheetProtection algorithmName="SHA-512" hashValue="wMD+ohXfwNic6hEwU7M+jcDvLnXevg1dUYhbKkNCgHUOR5rhYXzkRMIkNL2X1qsBgP+7gC5XBfGTvmTcDIH40A==" saltValue="6j/vw7K6PWc/iO7jUcGWMQ==" spinCount="100000" sheet="1" objects="1" scenarios="1"/>
  <mergeCells count="25">
    <mergeCell ref="B2:E2"/>
    <mergeCell ref="B3:E3"/>
    <mergeCell ref="B6:E6"/>
    <mergeCell ref="B99:E99"/>
    <mergeCell ref="B108:E108"/>
    <mergeCell ref="B24:E24"/>
    <mergeCell ref="B28:E28"/>
    <mergeCell ref="B7:E7"/>
    <mergeCell ref="B9:E9"/>
    <mergeCell ref="B14:E14"/>
    <mergeCell ref="B19:E19"/>
    <mergeCell ref="B36:E36"/>
    <mergeCell ref="B119:E119"/>
    <mergeCell ref="B48:E48"/>
    <mergeCell ref="B50:E50"/>
    <mergeCell ref="B55:E55"/>
    <mergeCell ref="B61:E61"/>
    <mergeCell ref="B63:E63"/>
    <mergeCell ref="B110:E110"/>
    <mergeCell ref="B96:E96"/>
    <mergeCell ref="B115:E115"/>
    <mergeCell ref="B89:E89"/>
    <mergeCell ref="B68:E68"/>
    <mergeCell ref="B75:E75"/>
    <mergeCell ref="B82:E82"/>
  </mergeCells>
  <conditionalFormatting sqref="B97:B98">
    <cfRule type="containsBlanks" dxfId="2351" priority="70">
      <formula>LEN(TRIM(B97))=0</formula>
    </cfRule>
    <cfRule type="expression" dxfId="2350" priority="69" stopIfTrue="1">
      <formula>wld_stretched_cluster_result="Excluded"</formula>
    </cfRule>
    <cfRule type="notContainsBlanks" dxfId="2349" priority="72" stopIfTrue="1">
      <formula>LEN(TRIM(B97))&gt;0</formula>
    </cfRule>
  </conditionalFormatting>
  <conditionalFormatting sqref="D10:D13 D15:D18 D20:D23 D29:D35 D37:D46">
    <cfRule type="expression" dxfId="2348" priority="116">
      <formula>OR((wld_domain_result="Excluded"),(wld_bgp_result="Excluded"))</formula>
    </cfRule>
  </conditionalFormatting>
  <conditionalFormatting sqref="D10:D13">
    <cfRule type="containsBlanks" dxfId="2347" priority="123">
      <formula>LEN(TRIM(D10))=0</formula>
    </cfRule>
    <cfRule type="notContainsBlanks" dxfId="2346" priority="139">
      <formula>LEN(TRIM(D10))&gt;0</formula>
    </cfRule>
  </conditionalFormatting>
  <conditionalFormatting sqref="D15:D18">
    <cfRule type="containsBlanks" dxfId="2345" priority="127">
      <formula>LEN(TRIM(D15))=0</formula>
    </cfRule>
    <cfRule type="notContainsBlanks" dxfId="2344" priority="140">
      <formula>LEN(TRIM(D15))&gt;0</formula>
    </cfRule>
  </conditionalFormatting>
  <conditionalFormatting sqref="D20:D23">
    <cfRule type="containsBlanks" dxfId="2343" priority="125">
      <formula>LEN(TRIM(D20))=0</formula>
    </cfRule>
  </conditionalFormatting>
  <conditionalFormatting sqref="D20:D27">
    <cfRule type="notContainsBlanks" dxfId="2342" priority="137">
      <formula>LEN(TRIM(D20))&gt;0</formula>
    </cfRule>
  </conditionalFormatting>
  <conditionalFormatting sqref="D24 D8:D9">
    <cfRule type="expression" dxfId="2341" priority="135">
      <formula>mgmt_domain_existing_vcenter_chosen="Selected"</formula>
    </cfRule>
  </conditionalFormatting>
  <conditionalFormatting sqref="D24">
    <cfRule type="expression" dxfId="2340" priority="134">
      <formula>input_mgmt_principal_storage_chosen="VMFS on Fibre Channel (FC)"</formula>
    </cfRule>
    <cfRule type="containsBlanks" dxfId="2339" priority="138">
      <formula>LEN(TRIM(D24))=0</formula>
    </cfRule>
  </conditionalFormatting>
  <conditionalFormatting sqref="D25:D27">
    <cfRule type="expression" dxfId="2338" priority="2">
      <formula>OR((wld_domain_result="Excluded"),(wld_bgp_result="Excluded"))</formula>
    </cfRule>
    <cfRule type="containsBlanks" dxfId="2337" priority="3">
      <formula>LEN(TRIM(D25))=0</formula>
    </cfRule>
  </conditionalFormatting>
  <conditionalFormatting sqref="D29:D35">
    <cfRule type="notContainsBlanks" dxfId="2336" priority="141">
      <formula>LEN(TRIM(D29))&gt;0</formula>
    </cfRule>
    <cfRule type="containsBlanks" dxfId="2335" priority="132">
      <formula>LEN(TRIM(D29))=0</formula>
    </cfRule>
  </conditionalFormatting>
  <conditionalFormatting sqref="D37:D46">
    <cfRule type="containsBlanks" dxfId="2334" priority="129">
      <formula>LEN(TRIM(D37))=0</formula>
    </cfRule>
    <cfRule type="notContainsBlanks" dxfId="2333" priority="131">
      <formula>LEN(TRIM(D37))&gt;0</formula>
    </cfRule>
  </conditionalFormatting>
  <conditionalFormatting sqref="D49:D50">
    <cfRule type="expression" dxfId="2332" priority="105">
      <formula>mgmt_domain_existing_vcenter_chosen="Selected"</formula>
    </cfRule>
  </conditionalFormatting>
  <conditionalFormatting sqref="D51:D54 D56:D59">
    <cfRule type="expression" dxfId="2331" priority="101">
      <formula>wld_avi_loadbalancer_result="Excluded"</formula>
    </cfRule>
  </conditionalFormatting>
  <conditionalFormatting sqref="D51:D54">
    <cfRule type="notContainsBlanks" dxfId="2330" priority="104">
      <formula>LEN(TRIM(D51))&gt;0</formula>
    </cfRule>
    <cfRule type="containsBlanks" dxfId="2329" priority="102">
      <formula>LEN(TRIM(D51))=0</formula>
    </cfRule>
  </conditionalFormatting>
  <conditionalFormatting sqref="D56:D59">
    <cfRule type="containsBlanks" dxfId="2328" priority="106">
      <formula>LEN(TRIM(D56))=0</formula>
    </cfRule>
    <cfRule type="notContainsBlanks" dxfId="2327" priority="108">
      <formula>LEN(TRIM(D56))&gt;0</formula>
    </cfRule>
  </conditionalFormatting>
  <conditionalFormatting sqref="D62:D63">
    <cfRule type="expression" dxfId="2326" priority="100">
      <formula>mgmt_domain_existing_vcenter_chosen="Selected"</formula>
    </cfRule>
  </conditionalFormatting>
  <conditionalFormatting sqref="D64:D67">
    <cfRule type="containsBlanks" dxfId="2325" priority="16">
      <formula>LEN(TRIM(D64))=0</formula>
    </cfRule>
    <cfRule type="expression" dxfId="2324" priority="15" stopIfTrue="1">
      <formula>wld_stretched_cluster_result="Excluded"</formula>
    </cfRule>
    <cfRule type="expression" dxfId="2323" priority="14">
      <formula>mgmt_domain_deployment_type_chosen="VMware vSphere Foundation"</formula>
    </cfRule>
    <cfRule type="notContainsBlanks" dxfId="2322" priority="18" stopIfTrue="1">
      <formula>LEN(TRIM(D64))&gt;0</formula>
    </cfRule>
  </conditionalFormatting>
  <conditionalFormatting sqref="D69:D74">
    <cfRule type="notContainsBlanks" dxfId="2321" priority="13" stopIfTrue="1">
      <formula>LEN(TRIM(D69))&gt;0</formula>
    </cfRule>
    <cfRule type="containsBlanks" dxfId="2320" priority="11">
      <formula>LEN(TRIM(D69))=0</formula>
    </cfRule>
    <cfRule type="expression" dxfId="2319" priority="9">
      <formula>mgmt_domain_deployment_type_chosen="VMware vSphere Foundation"</formula>
    </cfRule>
    <cfRule type="expression" dxfId="2318" priority="10" stopIfTrue="1">
      <formula>wld_stretched_cluster_result="Excluded"</formula>
    </cfRule>
  </conditionalFormatting>
  <conditionalFormatting sqref="D76:D81">
    <cfRule type="notContainsBlanks" dxfId="2317" priority="53" stopIfTrue="1">
      <formula>LEN(TRIM(D76))&gt;0</formula>
    </cfRule>
    <cfRule type="expression" dxfId="2316" priority="50" stopIfTrue="1">
      <formula>wld_stretched_cluster_result="Excluded"</formula>
    </cfRule>
    <cfRule type="containsBlanks" dxfId="2315" priority="51">
      <formula>LEN(TRIM(D76))=0</formula>
    </cfRule>
  </conditionalFormatting>
  <conditionalFormatting sqref="D83:D88">
    <cfRule type="notContainsBlanks" dxfId="2314" priority="8" stopIfTrue="1">
      <formula>LEN(TRIM(D83))&gt;0</formula>
    </cfRule>
    <cfRule type="containsBlanks" dxfId="2313" priority="6">
      <formula>LEN(TRIM(D83))=0</formula>
    </cfRule>
    <cfRule type="expression" dxfId="2312" priority="5" stopIfTrue="1">
      <formula>wld_stretched_cluster_result="Excluded"</formula>
    </cfRule>
    <cfRule type="expression" dxfId="2311" priority="1">
      <formula>wld_secondary_storage_result="Excluded"</formula>
    </cfRule>
  </conditionalFormatting>
  <conditionalFormatting sqref="D89">
    <cfRule type="expression" dxfId="2310" priority="66">
      <formula>mgmt_domain_existing_vcenter_chosen="Selected"</formula>
    </cfRule>
  </conditionalFormatting>
  <conditionalFormatting sqref="D90:D93 D97:D98">
    <cfRule type="expression" dxfId="2309" priority="96" stopIfTrue="1">
      <formula>wld_stretched_cluster_result="Excluded"</formula>
    </cfRule>
    <cfRule type="containsBlanks" dxfId="2308" priority="97">
      <formula>LEN(TRIM(D90))=0</formula>
    </cfRule>
    <cfRule type="notContainsBlanks" dxfId="2307" priority="99" stopIfTrue="1">
      <formula>LEN(TRIM(D90))&gt;0</formula>
    </cfRule>
  </conditionalFormatting>
  <conditionalFormatting sqref="D90:D93">
    <cfRule type="expression" dxfId="2306" priority="58">
      <formula>mgmt_domain_deployment_type_chosen="VMware vSphere Foundation"</formula>
    </cfRule>
  </conditionalFormatting>
  <conditionalFormatting sqref="D94:D95">
    <cfRule type="notContainsBlanks" dxfId="2305" priority="49" stopIfTrue="1">
      <formula>LEN(TRIM(D94))&gt;0</formula>
    </cfRule>
    <cfRule type="containsBlanks" dxfId="2304" priority="47">
      <formula>LEN(TRIM(D94))=0</formula>
    </cfRule>
    <cfRule type="expression" dxfId="2303" priority="46" stopIfTrue="1">
      <formula>wld_stretched_cluster_result="Excluded"</formula>
    </cfRule>
  </conditionalFormatting>
  <conditionalFormatting sqref="D100:D106">
    <cfRule type="notContainsBlanks" dxfId="2302" priority="22" stopIfTrue="1">
      <formula>LEN(TRIM(D100))&gt;0</formula>
    </cfRule>
    <cfRule type="containsBlanks" dxfId="2301" priority="20">
      <formula>LEN(TRIM(D100))=0</formula>
    </cfRule>
    <cfRule type="expression" dxfId="2300" priority="19" stopIfTrue="1">
      <formula>wld_stretched_cluster_result="Excluded"</formula>
    </cfRule>
  </conditionalFormatting>
  <conditionalFormatting sqref="D109:D110">
    <cfRule type="expression" dxfId="2299" priority="92">
      <formula>mgmt_domain_existing_vcenter_chosen="Selected"</formula>
    </cfRule>
  </conditionalFormatting>
  <conditionalFormatting sqref="D111:D114 D116:D118 D120:D133">
    <cfRule type="notContainsBlanks" dxfId="2298" priority="94">
      <formula>LEN(TRIM(D111))&gt;0</formula>
    </cfRule>
    <cfRule type="expression" dxfId="2297" priority="68">
      <formula>wld_nsxt_federation_result="Excluded"</formula>
    </cfRule>
  </conditionalFormatting>
  <conditionalFormatting sqref="D115">
    <cfRule type="expression" dxfId="2296" priority="95">
      <formula>mgmt_domain_existing_vcenter_chosen="Selected"</formula>
    </cfRule>
  </conditionalFormatting>
  <conditionalFormatting sqref="D120:D133 D111:D114 D116:D118">
    <cfRule type="containsBlanks" dxfId="2295" priority="91">
      <formula>LEN(TRIM(D111))=0</formula>
    </cfRule>
  </conditionalFormatting>
  <conditionalFormatting sqref="D124:D133">
    <cfRule type="expression" dxfId="229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E16" sqref="E16"/>
    </sheetView>
  </sheetViews>
  <sheetFormatPr defaultColWidth="10.875" defaultRowHeight="15" x14ac:dyDescent="0.2"/>
  <cols>
    <col min="1" max="1" width="2.875" style="8" customWidth="1"/>
    <col min="2" max="2" width="42" style="8" customWidth="1"/>
    <col min="3" max="3" width="35.875" style="8" customWidth="1"/>
    <col min="4" max="8" width="20.875" style="8" customWidth="1"/>
    <col min="9" max="9" width="2.875" style="8" customWidth="1"/>
    <col min="10" max="11" width="35.875" style="8" customWidth="1"/>
    <col min="12" max="16" width="20.875" style="8" customWidth="1"/>
    <col min="17" max="21" width="10.875" style="8" customWidth="1"/>
    <col min="22" max="16384" width="10.875" style="8"/>
  </cols>
  <sheetData>
    <row r="1" spans="2:8" ht="15" customHeight="1" x14ac:dyDescent="0.2">
      <c r="B1" s="120"/>
      <c r="C1" s="120"/>
      <c r="D1" s="120"/>
      <c r="E1" s="120"/>
      <c r="F1" s="120"/>
      <c r="G1" s="120"/>
    </row>
    <row r="2" spans="2:8" ht="54" customHeight="1" x14ac:dyDescent="0.2">
      <c r="B2" s="260" t="s">
        <v>3635</v>
      </c>
      <c r="C2" s="260"/>
      <c r="D2" s="260"/>
      <c r="E2" s="260"/>
      <c r="F2" s="260"/>
      <c r="G2" s="260"/>
      <c r="H2" s="260"/>
    </row>
    <row r="3" spans="2:8" ht="15" customHeight="1" x14ac:dyDescent="0.2">
      <c r="B3" s="259" t="s">
        <v>502</v>
      </c>
      <c r="C3" s="259"/>
      <c r="D3" s="259"/>
      <c r="E3" s="259"/>
      <c r="F3" s="259"/>
      <c r="G3" s="259"/>
      <c r="H3" s="259"/>
    </row>
    <row r="4" spans="2:8" x14ac:dyDescent="0.2">
      <c r="B4" s="120"/>
      <c r="C4" s="120"/>
      <c r="D4" s="120"/>
      <c r="E4" s="120"/>
      <c r="F4" s="120"/>
      <c r="G4" s="120"/>
    </row>
    <row r="6" spans="2:8" ht="33.950000000000003" customHeight="1" x14ac:dyDescent="0.2">
      <c r="B6" s="397" t="s">
        <v>3636</v>
      </c>
      <c r="C6" s="397"/>
      <c r="D6" s="397"/>
      <c r="E6" s="397"/>
      <c r="F6" s="397"/>
      <c r="G6" s="397"/>
      <c r="H6" s="397"/>
    </row>
    <row r="8" spans="2:8" ht="33.950000000000003" customHeight="1" x14ac:dyDescent="0.2">
      <c r="B8" s="505" t="s">
        <v>3637</v>
      </c>
      <c r="C8" s="506"/>
      <c r="D8" s="506"/>
      <c r="E8" s="506"/>
      <c r="F8" s="506"/>
      <c r="G8" s="506"/>
      <c r="H8" s="506"/>
    </row>
    <row r="9" spans="2:8" ht="20.100000000000001" customHeight="1" x14ac:dyDescent="0.2">
      <c r="B9" s="475"/>
      <c r="C9" s="476"/>
      <c r="D9" s="476"/>
      <c r="E9" s="476"/>
      <c r="F9" s="476"/>
      <c r="G9" s="476"/>
      <c r="H9" s="476"/>
    </row>
    <row r="10" spans="2:8" ht="20.100000000000001" customHeight="1" x14ac:dyDescent="0.2">
      <c r="B10" s="43" t="s">
        <v>3638</v>
      </c>
      <c r="C10" s="43" t="s">
        <v>3090</v>
      </c>
      <c r="D10" s="130" t="s">
        <v>3639</v>
      </c>
      <c r="E10" s="130" t="s">
        <v>3640</v>
      </c>
      <c r="F10" s="130" t="s">
        <v>706</v>
      </c>
      <c r="G10" s="130" t="s">
        <v>3641</v>
      </c>
      <c r="H10" s="130" t="s">
        <v>3642</v>
      </c>
    </row>
    <row r="11" spans="2:8" ht="20.100000000000001" customHeight="1" x14ac:dyDescent="0.2">
      <c r="B11" s="4" t="s">
        <v>1655</v>
      </c>
      <c r="C11" s="337" t="str">
        <f>mgmt_cl01_az1_mgmt_pg</f>
        <v>VLAN_251_ESX_Mgmt</v>
      </c>
      <c r="D11" s="337">
        <f>mgmt_az1_mgmt_vm_vlan</f>
        <v>250</v>
      </c>
      <c r="E11" s="337" t="str">
        <f>mgmt_az1_mgmt_vm_cidr</f>
        <v>10.100.50.0/24</v>
      </c>
      <c r="F11" s="337" t="str">
        <f t="array" ref="F11">mgmt_az1_mgmt_vm_network</f>
        <v>10.100.50.0</v>
      </c>
      <c r="G11" s="337" t="str">
        <f>mgmt_az1_mgmt_vm_gateway_ip</f>
        <v>10.100.50.1</v>
      </c>
      <c r="H11" s="337">
        <f>mgmt_az1_mgmt_vm_mtu</f>
        <v>1500</v>
      </c>
    </row>
    <row r="12" spans="2:8" ht="20.100000000000001" customHeight="1" x14ac:dyDescent="0.2">
      <c r="B12" s="4" t="s">
        <v>3643</v>
      </c>
      <c r="C12" s="337" t="str">
        <f>mgmt_cl01_az1_mgmt_pg</f>
        <v>VLAN_251_ESX_Mgmt</v>
      </c>
      <c r="D12" s="337">
        <f>mgmt_az1_mgmt_vlan</f>
        <v>251</v>
      </c>
      <c r="E12" s="337" t="str">
        <f>mgmt_az1_mgmt_cidr</f>
        <v>10.100.51.0/24</v>
      </c>
      <c r="F12" s="337" t="str">
        <f t="array" ref="F12">mgmt_az1_mgmt_network</f>
        <v>10.100.51.0</v>
      </c>
      <c r="G12" s="337" t="str">
        <f>mgmt_az1_mgmt_gateway_ip</f>
        <v>10.100.51.1</v>
      </c>
      <c r="H12" s="337">
        <f>mgmt_az1_mgmt_mtu</f>
        <v>1500</v>
      </c>
    </row>
    <row r="13" spans="2:8" ht="20.100000000000001" customHeight="1" x14ac:dyDescent="0.2">
      <c r="B13" s="4" t="s">
        <v>404</v>
      </c>
      <c r="C13" s="337" t="str">
        <f>mgmt_cl01_az1_vmotion_pg</f>
        <v>VLAN_021_Vmotion</v>
      </c>
      <c r="D13" s="337">
        <f>mgmt_az1_vmotion_vlan</f>
        <v>21</v>
      </c>
      <c r="E13" s="337" t="str">
        <f>mgmt_az1_vmotion_cidr</f>
        <v>192.168.21.0/24</v>
      </c>
      <c r="F13" s="337" t="str">
        <f t="array" ref="F13">mgmt_az1_vmotion_network</f>
        <v>192.168.21.0</v>
      </c>
      <c r="G13" s="337" t="str">
        <f>mgmt_az1_vmotion_gateway_ip</f>
        <v>192.168.21.1</v>
      </c>
      <c r="H13" s="337">
        <f>mgmt_az1_vmotion_mtu</f>
        <v>9000</v>
      </c>
    </row>
    <row r="14" spans="2:8" ht="20.100000000000001" customHeight="1" x14ac:dyDescent="0.2">
      <c r="B14" s="4" t="s">
        <v>407</v>
      </c>
      <c r="C14" s="337" t="str">
        <f>mgmt_cl01_az1_vsan_pg</f>
        <v>VLAN_020_vSAN</v>
      </c>
      <c r="D14" s="337">
        <f>mgmt_az1_vsan_vlan</f>
        <v>20</v>
      </c>
      <c r="E14" s="337" t="str">
        <f>mgmt_az1_vsan_cidr</f>
        <v>192.168.20.0/24</v>
      </c>
      <c r="F14" s="337" t="str">
        <f t="array" ref="F14">mgmt_az1_vsan_network</f>
        <v>192.168.20.0</v>
      </c>
      <c r="G14" s="337" t="str">
        <f>mgmt_az1_vsan_gateway_ip</f>
        <v>192.168.20.1</v>
      </c>
      <c r="H14" s="337">
        <f>mgmt_az1_vsan_mtu</f>
        <v>9000</v>
      </c>
    </row>
    <row r="15" spans="2:8" ht="20.100000000000001" customHeight="1" x14ac:dyDescent="0.2">
      <c r="B15" s="4" t="s">
        <v>1661</v>
      </c>
      <c r="C15" s="337" t="str">
        <f t="array" ref="C15">mgmt_az1_host_overlay_pg</f>
        <v>N/A</v>
      </c>
      <c r="D15" s="337">
        <f>mgmt_az1_host_overlay_vlan</f>
        <v>238</v>
      </c>
      <c r="E15" s="337" t="str">
        <f>mgmt_az1_host_overlay_cidr</f>
        <v>10.100.38.0/24</v>
      </c>
      <c r="F15" s="337" t="str">
        <f t="array" ref="F15">mgmt_az1_host_overlay_network</f>
        <v>10.100.38.0</v>
      </c>
      <c r="G15" s="337" t="str">
        <f>mgmt_az1_host_overlay_gateway_ip</f>
        <v>10.100.38.1</v>
      </c>
      <c r="H15" s="337">
        <f>mgmt_az1_host_overlay_mtu</f>
        <v>9000</v>
      </c>
    </row>
    <row r="16" spans="2:8" ht="20.100000000000001" customHeight="1" x14ac:dyDescent="0.2">
      <c r="B16" s="4" t="s">
        <v>1671</v>
      </c>
      <c r="C16" s="337" t="str">
        <f>mgmt_vrms_pg</f>
        <v>Value Missing</v>
      </c>
      <c r="D16" s="337" t="str">
        <f>mgmt_az1_vrms_vlan</f>
        <v>Value Missing</v>
      </c>
      <c r="E16" s="337">
        <f>mgmt_az1_vrms_cidr</f>
        <v>0</v>
      </c>
      <c r="F16" s="337">
        <f t="array" ref="F16">mgmt_az1_vrms_network</f>
        <v>0</v>
      </c>
      <c r="G16" s="337">
        <f>mgmt_az1_vrms_gateway_ip</f>
        <v>0</v>
      </c>
      <c r="H16" s="337" t="str">
        <f>mgmt_az1_vrms_mtu</f>
        <v>Value Missing</v>
      </c>
    </row>
    <row r="17" spans="2:8" ht="20.100000000000001" customHeight="1" x14ac:dyDescent="0.2">
      <c r="B17" s="4" t="s">
        <v>3644</v>
      </c>
      <c r="C17" s="337" t="str">
        <f>mgmt_cl01_az1_uplink01_pg</f>
        <v>Value Missing</v>
      </c>
      <c r="D17" s="337" t="str">
        <f>mgmt_az1_uplink01_vlan</f>
        <v>Value Missing</v>
      </c>
      <c r="E17" s="337" t="str">
        <f>mgmt_az1_uplink01_cidr</f>
        <v>Value Missing</v>
      </c>
      <c r="F17" s="337" t="str">
        <f t="array" ref="F17">mgmt_az1_uplink01_network</f>
        <v>Value Missing</v>
      </c>
      <c r="G17" s="337" t="str">
        <f>mgmt_az1_uplink01_gateway_ip</f>
        <v>Value Missing</v>
      </c>
      <c r="H17" s="337" t="str">
        <f>mgmt_az1_uplink01_mtu</f>
        <v>Value Missing</v>
      </c>
    </row>
    <row r="18" spans="2:8" ht="20.100000000000001" customHeight="1" x14ac:dyDescent="0.2">
      <c r="B18" s="17" t="s">
        <v>3645</v>
      </c>
      <c r="C18" s="337" t="str">
        <f>mgmt_cl01_az1_uplink02_pg</f>
        <v>Value Missing</v>
      </c>
      <c r="D18" s="337" t="str">
        <f>mgmt_az1_uplink02_vlan</f>
        <v>Value Missing</v>
      </c>
      <c r="E18" s="337" t="str">
        <f>mgmt_az1_uplink02_cidr</f>
        <v>Value Missing</v>
      </c>
      <c r="F18" s="337" t="str">
        <f t="array" ref="F18">mgmt_az1_uplink02_network</f>
        <v>Value Missing</v>
      </c>
      <c r="G18" s="337" t="str">
        <f>mgmt_az1_uplink02_gateway_ip</f>
        <v>Value Missing</v>
      </c>
      <c r="H18" s="337" t="str">
        <f>mgmt_az1_uplink02_mtu</f>
        <v>Value Missing</v>
      </c>
    </row>
    <row r="19" spans="2:8" ht="20.100000000000001" customHeight="1" x14ac:dyDescent="0.2">
      <c r="B19" s="17" t="s">
        <v>1667</v>
      </c>
      <c r="C19" s="337" t="str">
        <f>mgmt_az1_edge_overlay_pg</f>
        <v>N/A</v>
      </c>
      <c r="D19" s="337" t="str">
        <f>mgmt_az1_edge_overlay_vlan</f>
        <v>Value Missing</v>
      </c>
      <c r="E19" s="337" t="str">
        <f>mgmt_az1_edge_overlay_cidr</f>
        <v>Value Missing</v>
      </c>
      <c r="F19" s="337" t="str">
        <f>mgmt_az1_edge_overlay_network</f>
        <v>Value Missing</v>
      </c>
      <c r="G19" s="337" t="str">
        <f>mgmt_az1_edge_overlay_gateway_ip</f>
        <v>Value Missing</v>
      </c>
      <c r="H19" s="337" t="str">
        <f>mgmt_az1_edge_overlay_mtu</f>
        <v>Value Missing</v>
      </c>
    </row>
    <row r="20" spans="2:8" ht="20.100000000000001" customHeight="1" x14ac:dyDescent="0.2">
      <c r="B20" s="4" t="s">
        <v>1752</v>
      </c>
      <c r="C20" s="337" t="str">
        <f>mgmt_az1_rtep_overlay_pg</f>
        <v>N/A</v>
      </c>
      <c r="D20" s="337" t="str">
        <f>mgmt_az1_rtep_overlay_vlan</f>
        <v>Value Missing</v>
      </c>
      <c r="E20" s="337" t="str">
        <f>mgmt_az1_rtep_overlay_cidr</f>
        <v>Value Missing</v>
      </c>
      <c r="F20" s="337" t="str">
        <f t="array" ref="F20">mgmt_az1_rtep_overlay_network</f>
        <v>Value Missing</v>
      </c>
      <c r="G20" s="337" t="str">
        <f>mgmt_az1_rtep_overlay_gateway_ip</f>
        <v>Value Missing</v>
      </c>
      <c r="H20" s="337" t="s">
        <v>496</v>
      </c>
    </row>
    <row r="22" spans="2:8" ht="33.950000000000003" customHeight="1" x14ac:dyDescent="0.2">
      <c r="B22" s="505" t="s">
        <v>3646</v>
      </c>
      <c r="C22" s="506"/>
      <c r="D22" s="506"/>
      <c r="E22" s="506"/>
      <c r="F22" s="506"/>
      <c r="G22" s="506"/>
      <c r="H22" s="506"/>
    </row>
    <row r="23" spans="2:8" ht="20.100000000000001" customHeight="1" x14ac:dyDescent="0.2">
      <c r="B23" s="475"/>
      <c r="C23" s="476"/>
      <c r="D23" s="476"/>
      <c r="E23" s="476"/>
      <c r="F23" s="476"/>
      <c r="G23" s="476"/>
      <c r="H23" s="476"/>
    </row>
    <row r="24" spans="2:8" ht="20.100000000000001" customHeight="1" x14ac:dyDescent="0.2">
      <c r="B24" s="43" t="s">
        <v>3638</v>
      </c>
      <c r="C24" s="43" t="s">
        <v>138</v>
      </c>
    </row>
    <row r="25" spans="2:8" ht="20.100000000000001" customHeight="1" x14ac:dyDescent="0.2">
      <c r="B25" s="4" t="s">
        <v>1411</v>
      </c>
      <c r="C25" s="337" t="str">
        <f>mgmt_en_asn</f>
        <v>Value Missing</v>
      </c>
    </row>
    <row r="26" spans="2:8" ht="20.100000000000001" customHeight="1" x14ac:dyDescent="0.2">
      <c r="B26" s="4" t="s">
        <v>648</v>
      </c>
      <c r="C26" s="337" t="str">
        <f>mgmt_az1_tor1_peer_ip</f>
        <v>Value Missing</v>
      </c>
    </row>
    <row r="27" spans="2:8" ht="20.100000000000001" customHeight="1" x14ac:dyDescent="0.2">
      <c r="B27" s="4" t="s">
        <v>649</v>
      </c>
      <c r="C27" s="337" t="str">
        <f>mgmt_az1_tor1_peer_asn</f>
        <v>Value Missing</v>
      </c>
    </row>
    <row r="28" spans="2:8" ht="20.100000000000001" customHeight="1" x14ac:dyDescent="0.2">
      <c r="B28" s="4" t="s">
        <v>650</v>
      </c>
      <c r="C28" s="337" t="str">
        <f>mgmt_az1_tor1_peer_bgp_password</f>
        <v>Value Missing</v>
      </c>
    </row>
    <row r="29" spans="2:8" ht="20.100000000000001" customHeight="1" x14ac:dyDescent="0.2">
      <c r="B29" s="4" t="s">
        <v>651</v>
      </c>
      <c r="C29" s="337" t="str">
        <f>mgmt_az1_tor2_peer_ip</f>
        <v>Value Missing</v>
      </c>
    </row>
    <row r="30" spans="2:8" ht="20.100000000000001" customHeight="1" x14ac:dyDescent="0.2">
      <c r="B30" s="4" t="s">
        <v>652</v>
      </c>
      <c r="C30" s="337" t="str">
        <f>mgmt_az1_tor2_peer_asn</f>
        <v>Value Missing</v>
      </c>
    </row>
    <row r="31" spans="2:8" ht="20.100000000000001" customHeight="1" x14ac:dyDescent="0.2">
      <c r="B31" s="4" t="s">
        <v>653</v>
      </c>
      <c r="C31" s="337" t="str">
        <f>mgmt_az1_tor2_peer_bgp_password</f>
        <v>Value Missing</v>
      </c>
    </row>
    <row r="33" spans="2:8" ht="33.950000000000003" customHeight="1" x14ac:dyDescent="0.2">
      <c r="B33" s="505" t="s">
        <v>3647</v>
      </c>
      <c r="C33" s="506"/>
      <c r="D33" s="506"/>
      <c r="E33" s="506"/>
      <c r="F33" s="506"/>
      <c r="G33" s="506"/>
      <c r="H33" s="506"/>
    </row>
    <row r="34" spans="2:8" ht="20.100000000000001" customHeight="1" x14ac:dyDescent="0.2">
      <c r="B34" s="475"/>
      <c r="C34" s="476"/>
      <c r="D34" s="476"/>
      <c r="E34" s="476"/>
      <c r="F34" s="476"/>
      <c r="G34" s="476"/>
      <c r="H34" s="476"/>
    </row>
    <row r="35" spans="2:8" ht="20.100000000000001" customHeight="1" x14ac:dyDescent="0.2">
      <c r="B35" s="43" t="s">
        <v>3638</v>
      </c>
      <c r="C35" s="43" t="s">
        <v>3090</v>
      </c>
      <c r="D35" s="130" t="s">
        <v>398</v>
      </c>
      <c r="E35" s="130" t="s">
        <v>3640</v>
      </c>
      <c r="F35" s="130" t="s">
        <v>706</v>
      </c>
      <c r="G35" s="130" t="s">
        <v>399</v>
      </c>
      <c r="H35" s="130" t="s">
        <v>401</v>
      </c>
    </row>
    <row r="36" spans="2:8" ht="20.100000000000001" customHeight="1" x14ac:dyDescent="0.2">
      <c r="B36" s="4" t="s">
        <v>1655</v>
      </c>
      <c r="C36" s="337" t="str">
        <f>IF(mgmt_stretched_cluster_result="Excluded","Not Required",mgmt_cl01_az1_mgmt_vm_pg)</f>
        <v>Not Required</v>
      </c>
      <c r="D36" s="337" t="str">
        <f>IF(mgmt_stretched_cluster_result="Excluded","Not Required",mgmt_az1_mgmt_vm_vlan)</f>
        <v>Not Required</v>
      </c>
      <c r="E36" s="337" t="str">
        <f>IF(mgmt_stretched_cluster_result="Excluded","Not Required",mgmt_az1_mgmt_vm_cidr)</f>
        <v>Not Required</v>
      </c>
      <c r="F36" s="337" t="str">
        <f>IF(mgmt_stretched_cluster_result="Excluded","Not Required",mgmt_az1_mgmt_vm_network)</f>
        <v>Not Required</v>
      </c>
      <c r="G36" s="337" t="str">
        <f>IF(mgmt_stretched_cluster_result="Excluded","Not Required",mgmt_az1_mgmt_vm_gateway_ip)</f>
        <v>Not Required</v>
      </c>
      <c r="H36" s="337" t="str">
        <f>IF(mgmt_stretched_cluster_result="Excluded","Not Required",mgmt_az1_mgmt_vm_mtu)</f>
        <v>Not Required</v>
      </c>
    </row>
    <row r="37" spans="2:8" ht="20.100000000000001" customHeight="1" x14ac:dyDescent="0.2">
      <c r="B37" s="4" t="s">
        <v>3643</v>
      </c>
      <c r="C37" s="337" t="str">
        <f>mgmt_cl01_az2_mgmt_pg</f>
        <v>az2_VLAN_251_ESX_Mgmt</v>
      </c>
      <c r="D37" s="337" t="str">
        <f>mgmt_az2_mgmt_vlan</f>
        <v>Value Missing</v>
      </c>
      <c r="E37" s="337" t="str">
        <f>mgmt_az2_mgmt_cidr</f>
        <v>Value Missing</v>
      </c>
      <c r="F37" s="337" t="str">
        <f>mgmt_az2_mgmt_network</f>
        <v>Value Missing</v>
      </c>
      <c r="G37" s="337" t="str">
        <f>mgmt_az2_mgmt_gateway_ip</f>
        <v>Value Missing</v>
      </c>
      <c r="H37" s="337" t="str">
        <f>mgmt_az2_mgmt_mtu</f>
        <v>Value Missing</v>
      </c>
    </row>
    <row r="38" spans="2:8" ht="20.100000000000001" customHeight="1" x14ac:dyDescent="0.2">
      <c r="B38" s="4" t="s">
        <v>404</v>
      </c>
      <c r="C38" s="337" t="str">
        <f>mgmt_cl01_az2_vmotion_pg</f>
        <v>az2_VLAN_021_Vmotion</v>
      </c>
      <c r="D38" s="337" t="str">
        <f>mgmt_az2_vmotion_vlan</f>
        <v>Value Missing</v>
      </c>
      <c r="E38" s="337" t="str">
        <f>mgmt_az2_vmotion_cidr</f>
        <v>Value Missing</v>
      </c>
      <c r="F38" s="337" t="str">
        <f t="array" ref="F38">mgmt_az2_vmotion_network</f>
        <v>Value Missing</v>
      </c>
      <c r="G38" s="337" t="str">
        <f>mgmt_az2_vmotion_gateway_ip</f>
        <v>Value Missing</v>
      </c>
      <c r="H38" s="337" t="str">
        <f>mgmt_az2_vmotion_mtu</f>
        <v>Value Missing</v>
      </c>
    </row>
    <row r="39" spans="2:8" ht="20.100000000000001" customHeight="1" x14ac:dyDescent="0.2">
      <c r="B39" s="4" t="s">
        <v>407</v>
      </c>
      <c r="C39" s="337" t="str">
        <f>mgmt_cl01_az2_vsan_pg</f>
        <v>az2_VLAN_020_vSAN</v>
      </c>
      <c r="D39" s="337" t="str">
        <f>mgmt_az2_vsan_vlan</f>
        <v>Value Missing</v>
      </c>
      <c r="E39" s="337" t="str">
        <f>mgmt_az2_vsan_cidr</f>
        <v>Value Missing</v>
      </c>
      <c r="F39" s="337" t="str">
        <f>mgmt_az2_vsan_network</f>
        <v>Value Missing</v>
      </c>
      <c r="G39" s="337" t="str">
        <f>mgmt_az2_vsan_gateway_ip</f>
        <v>Value Missing</v>
      </c>
      <c r="H39" s="337" t="str">
        <f>mgmt_az2_vsan_mtu</f>
        <v>Value Missing</v>
      </c>
    </row>
    <row r="40" spans="2:8" ht="20.100000000000001" customHeight="1" x14ac:dyDescent="0.2">
      <c r="B40" s="4" t="s">
        <v>1661</v>
      </c>
      <c r="C40" s="337" t="str">
        <f>mgmt_az2_host_overlay_pg</f>
        <v>N/A</v>
      </c>
      <c r="D40" s="337" t="str">
        <f>mgmt_az2_host_overlay_vlan</f>
        <v>Value Missing</v>
      </c>
      <c r="E40" s="337" t="str">
        <f>mgmt_az2_host_overlay_cidr</f>
        <v>Value Missing</v>
      </c>
      <c r="F40" s="337" t="str">
        <f>mgmt_az2_host_overlay_network</f>
        <v>Value Missing</v>
      </c>
      <c r="G40" s="337" t="str">
        <f>mgmt_az2_host_overlay_gateway_ip</f>
        <v>Value Missing</v>
      </c>
      <c r="H40" s="337" t="str">
        <f>IF(mgmt_stretched_cluster_result="Excluded","Not Required",mgmt_az2_host_overlay_mtu)</f>
        <v>Not Required</v>
      </c>
    </row>
    <row r="41" spans="2:8" ht="20.100000000000001" customHeight="1" x14ac:dyDescent="0.2">
      <c r="B41" s="4" t="s">
        <v>3648</v>
      </c>
      <c r="C41" s="337" t="str">
        <f>mgmt_vrms_pg</f>
        <v>Value Missing</v>
      </c>
      <c r="D41" s="337" t="str">
        <f>mgmt_az2_vrms_vlan</f>
        <v>Value Missing</v>
      </c>
      <c r="E41" s="337">
        <f>mgmt_az2_vrms_cidr</f>
        <v>0</v>
      </c>
      <c r="F41" s="337">
        <f t="array" ref="F41">mgmt_az2_vrms_network</f>
        <v>0</v>
      </c>
      <c r="G41" s="337">
        <f>mgmt_az2_vrms_gateway_ip</f>
        <v>0</v>
      </c>
      <c r="H41" s="337">
        <f>mgmt_az2_vrms_mtu</f>
        <v>0</v>
      </c>
    </row>
    <row r="42" spans="2:8" ht="20.100000000000001" customHeight="1" x14ac:dyDescent="0.2">
      <c r="B42" s="4" t="s">
        <v>3644</v>
      </c>
      <c r="C42" s="337" t="str">
        <f>IF(mgmt_stretched_cluster_result="Excluded","Not Required",mgmt_cl01_az1_uplink01_pg)</f>
        <v>Not Required</v>
      </c>
      <c r="D42" s="337" t="str">
        <f>IF(mgmt_stretched_cluster_result="Excluded","Not Required",mgmt_az2_uplink01_vlan)</f>
        <v>Not Required</v>
      </c>
      <c r="E42" s="337" t="str">
        <f>IF(mgmt_stretched_cluster_result="Excluded","Not Required",mgmt_az2_uplink01_cidr)</f>
        <v>Not Required</v>
      </c>
      <c r="F42" s="337" t="str">
        <f>IF(mgmt_stretched_cluster_result="Excluded","Not Required",mgmt_az2_uplink01_network)</f>
        <v>Not Required</v>
      </c>
      <c r="G42" s="337" t="str">
        <f>IF(mgmt_stretched_cluster_result="Excluded","Not Required",mgmt_az2_uplink01_gateway_ip)</f>
        <v>Not Required</v>
      </c>
      <c r="H42" s="337" t="str">
        <f>IF(mgmt_stretched_cluster_result="Excluded","Not Required",mgmt_az2_uplink01_mtu)</f>
        <v>Not Required</v>
      </c>
    </row>
    <row r="43" spans="2:8" ht="20.100000000000001" customHeight="1" x14ac:dyDescent="0.2">
      <c r="B43" s="17" t="s">
        <v>3645</v>
      </c>
      <c r="C43" s="337" t="str">
        <f>mgmt_cl01_az2_uplink01_pg</f>
        <v>Value Missing</v>
      </c>
      <c r="D43" s="337" t="str">
        <f>mgmt_az2_uplink02_vlan</f>
        <v>Value Missing</v>
      </c>
      <c r="E43" s="337" t="str">
        <f>IF(mgmt_stretched_cluster_result="Excluded","Not Required",mgmt_az2_uplink02_cidr)</f>
        <v>Not Required</v>
      </c>
      <c r="F43" s="337" t="str">
        <f>IF(mgmt_stretched_cluster_result="Excluded","Not Required",mgmt_az2_uplink02_network)</f>
        <v>Not Required</v>
      </c>
      <c r="G43" s="337" t="str">
        <f>IF(mgmt_stretched_cluster_result="Excluded","Not Required",mgmt_az2_uplink02_gateway_ip)</f>
        <v>Not Required</v>
      </c>
      <c r="H43" s="337" t="str">
        <f>IF(mgmt_stretched_cluster_result="Excluded","Not Required",mgmt_az2_uplink02_mtu)</f>
        <v>Not Required</v>
      </c>
    </row>
    <row r="44" spans="2:8" ht="20.100000000000001" customHeight="1" x14ac:dyDescent="0.2">
      <c r="B44" s="17" t="s">
        <v>1667</v>
      </c>
      <c r="C44" s="337" t="str">
        <f t="array" ref="C44">mgmt_az2_edge_overlay_pg</f>
        <v>N/A</v>
      </c>
      <c r="D44" s="337" t="str">
        <f>mgmt_az2_edge_overlay_vlan</f>
        <v>Value Missing</v>
      </c>
      <c r="E44" s="337" t="str">
        <f>IF(mgmt_stretched_cluster_result="Excluded","Not Required",mgmt_az1_edge_overlay_cidr)</f>
        <v>Not Required</v>
      </c>
      <c r="F44" s="337" t="str">
        <f>IF(mgmt_stretched_cluster_result="Excluded","Not Required",mgmt_az1_edge_overlay_network)</f>
        <v>Not Required</v>
      </c>
      <c r="G44" s="337" t="str">
        <f>IF(mgmt_stretched_cluster_result="Excluded","Not Required",mgmt_az1_edge_overlay_gateway_ip)</f>
        <v>Not Required</v>
      </c>
      <c r="H44" s="337" t="str">
        <f>IF(mgmt_stretched_cluster_result="Excluded","Not Required",mgmt_az1_edge_overlay_mtu)</f>
        <v>Not Required</v>
      </c>
    </row>
    <row r="45" spans="2:8" ht="20.100000000000001" customHeight="1" x14ac:dyDescent="0.2">
      <c r="B45" s="4" t="s">
        <v>1752</v>
      </c>
      <c r="C45" s="337" t="str">
        <f>mgmt_az1_rtep_overlay_pg</f>
        <v>N/A</v>
      </c>
      <c r="D45" s="337" t="str">
        <f>mgmt_az1_rtep_overlay_vlan</f>
        <v>Value Missing</v>
      </c>
      <c r="E45" s="337" t="str">
        <f>mgmt_az1_rtep_overlay_cidr</f>
        <v>Value Missing</v>
      </c>
      <c r="F45" s="337" t="str">
        <f>mgmt_az1_rtep_overlay_network</f>
        <v>Value Missing</v>
      </c>
      <c r="G45" s="337" t="str">
        <f>mgmt_az2_rtep_overlay_gateway_ip</f>
        <v>Value Missing</v>
      </c>
      <c r="H45" s="337" t="s">
        <v>496</v>
      </c>
    </row>
    <row r="47" spans="2:8" ht="33.950000000000003" customHeight="1" x14ac:dyDescent="0.2">
      <c r="B47" s="505" t="s">
        <v>3649</v>
      </c>
      <c r="C47" s="506"/>
      <c r="D47" s="506"/>
      <c r="E47" s="506"/>
      <c r="F47" s="506"/>
      <c r="G47" s="506"/>
      <c r="H47" s="506"/>
    </row>
    <row r="48" spans="2:8" ht="20.100000000000001" customHeight="1" x14ac:dyDescent="0.2">
      <c r="B48" s="475"/>
      <c r="C48" s="476"/>
      <c r="D48" s="476"/>
      <c r="E48" s="476"/>
      <c r="F48" s="476"/>
      <c r="G48" s="476"/>
      <c r="H48" s="476"/>
    </row>
    <row r="49" spans="2:8" ht="20.100000000000001" customHeight="1" x14ac:dyDescent="0.2">
      <c r="B49" s="43" t="s">
        <v>3638</v>
      </c>
      <c r="C49" s="43" t="s">
        <v>138</v>
      </c>
    </row>
    <row r="50" spans="2:8" ht="20.100000000000001" customHeight="1" x14ac:dyDescent="0.2">
      <c r="B50" s="4" t="s">
        <v>1411</v>
      </c>
      <c r="C50" s="337" t="str">
        <f>IF(mgmt_stretched_cluster_result="Excluded","Not Required",mgmt_en_asn)</f>
        <v>Not Required</v>
      </c>
    </row>
    <row r="51" spans="2:8" ht="20.100000000000001" customHeight="1" x14ac:dyDescent="0.2">
      <c r="B51" s="4" t="s">
        <v>648</v>
      </c>
      <c r="C51" s="337" t="str">
        <f>IF(mgmt_stretched_cluster_result="Excluded","Not Required",mgmt_az1_tor1_peer_ip)</f>
        <v>Not Required</v>
      </c>
    </row>
    <row r="52" spans="2:8" ht="20.100000000000001" customHeight="1" x14ac:dyDescent="0.2">
      <c r="B52" s="4" t="s">
        <v>649</v>
      </c>
      <c r="C52" s="337" t="str">
        <f>IF(mgmt_stretched_cluster_result="Excluded","Not Required",mgmt_az1_tor1_peer_asn)</f>
        <v>Not Required</v>
      </c>
    </row>
    <row r="53" spans="2:8" ht="20.100000000000001" customHeight="1" x14ac:dyDescent="0.2">
      <c r="B53" s="4" t="s">
        <v>650</v>
      </c>
      <c r="C53" s="337" t="str">
        <f>IF(mgmt_stretched_cluster_result="Excluded","Not Required",mgmt_az1_tor1_peer_bgp_password)</f>
        <v>Not Required</v>
      </c>
    </row>
    <row r="54" spans="2:8" ht="20.100000000000001" customHeight="1" x14ac:dyDescent="0.2">
      <c r="B54" s="4" t="s">
        <v>651</v>
      </c>
      <c r="C54" s="337" t="str">
        <f>IF(mgmt_stretched_cluster_result="Excluded","Not Required",mgmt_az1_tor2_peer_ip)</f>
        <v>Not Required</v>
      </c>
    </row>
    <row r="55" spans="2:8" ht="20.100000000000001" customHeight="1" x14ac:dyDescent="0.2">
      <c r="B55" s="4" t="s">
        <v>652</v>
      </c>
      <c r="C55" s="337" t="str">
        <f>IF(mgmt_stretched_cluster_result="Excluded","Not Required",mgmt_az1_tor2_peer_asn)</f>
        <v>Not Required</v>
      </c>
    </row>
    <row r="56" spans="2:8" ht="20.100000000000001" customHeight="1" x14ac:dyDescent="0.2">
      <c r="B56" s="4" t="s">
        <v>653</v>
      </c>
      <c r="C56" s="337" t="str">
        <f>IF(mgmt_stretched_cluster_result="Excluded","Not Required",mgmt_az1_tor2_peer_bgp_password)</f>
        <v>Not Required</v>
      </c>
    </row>
    <row r="58" spans="2:8" ht="33.950000000000003" customHeight="1" x14ac:dyDescent="0.2">
      <c r="B58" s="505" t="s">
        <v>3647</v>
      </c>
      <c r="C58" s="506"/>
      <c r="D58" s="506"/>
      <c r="E58" s="506"/>
      <c r="F58" s="506"/>
      <c r="G58" s="506"/>
      <c r="H58" s="506"/>
    </row>
    <row r="59" spans="2:8" ht="20.100000000000001" customHeight="1" x14ac:dyDescent="0.2">
      <c r="B59" s="475"/>
      <c r="C59" s="476"/>
      <c r="D59" s="476"/>
      <c r="E59" s="476"/>
      <c r="F59" s="476"/>
      <c r="G59" s="476"/>
      <c r="H59" s="476"/>
    </row>
    <row r="60" spans="2:8" ht="20.100000000000001" customHeight="1" x14ac:dyDescent="0.2">
      <c r="B60" s="43" t="s">
        <v>3638</v>
      </c>
      <c r="C60" s="43" t="s">
        <v>3090</v>
      </c>
      <c r="D60" s="130" t="s">
        <v>398</v>
      </c>
      <c r="E60" s="130" t="s">
        <v>3640</v>
      </c>
      <c r="F60" s="130" t="s">
        <v>706</v>
      </c>
      <c r="G60" s="130" t="s">
        <v>399</v>
      </c>
      <c r="H60" s="130" t="s">
        <v>401</v>
      </c>
    </row>
    <row r="61" spans="2:8" ht="20.100000000000001" customHeight="1" x14ac:dyDescent="0.2">
      <c r="B61" s="4" t="s">
        <v>1655</v>
      </c>
      <c r="C61" s="337" t="str">
        <f>IF(mgmt_stretched_cluster_result="Excluded","Not Required",mgmt_witness_mgmt_pg)</f>
        <v>Not Required</v>
      </c>
      <c r="D61" s="337" t="str">
        <f>IF(mgmt_stretched_cluster_result="Excluded","Not Required",mgmt_witnessaz_mgmt_vlan)</f>
        <v>Not Required</v>
      </c>
      <c r="E61" s="337" t="str">
        <f>IF(mgmt_stretched_cluster_result="Excluded","Not Required",mgmt_witnessaz_mgmt_cidr)</f>
        <v>Not Required</v>
      </c>
      <c r="F61" s="337" t="str">
        <f>IF(mgmt_stretched_cluster_result="Excluded","Not Required",mgmt_witnessaz_mgmt_cidr)</f>
        <v>Not Required</v>
      </c>
      <c r="G61" s="337" t="str">
        <f>IF(mgmt_stretched_cluster_result="Excluded","Not Required",mgmt_witnessaz_mgmt_gateway_ip)</f>
        <v>Not Required</v>
      </c>
      <c r="H61" s="337" t="str">
        <f>IF(mgmt_stretched_cluster_result="Excluded","Not Required",mgmt_witnessaz_mgmt_mtu)</f>
        <v>Not Required</v>
      </c>
    </row>
    <row r="62" spans="2:8" ht="15.95" customHeight="1" x14ac:dyDescent="0.2"/>
    <row r="63" spans="2:8" ht="32.1" customHeight="1" x14ac:dyDescent="0.2">
      <c r="B63" s="505" t="s">
        <v>3650</v>
      </c>
      <c r="C63" s="506"/>
      <c r="D63" s="506"/>
      <c r="E63" s="506"/>
      <c r="F63" s="506"/>
      <c r="G63" s="506"/>
      <c r="H63" s="506"/>
    </row>
    <row r="64" spans="2:8" ht="20.100000000000001" customHeight="1" x14ac:dyDescent="0.2">
      <c r="B64" s="475" t="s">
        <v>3626</v>
      </c>
      <c r="C64" s="476"/>
      <c r="D64" s="476"/>
      <c r="E64" s="476"/>
      <c r="F64" s="476"/>
      <c r="G64" s="476"/>
      <c r="H64" s="476"/>
    </row>
    <row r="65" spans="2:5" ht="20.100000000000001" customHeight="1" x14ac:dyDescent="0.2">
      <c r="B65" s="43" t="s">
        <v>3638</v>
      </c>
      <c r="C65" s="43" t="s">
        <v>527</v>
      </c>
      <c r="D65" s="43" t="s">
        <v>749</v>
      </c>
      <c r="E65" s="130" t="s">
        <v>3651</v>
      </c>
    </row>
    <row r="66" spans="2:5" ht="20.100000000000001" customHeight="1" x14ac:dyDescent="0.2">
      <c r="B66" s="4" t="s">
        <v>686</v>
      </c>
      <c r="C66" s="337" t="str">
        <f>mgmt_az1_host1_fqdn</f>
        <v>labesxvcf01.vcf.lab.local</v>
      </c>
      <c r="D66" s="337" t="str">
        <f>mgmt_az1_host1_hostname</f>
        <v>labesxvcf01</v>
      </c>
      <c r="E66" s="337" t="str">
        <f>mgmt_az1_host1_mgmt_ip</f>
        <v>10.100.51.51</v>
      </c>
    </row>
    <row r="67" spans="2:5" ht="20.100000000000001" customHeight="1" x14ac:dyDescent="0.2">
      <c r="B67" s="4" t="s">
        <v>687</v>
      </c>
      <c r="C67" s="337" t="str">
        <f>mgmt_az1_host2_fqdn</f>
        <v>labesxvcf02.vcf.lab.local</v>
      </c>
      <c r="D67" s="337" t="str">
        <f>mgmt_az1_host2_hostname</f>
        <v>labesxvcf02</v>
      </c>
      <c r="E67" s="337" t="str">
        <f>mgmt_az1_host2_mgmt_ip</f>
        <v>10.100.52.52</v>
      </c>
    </row>
    <row r="68" spans="2:5" ht="20.100000000000001" customHeight="1" x14ac:dyDescent="0.2">
      <c r="B68" s="4" t="s">
        <v>688</v>
      </c>
      <c r="C68" s="337" t="str">
        <f>mgmt_az1_host3_fqdn</f>
        <v>labesxvcf03.vcf.lab.local</v>
      </c>
      <c r="D68" s="337" t="str">
        <f>mgmt_az1_host3_hostname</f>
        <v>labesxvcf03</v>
      </c>
      <c r="E68" s="337" t="str">
        <f>mgmt_az1_host3_mgmt_ip</f>
        <v>10.100.51.53</v>
      </c>
    </row>
    <row r="69" spans="2:5" ht="20.100000000000001" customHeight="1" x14ac:dyDescent="0.2">
      <c r="B69" s="4" t="s">
        <v>689</v>
      </c>
      <c r="C69" s="337" t="str">
        <f>mgmt_az1_host4_fqdn</f>
        <v>labesxvcf04.vcf.lab.local</v>
      </c>
      <c r="D69" s="337" t="str">
        <f>mgmt_az1_host4_hostname</f>
        <v>labesxvcf04</v>
      </c>
      <c r="E69" s="337" t="str">
        <f>mgmt_az1_host4_mgmt_ip</f>
        <v>10.100.51.54</v>
      </c>
    </row>
    <row r="70" spans="2:5" ht="20.100000000000001" customHeight="1" x14ac:dyDescent="0.2">
      <c r="B70" s="4" t="s">
        <v>690</v>
      </c>
      <c r="C70" s="337" t="str">
        <f>mgmt_az1_host5_fqdn</f>
        <v>Value Missing</v>
      </c>
      <c r="D70" s="337" t="str">
        <f>mgmt_az1_host5_hostname</f>
        <v>Value Missing</v>
      </c>
      <c r="E70" s="337" t="str">
        <f>mgmt_az1_host5_mgmt_ip</f>
        <v>Value Missing</v>
      </c>
    </row>
    <row r="71" spans="2:5" ht="20.100000000000001" customHeight="1" x14ac:dyDescent="0.2">
      <c r="B71" s="4" t="s">
        <v>691</v>
      </c>
      <c r="C71" s="337" t="str">
        <f>mgmt_az1_host6_fqdn</f>
        <v>Value Missing</v>
      </c>
      <c r="D71" s="337" t="str">
        <f>mgmt_az1_host6_hostname</f>
        <v>Value Missing</v>
      </c>
      <c r="E71" s="337" t="str">
        <f>mgmt_az1_host6_mgmt_ip</f>
        <v>Value Missing</v>
      </c>
    </row>
    <row r="72" spans="2:5" ht="20.100000000000001" customHeight="1" x14ac:dyDescent="0.2">
      <c r="B72" s="4" t="s">
        <v>692</v>
      </c>
      <c r="C72" s="337" t="str">
        <f>mgmt_az1_host7_fqdn</f>
        <v>Value Missing</v>
      </c>
      <c r="D72" s="337" t="str">
        <f>mgmt_az1_host7_hostname</f>
        <v>Value Missing</v>
      </c>
      <c r="E72" s="337" t="str">
        <f>mgmt_az1_host7_mgmt_ip</f>
        <v>Value Missing</v>
      </c>
    </row>
    <row r="73" spans="2:5" ht="20.100000000000001" customHeight="1" x14ac:dyDescent="0.2">
      <c r="B73" s="4" t="s">
        <v>693</v>
      </c>
      <c r="C73" s="337" t="str">
        <f>mgmt_az1_host8_fqdn</f>
        <v>Value Missing</v>
      </c>
      <c r="D73" s="337" t="str">
        <f>mgmt_az1_host8_hostname</f>
        <v>Value Missing</v>
      </c>
      <c r="E73" s="337" t="str">
        <f>mgmt_az1_host8_mgmt_ip</f>
        <v>Value Missing</v>
      </c>
    </row>
    <row r="74" spans="2:5" ht="20.100000000000001" customHeight="1" x14ac:dyDescent="0.2">
      <c r="B74" s="4" t="s">
        <v>694</v>
      </c>
      <c r="C74" s="337" t="str">
        <f>mgmt_az1_host9_fqdn</f>
        <v>Value Missing</v>
      </c>
      <c r="D74" s="337" t="str">
        <f>mgmt_az1_host9_hostname</f>
        <v>Value Missing</v>
      </c>
      <c r="E74" s="337" t="str">
        <f>mgmt_az1_host9_mgmt_ip</f>
        <v>Value Missing</v>
      </c>
    </row>
    <row r="75" spans="2:5" ht="20.100000000000001" customHeight="1" x14ac:dyDescent="0.2">
      <c r="B75" s="4" t="s">
        <v>695</v>
      </c>
      <c r="C75" s="337" t="str">
        <f>mgmt_az1_host10_fqdn</f>
        <v>Value Missing</v>
      </c>
      <c r="D75" s="337" t="str">
        <f>mgmt_az1_host10_hostname</f>
        <v>Value Missing</v>
      </c>
      <c r="E75" s="337" t="str">
        <f>mgmt_az1_host10_mgmt_ip</f>
        <v>Value Missing</v>
      </c>
    </row>
    <row r="76" spans="2:5" ht="20.100000000000001" customHeight="1" x14ac:dyDescent="0.2">
      <c r="B76" s="4" t="s">
        <v>696</v>
      </c>
      <c r="C76" s="337" t="str">
        <f>mgmt_az1_host11_fqdn</f>
        <v>Value Missing</v>
      </c>
      <c r="D76" s="337" t="str">
        <f>mgmt_az1_host11_hostname</f>
        <v>Value Missing</v>
      </c>
      <c r="E76" s="337" t="str">
        <f>mgmt_az1_host11_mgmt_ip</f>
        <v>Value Missing</v>
      </c>
    </row>
    <row r="77" spans="2:5" ht="20.100000000000001" customHeight="1" x14ac:dyDescent="0.2">
      <c r="B77" s="4" t="s">
        <v>697</v>
      </c>
      <c r="C77" s="337" t="str">
        <f>mgmt_az1_host12_fqdn</f>
        <v>Value Missing</v>
      </c>
      <c r="D77" s="337" t="str">
        <f>mgmt_az1_host12_hostname</f>
        <v>Value Missing</v>
      </c>
      <c r="E77" s="337" t="str">
        <f>mgmt_az1_host12_mgmt_ip</f>
        <v>Value Missing</v>
      </c>
    </row>
    <row r="78" spans="2:5" ht="20.100000000000001" customHeight="1" x14ac:dyDescent="0.2">
      <c r="B78" s="4" t="s">
        <v>698</v>
      </c>
      <c r="C78" s="337" t="str">
        <f>mgmt_az1_host13_fqdn</f>
        <v>Value Missing</v>
      </c>
      <c r="D78" s="337" t="str">
        <f>mgmt_az1_host13_hostname</f>
        <v>Value Missing</v>
      </c>
      <c r="E78" s="337" t="str">
        <f>mgmt_az1_host13_mgmt_ip</f>
        <v>Value Missing</v>
      </c>
    </row>
    <row r="79" spans="2:5" ht="20.100000000000001" customHeight="1" x14ac:dyDescent="0.2">
      <c r="B79" s="4" t="s">
        <v>699</v>
      </c>
      <c r="C79" s="337" t="str">
        <f>mgmt_az1_host14_fqdn</f>
        <v>Value Missing</v>
      </c>
      <c r="D79" s="337" t="str">
        <f>mgmt_az1_host14_hostname</f>
        <v>Value Missing</v>
      </c>
      <c r="E79" s="337" t="str">
        <f>mgmt_az1_host14_mgmt_ip</f>
        <v>Value Missing</v>
      </c>
    </row>
    <row r="80" spans="2:5" ht="20.100000000000001" customHeight="1" x14ac:dyDescent="0.2">
      <c r="B80" s="4" t="s">
        <v>700</v>
      </c>
      <c r="C80" s="337" t="str">
        <f>mgmt_az1_host15_fqdn</f>
        <v>Value Missing</v>
      </c>
      <c r="D80" s="337" t="str">
        <f>mgmt_az1_host15_hostname</f>
        <v>Value Missing</v>
      </c>
      <c r="E80" s="337" t="str">
        <f>mgmt_az1_host15_mgmt_ip</f>
        <v>Value Missing</v>
      </c>
    </row>
    <row r="81" spans="2:8" ht="20.100000000000001" customHeight="1" x14ac:dyDescent="0.2">
      <c r="B81" s="4" t="s">
        <v>701</v>
      </c>
      <c r="C81" s="337" t="str">
        <f>mgmt_az1_host16_fqdn</f>
        <v>Value Missing</v>
      </c>
      <c r="D81" s="337" t="str">
        <f>mgmt_az1_host16_hostname</f>
        <v>Value Missing</v>
      </c>
      <c r="E81" s="337" t="str">
        <f>mgmt_az1_host16_mgmt_ip</f>
        <v>Value Missing</v>
      </c>
    </row>
    <row r="82" spans="2:8" ht="15.95" customHeight="1" x14ac:dyDescent="0.2"/>
    <row r="83" spans="2:8" ht="33.950000000000003" customHeight="1" x14ac:dyDescent="0.2">
      <c r="B83" s="505" t="s">
        <v>3652</v>
      </c>
      <c r="C83" s="506"/>
      <c r="D83" s="506"/>
      <c r="E83" s="506"/>
      <c r="F83" s="506"/>
      <c r="G83" s="506"/>
      <c r="H83" s="506"/>
    </row>
    <row r="84" spans="2:8" ht="20.100000000000001" customHeight="1" x14ac:dyDescent="0.2">
      <c r="B84" s="475" t="s">
        <v>3402</v>
      </c>
      <c r="C84" s="476"/>
      <c r="D84" s="476"/>
      <c r="E84" s="476"/>
    </row>
    <row r="85" spans="2:8" ht="20.100000000000001" customHeight="1" x14ac:dyDescent="0.2">
      <c r="B85" s="43" t="s">
        <v>3638</v>
      </c>
      <c r="C85" s="43" t="s">
        <v>527</v>
      </c>
      <c r="D85" s="43" t="s">
        <v>749</v>
      </c>
      <c r="E85" s="130" t="s">
        <v>3653</v>
      </c>
    </row>
    <row r="86" spans="2:8" ht="20.100000000000001" customHeight="1" x14ac:dyDescent="0.2">
      <c r="B86" s="4" t="s">
        <v>147</v>
      </c>
      <c r="C86" s="337" t="str">
        <f>sddc_mgr_fqdn</f>
        <v>labvcfsddc01v.vcf.lab.local</v>
      </c>
      <c r="D86" s="337" t="str">
        <f>sddc_mgr_hostname</f>
        <v>labvcfsddc01v</v>
      </c>
      <c r="E86" s="337" t="str">
        <f>sddc_mgr_ip</f>
        <v>10.100.50.115</v>
      </c>
    </row>
    <row r="87" spans="2:8" ht="20.100000000000001" customHeight="1" x14ac:dyDescent="0.2">
      <c r="B87" s="4" t="s">
        <v>299</v>
      </c>
      <c r="C87" s="337" t="str">
        <f>mgmt_vc_fqdn</f>
        <v>labvcvcf01v.vcf.lab.local</v>
      </c>
      <c r="D87" s="337" t="str">
        <f>mgmt_vc_hostname</f>
        <v>labvcvcf01v</v>
      </c>
      <c r="E87" s="337" t="str">
        <f>mgmt_vc_ip</f>
        <v>10.100.50.116</v>
      </c>
    </row>
    <row r="88" spans="2:8" ht="20.100000000000001" customHeight="1" x14ac:dyDescent="0.2">
      <c r="B88" s="4" t="s">
        <v>3654</v>
      </c>
      <c r="C88" s="337" t="str">
        <f>mgmt_nsxt_vip_fqdn</f>
        <v>nsx.vcf.lab.local</v>
      </c>
      <c r="D88" s="337" t="str">
        <f>mgmt_nsxt_hostname</f>
        <v>nsx</v>
      </c>
      <c r="E88" s="337" t="str">
        <f>mgmt_nsxt_vip_ip</f>
        <v>10.100.50.120</v>
      </c>
    </row>
    <row r="89" spans="2:8" ht="20.100000000000001" customHeight="1" x14ac:dyDescent="0.2">
      <c r="B89" s="4" t="s">
        <v>3655</v>
      </c>
      <c r="C89" s="337" t="str">
        <f>mgmt_nsxt_mgra_fqdn</f>
        <v>labnsxmanager01v.vcf.lab.local</v>
      </c>
      <c r="D89" s="337" t="str">
        <f>mgmt_nsxt_mgra_hostname</f>
        <v>labnsxmanager01v</v>
      </c>
      <c r="E89" s="337" t="str">
        <f>mgmt_nsxt_mgra_ip</f>
        <v>10.100.50.121</v>
      </c>
    </row>
    <row r="90" spans="2:8" ht="20.100000000000001" customHeight="1" x14ac:dyDescent="0.2">
      <c r="B90" s="4" t="s">
        <v>3656</v>
      </c>
      <c r="C90" s="337" t="str">
        <f>mgmt_nsxt_mgrb_fqdn</f>
        <v>labnsxmanager02v.vcf.lab.local</v>
      </c>
      <c r="D90" s="337" t="str">
        <f>mgmt_nsxt_mgrb_hostname</f>
        <v>labnsxmanager02v</v>
      </c>
      <c r="E90" s="337" t="str">
        <f>mgmt_nsxt_mgrb_ip</f>
        <v>10.100.50.122</v>
      </c>
    </row>
    <row r="91" spans="2:8" ht="20.100000000000001" customHeight="1" x14ac:dyDescent="0.2">
      <c r="B91" s="4" t="s">
        <v>3657</v>
      </c>
      <c r="C91" s="337" t="str">
        <f>mgmt_nsxt_mgrc_fqdn</f>
        <v>labnsxmanager03v.vcf.lab.local</v>
      </c>
      <c r="D91" s="337" t="str">
        <f>mgmt_nsxt_mgrc_hostname</f>
        <v>labnsxmanager03v</v>
      </c>
      <c r="E91" s="337" t="str">
        <f>mgmt_nsxt_mgrc_ip</f>
        <v>10.100.50.123</v>
      </c>
    </row>
    <row r="92" spans="2:8" ht="20.100000000000001" customHeight="1" x14ac:dyDescent="0.2">
      <c r="B92" s="4" t="s">
        <v>3658</v>
      </c>
      <c r="C92" s="337" t="str">
        <f>mgmt_az1_en1_fqdn</f>
        <v>Value Missing</v>
      </c>
      <c r="D92" s="337" t="str">
        <f>mgmt_az1_en1_hostname</f>
        <v>Value Missing</v>
      </c>
      <c r="E92" s="337" t="str">
        <f>mgmt_az1_en1_mgmt_cidr</f>
        <v>Value Missing</v>
      </c>
    </row>
    <row r="93" spans="2:8" ht="20.100000000000001" customHeight="1" x14ac:dyDescent="0.2">
      <c r="B93" s="4" t="s">
        <v>3659</v>
      </c>
      <c r="C93" s="337" t="str">
        <f>mgmt_az1_en2_fqdn</f>
        <v>Value Missing</v>
      </c>
      <c r="D93" s="337" t="str">
        <f>mgmt_az1_en2_hostname</f>
        <v>Value Missing</v>
      </c>
      <c r="E93" s="337" t="str">
        <f>mgmt_az1_en2_mgmt_cidr</f>
        <v>Value Missing</v>
      </c>
    </row>
    <row r="94" spans="2:8" ht="20.100000000000001" customHeight="1" x14ac:dyDescent="0.2">
      <c r="B94" s="4" t="s">
        <v>3660</v>
      </c>
      <c r="C94" s="337" t="str">
        <f>xreg_vrops_nodea_fqdn</f>
        <v>labvcfops01v.vcf.lab.local</v>
      </c>
      <c r="D94" s="337" t="str">
        <f>xreg_vrops_nodea_hostname</f>
        <v>labvcfops01v</v>
      </c>
      <c r="E94" s="337" t="str">
        <f>xreg_vrops_nodea_ip</f>
        <v>10.100.50.101</v>
      </c>
    </row>
    <row r="95" spans="2:8" ht="20.100000000000001" customHeight="1" x14ac:dyDescent="0.2">
      <c r="B95" s="4" t="s">
        <v>2324</v>
      </c>
      <c r="C95" s="337" t="str">
        <f>xreg_vrops_nodeb_fqdn</f>
        <v>labvcfops02v.vcf.lab.local</v>
      </c>
      <c r="D95" s="337" t="str">
        <f>xreg_vrops_nodeb_hostname</f>
        <v>labvcfops02v</v>
      </c>
      <c r="E95" s="337" t="str">
        <f>xreg_vrops_nodeb_ip</f>
        <v>10.100.50.102</v>
      </c>
    </row>
    <row r="96" spans="2:8" ht="20.100000000000001" customHeight="1" x14ac:dyDescent="0.2">
      <c r="B96" s="4" t="s">
        <v>2329</v>
      </c>
      <c r="C96" s="337" t="str">
        <f>xreg_vrops_nodec_fqdn</f>
        <v>labvcfops03v.vcf.lab.local</v>
      </c>
      <c r="D96" s="337" t="str">
        <f>xreg_vrops_nodec_hostname</f>
        <v>labvcfops03v</v>
      </c>
      <c r="E96" s="337" t="str">
        <f>xreg_vrops_nodec_ip</f>
        <v>10.100.50.103</v>
      </c>
    </row>
    <row r="97" spans="2:8" ht="20.100000000000001" customHeight="1" x14ac:dyDescent="0.2">
      <c r="B97" s="4" t="s">
        <v>3661</v>
      </c>
      <c r="C97" s="337" t="str">
        <f>xreg_vrops_virtual_fqdn</f>
        <v>operations.vcf.lab.local</v>
      </c>
      <c r="D97" s="337" t="str">
        <f>xreg_vrops_virtual_hostname</f>
        <v>operations</v>
      </c>
      <c r="E97" s="337" t="str">
        <f>xreg_vrops_virtual_ip</f>
        <v>10.100.50.105</v>
      </c>
    </row>
    <row r="98" spans="2:8" ht="20.100000000000001" customHeight="1" x14ac:dyDescent="0.2">
      <c r="B98" s="4" t="s">
        <v>2813</v>
      </c>
      <c r="C98" s="337" t="str">
        <f>xreg_vra_virtual_fqdn</f>
        <v>labvcfa01v.vcf.lab.local</v>
      </c>
      <c r="D98" s="337" t="str">
        <f>xreg_vra_virtual_hostname</f>
        <v>labvcfa01v</v>
      </c>
      <c r="E98" s="337" t="str">
        <f>xreg_vra_virtual_ip</f>
        <v>10.100.50.106</v>
      </c>
    </row>
    <row r="99" spans="2:8" ht="20.100000000000001" customHeight="1" x14ac:dyDescent="0.2">
      <c r="B99" s="4" t="s">
        <v>3662</v>
      </c>
      <c r="C99" s="337" t="s">
        <v>496</v>
      </c>
      <c r="D99" s="337" t="s">
        <v>496</v>
      </c>
      <c r="E99" s="337" t="str">
        <f>xreg_vra_nodea_ip</f>
        <v>10.100.50.107</v>
      </c>
    </row>
    <row r="100" spans="2:8" ht="20.100000000000001" customHeight="1" x14ac:dyDescent="0.2">
      <c r="B100" s="4" t="s">
        <v>3663</v>
      </c>
      <c r="C100" s="337" t="s">
        <v>496</v>
      </c>
      <c r="D100" s="337" t="s">
        <v>496</v>
      </c>
      <c r="E100" s="337" t="str">
        <f>xreg_vra_nodeb_ip</f>
        <v>10.100.50.108</v>
      </c>
    </row>
    <row r="101" spans="2:8" ht="20.100000000000001" customHeight="1" x14ac:dyDescent="0.2">
      <c r="B101" s="4" t="s">
        <v>3664</v>
      </c>
      <c r="C101" s="337" t="s">
        <v>496</v>
      </c>
      <c r="D101" s="337" t="s">
        <v>496</v>
      </c>
      <c r="E101" s="337" t="str">
        <f>xreg_vra_nodec_ip</f>
        <v>10.100.50.109</v>
      </c>
    </row>
    <row r="102" spans="2:8" ht="20.100000000000001" customHeight="1" x14ac:dyDescent="0.2">
      <c r="B102" s="4" t="s">
        <v>3665</v>
      </c>
      <c r="C102" s="337" t="s">
        <v>496</v>
      </c>
      <c r="D102" s="337" t="s">
        <v>496</v>
      </c>
      <c r="E102" s="337" t="str">
        <f>xreg_vra_noded_ip</f>
        <v>10.100.50.110</v>
      </c>
    </row>
    <row r="103" spans="2:8" ht="20.100000000000001" customHeight="1" x14ac:dyDescent="0.2">
      <c r="B103" s="4" t="s">
        <v>3666</v>
      </c>
      <c r="C103" s="337" t="str">
        <f>flt_vidb_vip_fqdn</f>
        <v>Value Missing</v>
      </c>
      <c r="D103" s="337" t="str">
        <f t="array" ref="D103">flt_vidb_hostname</f>
        <v>Value Missing</v>
      </c>
      <c r="E103" s="337" t="str">
        <f>flt_vidb_vip_ip</f>
        <v>Value Missing</v>
      </c>
    </row>
    <row r="104" spans="2:8" ht="20.100000000000001" customHeight="1" x14ac:dyDescent="0.2">
      <c r="B104" s="4" t="s">
        <v>3667</v>
      </c>
      <c r="C104" s="337" t="s">
        <v>496</v>
      </c>
      <c r="D104" s="337" t="s">
        <v>496</v>
      </c>
      <c r="E104" s="337" t="str">
        <f>flt_vidb_nodea_ip</f>
        <v>Value Missing</v>
      </c>
    </row>
    <row r="105" spans="2:8" ht="20.100000000000001" customHeight="1" x14ac:dyDescent="0.2">
      <c r="B105" s="4" t="s">
        <v>3668</v>
      </c>
      <c r="C105" s="337" t="s">
        <v>496</v>
      </c>
      <c r="D105" s="337" t="s">
        <v>496</v>
      </c>
      <c r="E105" s="337" t="str">
        <f>flt_vidb_nodeb_ip</f>
        <v>Value Missing</v>
      </c>
    </row>
    <row r="106" spans="2:8" ht="20.100000000000001" customHeight="1" x14ac:dyDescent="0.2">
      <c r="B106" s="4" t="s">
        <v>3669</v>
      </c>
      <c r="C106" s="337" t="s">
        <v>496</v>
      </c>
      <c r="D106" s="337" t="s">
        <v>496</v>
      </c>
      <c r="E106" s="337" t="str">
        <f>flt_vidb_nodec_ip</f>
        <v>Value Missing</v>
      </c>
    </row>
    <row r="107" spans="2:8" ht="20.100000000000001" customHeight="1" x14ac:dyDescent="0.2">
      <c r="B107" s="4" t="s">
        <v>3670</v>
      </c>
      <c r="C107" s="337" t="s">
        <v>496</v>
      </c>
      <c r="D107" s="337" t="s">
        <v>496</v>
      </c>
      <c r="E107" s="337" t="str">
        <f>flt_vidb_noded_ip</f>
        <v>Value Missing</v>
      </c>
    </row>
    <row r="108" spans="2:8" ht="20.100000000000001" customHeight="1" x14ac:dyDescent="0.2">
      <c r="B108" s="4" t="s">
        <v>3671</v>
      </c>
      <c r="C108" s="337" t="s">
        <v>496</v>
      </c>
      <c r="D108" s="337" t="s">
        <v>496</v>
      </c>
      <c r="E108" s="337"/>
    </row>
    <row r="110" spans="2:8" ht="33.950000000000003" customHeight="1" x14ac:dyDescent="0.2">
      <c r="B110" s="505" t="s">
        <v>3672</v>
      </c>
      <c r="C110" s="506"/>
      <c r="D110" s="506"/>
      <c r="E110" s="506"/>
      <c r="F110" s="506"/>
      <c r="G110" s="506"/>
      <c r="H110" s="506"/>
    </row>
    <row r="111" spans="2:8" ht="20.100000000000001" customHeight="1" x14ac:dyDescent="0.2">
      <c r="B111" s="475" t="s">
        <v>3626</v>
      </c>
      <c r="C111" s="476"/>
      <c r="D111" s="476"/>
      <c r="E111" s="476"/>
      <c r="F111" s="476"/>
      <c r="G111" s="476"/>
      <c r="H111" s="476"/>
    </row>
    <row r="112" spans="2:8" ht="20.100000000000001" customHeight="1" x14ac:dyDescent="0.2">
      <c r="B112" s="43" t="s">
        <v>3638</v>
      </c>
      <c r="C112" s="43" t="s">
        <v>527</v>
      </c>
      <c r="D112" s="43" t="s">
        <v>749</v>
      </c>
      <c r="E112" s="130" t="s">
        <v>3651</v>
      </c>
    </row>
    <row r="113" spans="2:5" ht="20.100000000000001" customHeight="1" x14ac:dyDescent="0.2">
      <c r="B113" s="4" t="s">
        <v>686</v>
      </c>
      <c r="C113" s="337" t="str">
        <f>mgmt_az2_host1_fqdn</f>
        <v>Value Missing</v>
      </c>
      <c r="D113" s="337" t="str">
        <f>mgmt_az2_host1_hostname</f>
        <v>Value Missing</v>
      </c>
      <c r="E113" s="337" t="str">
        <f>mgmt_az2_host1_mgmt_ip</f>
        <v>Value Missing</v>
      </c>
    </row>
    <row r="114" spans="2:5" ht="20.100000000000001" customHeight="1" x14ac:dyDescent="0.2">
      <c r="B114" s="4" t="s">
        <v>687</v>
      </c>
      <c r="C114" s="337" t="str">
        <f>mgmt_az2_host2_fqdn</f>
        <v>Value Missing</v>
      </c>
      <c r="D114" s="337" t="str">
        <f>mgmt_az2_host2_hostname</f>
        <v>Value Missing</v>
      </c>
      <c r="E114" s="337" t="str">
        <f>mgmt_az2_host2_mgmt_ip</f>
        <v>Value Missing</v>
      </c>
    </row>
    <row r="115" spans="2:5" ht="20.100000000000001" customHeight="1" x14ac:dyDescent="0.2">
      <c r="B115" s="4" t="s">
        <v>688</v>
      </c>
      <c r="C115" s="337" t="str">
        <f>mgmt_az2_host3_fqdn</f>
        <v>Value Missing</v>
      </c>
      <c r="D115" s="337" t="str">
        <f>mgmt_az2_host3_hostname</f>
        <v>Value Missing</v>
      </c>
      <c r="E115" s="337" t="str">
        <f>mgmt_az2_host3_mgmt_ip</f>
        <v>Value Missing</v>
      </c>
    </row>
    <row r="116" spans="2:5" ht="20.100000000000001" customHeight="1" x14ac:dyDescent="0.2">
      <c r="B116" s="4" t="s">
        <v>689</v>
      </c>
      <c r="C116" s="337" t="str">
        <f>mgmt_az2_host4_fqdn</f>
        <v>Value Missing</v>
      </c>
      <c r="D116" s="337" t="str">
        <f>mgmt_az2_host4_hostname</f>
        <v>Value Missing</v>
      </c>
      <c r="E116" s="337" t="str">
        <f>mgmt_az2_host4_mgmt_ip</f>
        <v>Value Missing</v>
      </c>
    </row>
    <row r="117" spans="2:5" ht="20.100000000000001" customHeight="1" x14ac:dyDescent="0.2">
      <c r="B117" s="4" t="s">
        <v>690</v>
      </c>
      <c r="C117" s="337" t="str">
        <f>mgmt_az2_host5_fqdn</f>
        <v>Value Missing</v>
      </c>
      <c r="D117" s="337" t="str">
        <f>mgmt_az2_host5_hostname</f>
        <v>Value Missing</v>
      </c>
      <c r="E117" s="337" t="str">
        <f>mgmt_az2_host5_mgmt_ip</f>
        <v>Value Missing</v>
      </c>
    </row>
    <row r="118" spans="2:5" ht="20.100000000000001" customHeight="1" x14ac:dyDescent="0.2">
      <c r="B118" s="4" t="s">
        <v>691</v>
      </c>
      <c r="C118" s="337" t="str">
        <f>mgmt_az2_host6_fqdn</f>
        <v>Value Missing</v>
      </c>
      <c r="D118" s="337" t="str">
        <f>mgmt_az2_host6_hostname</f>
        <v>Value Missing</v>
      </c>
      <c r="E118" s="337" t="str">
        <f>mgmt_az2_host6_mgmt_ip</f>
        <v>Value Missing</v>
      </c>
    </row>
    <row r="119" spans="2:5" ht="20.100000000000001" customHeight="1" x14ac:dyDescent="0.2">
      <c r="B119" s="4" t="s">
        <v>692</v>
      </c>
      <c r="C119" s="337" t="str">
        <f>mgmt_az2_host7_fqdn</f>
        <v>Value Missing</v>
      </c>
      <c r="D119" s="337" t="str">
        <f>mgmt_az2_host7_hostname</f>
        <v>Value Missing</v>
      </c>
      <c r="E119" s="337" t="str">
        <f>mgmt_az2_host7_mgmt_ip</f>
        <v>Value Missing</v>
      </c>
    </row>
    <row r="120" spans="2:5" ht="20.100000000000001" customHeight="1" x14ac:dyDescent="0.2">
      <c r="B120" s="4" t="s">
        <v>693</v>
      </c>
      <c r="C120" s="337" t="str">
        <f>mgmt_az2_host8_fqdn</f>
        <v>Value Missing</v>
      </c>
      <c r="D120" s="337" t="str">
        <f>mgmt_az2_host8_hostname</f>
        <v>Value Missing</v>
      </c>
      <c r="E120" s="337" t="str">
        <f>mgmt_az2_host8_mgmt_ip</f>
        <v>Value Missing</v>
      </c>
    </row>
    <row r="121" spans="2:5" ht="20.100000000000001" customHeight="1" x14ac:dyDescent="0.2">
      <c r="B121" s="4" t="s">
        <v>694</v>
      </c>
      <c r="C121" s="337" t="str">
        <f>mgmt_az2_host9_fqdn</f>
        <v>Value Missing</v>
      </c>
      <c r="D121" s="337" t="str">
        <f>mgmt_az2_host9_hostname</f>
        <v>Value Missing</v>
      </c>
      <c r="E121" s="337" t="str">
        <f>mgmt_az2_host9_mgmt_ip</f>
        <v>Value Missing</v>
      </c>
    </row>
    <row r="122" spans="2:5" ht="20.100000000000001" customHeight="1" x14ac:dyDescent="0.2">
      <c r="B122" s="4" t="s">
        <v>695</v>
      </c>
      <c r="C122" s="337" t="str">
        <f>mgmt_az2_host10_fqdn</f>
        <v>Value Missing</v>
      </c>
      <c r="D122" s="337" t="str">
        <f>mgmt_az2_host10_hostname</f>
        <v>Value Missing</v>
      </c>
      <c r="E122" s="337" t="str">
        <f>mgmt_az2_host10_mgmt_ip</f>
        <v>Value Missing</v>
      </c>
    </row>
    <row r="123" spans="2:5" ht="20.100000000000001" customHeight="1" x14ac:dyDescent="0.2">
      <c r="B123" s="4" t="s">
        <v>696</v>
      </c>
      <c r="C123" s="337" t="str">
        <f>mgmt_az2_host11_fqdn</f>
        <v>Value Missing</v>
      </c>
      <c r="D123" s="337" t="str">
        <f>mgmt_az2_host11_hostname</f>
        <v>Value Missing</v>
      </c>
      <c r="E123" s="337" t="str">
        <f>mgmt_az2_host11_mgmt_ip</f>
        <v>Value Missing</v>
      </c>
    </row>
    <row r="124" spans="2:5" ht="20.100000000000001" customHeight="1" x14ac:dyDescent="0.2">
      <c r="B124" s="4" t="s">
        <v>697</v>
      </c>
      <c r="C124" s="337" t="str">
        <f>mgmt_az2_host12_fqdn</f>
        <v>Value Missing</v>
      </c>
      <c r="D124" s="337" t="str">
        <f>mgmt_az2_host12_hostname</f>
        <v>Value Missing</v>
      </c>
      <c r="E124" s="337" t="str">
        <f>mgmt_az2_host12_mgmt_ip</f>
        <v>Value Missing</v>
      </c>
    </row>
    <row r="125" spans="2:5" ht="20.100000000000001" customHeight="1" x14ac:dyDescent="0.2">
      <c r="B125" s="4" t="s">
        <v>698</v>
      </c>
      <c r="C125" s="337" t="str">
        <f>mgmt_az2_host13_fqdn</f>
        <v>Value Missing</v>
      </c>
      <c r="D125" s="337" t="str">
        <f>mgmt_az2_host13_hostname</f>
        <v>Value Missing</v>
      </c>
      <c r="E125" s="337" t="str">
        <f>mgmt_az2_host13_mgmt_ip</f>
        <v>Value Missing</v>
      </c>
    </row>
    <row r="126" spans="2:5" ht="20.100000000000001" customHeight="1" x14ac:dyDescent="0.2">
      <c r="B126" s="4" t="s">
        <v>699</v>
      </c>
      <c r="C126" s="337" t="str">
        <f>mgmt_az2_host14_fqdn</f>
        <v>Value Missing</v>
      </c>
      <c r="D126" s="337" t="str">
        <f>mgmt_az2_host14_hostname</f>
        <v>Value Missing</v>
      </c>
      <c r="E126" s="337" t="str">
        <f>mgmt_az2_host14_mgmt_ip</f>
        <v>Value Missing</v>
      </c>
    </row>
    <row r="127" spans="2:5" ht="20.100000000000001" customHeight="1" x14ac:dyDescent="0.2">
      <c r="B127" s="4" t="s">
        <v>700</v>
      </c>
      <c r="C127" s="337" t="str">
        <f>mgmt_az2_host15_fqdn</f>
        <v>Value Missing</v>
      </c>
      <c r="D127" s="337" t="str">
        <f>mgmt_az2_host15_hostname</f>
        <v>Value Missing</v>
      </c>
      <c r="E127" s="337" t="str">
        <f>mgmt_az2_host15_mgmt_ip</f>
        <v>Value Missing</v>
      </c>
    </row>
    <row r="128" spans="2:5" ht="20.100000000000001" customHeight="1" x14ac:dyDescent="0.2">
      <c r="B128" s="4" t="s">
        <v>701</v>
      </c>
      <c r="C128" s="337" t="str">
        <f>mgmt_az2_host16_fqdn</f>
        <v>Value Missing</v>
      </c>
      <c r="D128" s="337" t="str">
        <f>mgmt_az2_host16_hostname</f>
        <v>Value Missing</v>
      </c>
      <c r="E128" s="337" t="str">
        <f>mgmt_az2_host16_mgmt_ip</f>
        <v>Value Missing</v>
      </c>
    </row>
    <row r="130" spans="2:9" ht="33.950000000000003" customHeight="1" x14ac:dyDescent="0.2">
      <c r="B130" s="638" t="s">
        <v>3673</v>
      </c>
      <c r="C130" s="638"/>
      <c r="D130" s="638"/>
      <c r="E130" s="638"/>
      <c r="F130" s="638"/>
      <c r="G130" s="638"/>
      <c r="H130" s="638"/>
    </row>
    <row r="131" spans="2:9" ht="15" customHeight="1" x14ac:dyDescent="0.2"/>
    <row r="132" spans="2:9" ht="32.1" customHeight="1" x14ac:dyDescent="0.2">
      <c r="B132" s="505" t="s">
        <v>3674</v>
      </c>
      <c r="C132" s="506"/>
      <c r="D132" s="506"/>
      <c r="E132" s="506"/>
      <c r="F132" s="506"/>
      <c r="G132" s="506"/>
      <c r="H132" s="506"/>
    </row>
    <row r="133" spans="2:9" ht="20.100000000000001" customHeight="1" x14ac:dyDescent="0.2">
      <c r="B133" s="475"/>
      <c r="C133" s="476"/>
      <c r="D133" s="476"/>
      <c r="E133" s="476"/>
      <c r="F133" s="476"/>
      <c r="G133" s="476"/>
      <c r="H133" s="476"/>
    </row>
    <row r="134" spans="2:9" ht="20.100000000000001" customHeight="1" x14ac:dyDescent="0.2">
      <c r="B134" s="43" t="s">
        <v>3638</v>
      </c>
      <c r="C134" s="43" t="s">
        <v>3090</v>
      </c>
      <c r="D134" s="43" t="s">
        <v>3639</v>
      </c>
      <c r="E134" s="43" t="s">
        <v>3640</v>
      </c>
      <c r="F134" s="130" t="s">
        <v>3675</v>
      </c>
      <c r="G134" s="130" t="s">
        <v>3641</v>
      </c>
      <c r="H134" s="130" t="s">
        <v>3642</v>
      </c>
    </row>
    <row r="135" spans="2:9" ht="20.100000000000001" customHeight="1" x14ac:dyDescent="0.2">
      <c r="B135" s="4" t="s">
        <v>1655</v>
      </c>
      <c r="C135" s="337" t="str">
        <f>wld_cl01_az1_mgmt_vm_pg</f>
        <v>Value Missing</v>
      </c>
      <c r="D135" s="337" t="str">
        <f>wld_az1_mgmt_vm_vlan</f>
        <v>Value Missing</v>
      </c>
      <c r="E135" s="337" t="str">
        <f>wld_az1_mgmt_vm_cidr</f>
        <v>Value Missing</v>
      </c>
      <c r="F135" s="337" t="str">
        <f>wld_az1_mgmt_vm_network</f>
        <v>Value Missing</v>
      </c>
      <c r="G135" s="337" t="str">
        <f>wld_az1_mgmt_vm_gateway_ip</f>
        <v>Value Missing</v>
      </c>
      <c r="H135" s="337" t="str">
        <f>wld_az1_mgmt_vm_mtu</f>
        <v>Value Missing</v>
      </c>
    </row>
    <row r="136" spans="2:9" ht="20.100000000000001" customHeight="1" x14ac:dyDescent="0.2">
      <c r="B136" s="4" t="s">
        <v>3643</v>
      </c>
      <c r="C136" s="337" t="str">
        <f>wld_cl01_az1_mgmt_pg</f>
        <v>Value Missing</v>
      </c>
      <c r="D136" s="337" t="str">
        <f>wld_az1_mgmt_vlan</f>
        <v>Value Missing</v>
      </c>
      <c r="E136" s="337" t="str">
        <f>wld_az1_mgmt_cidr</f>
        <v>Value Missing</v>
      </c>
      <c r="F136" s="337" t="str">
        <f>wld_az1_mgmt_network</f>
        <v>Value Missing</v>
      </c>
      <c r="G136" s="337" t="str">
        <f>wld_az1_mgmt_gateway_ip</f>
        <v>Value Missing</v>
      </c>
      <c r="H136" s="337" t="str">
        <f>wld_az1_mgmt_mtu</f>
        <v>Value Missing</v>
      </c>
    </row>
    <row r="137" spans="2:9" ht="20.100000000000001" customHeight="1" x14ac:dyDescent="0.2">
      <c r="B137" s="4" t="s">
        <v>404</v>
      </c>
      <c r="C137" s="337" t="str">
        <f>wld_cl01_az1_vmotion_pg</f>
        <v>Value Missing</v>
      </c>
      <c r="D137" s="337" t="str">
        <f>wld_az1_vmotion_vlan</f>
        <v>Value Missing</v>
      </c>
      <c r="E137" s="337" t="str">
        <f>wld_az1_vmotion_cidr</f>
        <v>Value Missing</v>
      </c>
      <c r="F137" s="337" t="str">
        <f>wld_az1_vmotion_network</f>
        <v>Value Missing</v>
      </c>
      <c r="G137" s="337" t="str">
        <f>wld_az1_vmotion_gateway_ip</f>
        <v>Value Missing</v>
      </c>
      <c r="H137" s="337" t="str">
        <f>wld_az1_vmotion_mtu</f>
        <v>Value Missing</v>
      </c>
    </row>
    <row r="138" spans="2:9" ht="20.100000000000001" customHeight="1" x14ac:dyDescent="0.2">
      <c r="B138" s="4" t="s">
        <v>407</v>
      </c>
      <c r="C138" s="337" t="str">
        <f>wld_cl01_az1_principal_storage_pg</f>
        <v>Value Missing</v>
      </c>
      <c r="D138" s="337" t="str">
        <f>wld_az1_principal_storage_vlan</f>
        <v>Value Missing</v>
      </c>
      <c r="E138" s="337" t="str">
        <f>wld_az1_principal_storage_cidr</f>
        <v>Value Missing</v>
      </c>
      <c r="F138" s="337" t="str">
        <f>wld_az1_principal_storage_network</f>
        <v>Value Missing</v>
      </c>
      <c r="G138" s="337" t="str">
        <f>wld_az1_principal_storage_gateway_ip</f>
        <v>Value Missing</v>
      </c>
      <c r="H138" s="337" t="str">
        <f>wld_az1_principal_storage_mtu</f>
        <v>Value Missing</v>
      </c>
    </row>
    <row r="139" spans="2:9" ht="20.100000000000001" customHeight="1" x14ac:dyDescent="0.2">
      <c r="B139" s="4" t="s">
        <v>1661</v>
      </c>
      <c r="C139" s="337" t="str">
        <f>wld_az1_host_overlay_pg</f>
        <v>N/A</v>
      </c>
      <c r="D139" s="337" t="str">
        <f>wld_az1_host_overlay_vlan</f>
        <v>Value Missing</v>
      </c>
      <c r="E139" s="337" t="str">
        <f>wld_az1_host_overlay_cidr</f>
        <v>Value Missing</v>
      </c>
      <c r="F139" s="337" t="str">
        <f>wld_az1_host_overlay_network</f>
        <v>Value Missing</v>
      </c>
      <c r="G139" s="337" t="str">
        <f>wld_az1_host_overlay_gateway_ip</f>
        <v>Value Missing</v>
      </c>
      <c r="H139" s="337" t="str">
        <f>wld_az1_host_overlay_mtu</f>
        <v>Value Missing</v>
      </c>
    </row>
    <row r="140" spans="2:9" ht="20.100000000000001" customHeight="1" x14ac:dyDescent="0.2">
      <c r="B140" s="4" t="s">
        <v>3648</v>
      </c>
      <c r="C140" s="337" t="str">
        <f>wld_vrms_pg</f>
        <v>Value Missing</v>
      </c>
      <c r="D140" s="337" t="str">
        <f>wld_az1_vrms_vlan</f>
        <v>Value Missing</v>
      </c>
      <c r="E140" s="337" t="str">
        <f>wld_az1_vrms_cidr</f>
        <v>Value Missing</v>
      </c>
      <c r="F140" s="337" t="str">
        <f>wld_az1_vrms_network</f>
        <v>Value Missing</v>
      </c>
      <c r="G140" s="337" t="str">
        <f>wld_az1_vrms_gateway_ip</f>
        <v>Value Missing</v>
      </c>
      <c r="H140" s="337" t="str">
        <f>wld_az1_vrms_mtu</f>
        <v>Value Missing</v>
      </c>
    </row>
    <row r="141" spans="2:9" ht="20.100000000000001" customHeight="1" x14ac:dyDescent="0.2">
      <c r="B141" s="4" t="s">
        <v>3644</v>
      </c>
      <c r="C141" s="337" t="str">
        <f>wld_cl01_az1_uplink01_pg</f>
        <v>Value Missing</v>
      </c>
      <c r="D141" s="337" t="str">
        <f>wld_az1_uplink01_vlan</f>
        <v>Value Missing</v>
      </c>
      <c r="E141" s="337" t="str">
        <f>wld_az1_uplink01_cidr</f>
        <v>Value Missing</v>
      </c>
      <c r="F141" s="337" t="str">
        <f>wld_az1_uplink01_network</f>
        <v>Value Missing</v>
      </c>
      <c r="G141" s="337" t="str">
        <f>wld_az1_uplink01_gateway_ip</f>
        <v>Value Missing</v>
      </c>
      <c r="H141" s="337" t="str">
        <f>wld_az1_uplink01_mtu</f>
        <v>Value Missing</v>
      </c>
    </row>
    <row r="142" spans="2:9" ht="20.100000000000001" customHeight="1" x14ac:dyDescent="0.2">
      <c r="B142" s="17" t="s">
        <v>3645</v>
      </c>
      <c r="C142" s="337" t="str">
        <f>wld_cl01_az1_uplink02_pg</f>
        <v>Value Missing</v>
      </c>
      <c r="D142" s="337" t="str">
        <f>wld_az1_uplink02_vlan</f>
        <v>Value Missing</v>
      </c>
      <c r="E142" s="337" t="str">
        <f>wld_az1_uplink02_cidr</f>
        <v>Value Missing</v>
      </c>
      <c r="F142" s="337" t="str">
        <f>wld_az1_uplink02_network</f>
        <v>Value Missing</v>
      </c>
      <c r="G142" s="337" t="str">
        <f>wld_az1_uplink02_gateway_ip</f>
        <v>Value Missing</v>
      </c>
      <c r="H142" s="337" t="str">
        <f>wld_az1_uplink02_mtu</f>
        <v>Value Missing</v>
      </c>
      <c r="I142" s="41"/>
    </row>
    <row r="143" spans="2:9" ht="20.100000000000001" customHeight="1" x14ac:dyDescent="0.2">
      <c r="B143" s="17" t="s">
        <v>1667</v>
      </c>
      <c r="C143" s="337" t="str">
        <f>wld_az1_edge_overlay_pg</f>
        <v>N/A</v>
      </c>
      <c r="D143" s="337" t="str">
        <f>wld_az1_edge_overlay_vlan</f>
        <v>Value Missing</v>
      </c>
      <c r="E143" s="337" t="str">
        <f>wld_az1_edge_overlay_cidr</f>
        <v>Value Missing</v>
      </c>
      <c r="F143" s="337" t="str">
        <f>wld_az1_edge_overlay_network</f>
        <v>Value Missing</v>
      </c>
      <c r="G143" s="337" t="str">
        <f>wld_az1_edge_overlay_gateway_ip</f>
        <v>Value Missing</v>
      </c>
      <c r="H143" s="337" t="str">
        <f>wld_az1_edge_overlay_mtu</f>
        <v>N/A</v>
      </c>
      <c r="I143" s="41"/>
    </row>
    <row r="144" spans="2:9" ht="20.100000000000001" customHeight="1" x14ac:dyDescent="0.2">
      <c r="B144" s="4" t="s">
        <v>1752</v>
      </c>
      <c r="C144" s="337" t="str">
        <f>wld_az1_rtep_overlay_pg</f>
        <v>N/A</v>
      </c>
      <c r="D144" s="337" t="str">
        <f>wld_az1_rtep_overlay_vlan</f>
        <v>Value Missing</v>
      </c>
      <c r="E144" s="337" t="str">
        <f>wld_az1_rtep_overlay_cidr</f>
        <v>Value Missing</v>
      </c>
      <c r="F144" s="337" t="str">
        <f>wld_az1_rtep_overlay_network</f>
        <v>Value Missing</v>
      </c>
      <c r="G144" s="337" t="str">
        <f>wld_az1_rtep_overlay_gateway_ip</f>
        <v>Value Missing</v>
      </c>
      <c r="H144" s="337">
        <f>wld_az1_rtep_overlay_mtu</f>
        <v>0</v>
      </c>
    </row>
    <row r="146" spans="2:8" ht="33.950000000000003" customHeight="1" x14ac:dyDescent="0.2">
      <c r="B146" s="505" t="s">
        <v>3676</v>
      </c>
      <c r="C146" s="506"/>
      <c r="D146" s="506"/>
      <c r="E146" s="506"/>
      <c r="F146" s="506"/>
      <c r="G146" s="506"/>
      <c r="H146" s="506"/>
    </row>
    <row r="147" spans="2:8" ht="20.100000000000001" customHeight="1" x14ac:dyDescent="0.2">
      <c r="B147" s="475"/>
      <c r="C147" s="476"/>
      <c r="D147" s="476"/>
      <c r="E147" s="476"/>
      <c r="F147" s="476"/>
      <c r="G147" s="476"/>
      <c r="H147" s="476"/>
    </row>
    <row r="148" spans="2:8" ht="20.100000000000001" customHeight="1" x14ac:dyDescent="0.2">
      <c r="B148" s="43" t="s">
        <v>3638</v>
      </c>
      <c r="C148" s="43" t="s">
        <v>138</v>
      </c>
    </row>
    <row r="149" spans="2:8" ht="20.100000000000001" customHeight="1" x14ac:dyDescent="0.2">
      <c r="B149" s="4" t="s">
        <v>1411</v>
      </c>
      <c r="C149" s="337" t="str">
        <f>wld_en_asn</f>
        <v>Value Missing</v>
      </c>
    </row>
    <row r="150" spans="2:8" ht="20.100000000000001" customHeight="1" x14ac:dyDescent="0.2">
      <c r="B150" s="4" t="s">
        <v>648</v>
      </c>
      <c r="C150" s="337" t="str">
        <f>wld_az1_tor1_peer_ip</f>
        <v>Value Missing</v>
      </c>
    </row>
    <row r="151" spans="2:8" ht="20.100000000000001" customHeight="1" x14ac:dyDescent="0.2">
      <c r="B151" s="4" t="s">
        <v>649</v>
      </c>
      <c r="C151" s="337" t="str">
        <f>wld_az1_tor1_peer_asn</f>
        <v>Value Missing</v>
      </c>
    </row>
    <row r="152" spans="2:8" ht="20.100000000000001" customHeight="1" x14ac:dyDescent="0.2">
      <c r="B152" s="4" t="s">
        <v>650</v>
      </c>
      <c r="C152" s="337" t="str">
        <f>wld_az1_tor1_peer_bgp_password</f>
        <v>Value Missing</v>
      </c>
    </row>
    <row r="153" spans="2:8" ht="20.100000000000001" customHeight="1" x14ac:dyDescent="0.2">
      <c r="B153" s="4" t="s">
        <v>651</v>
      </c>
      <c r="C153" s="337" t="str">
        <f>wld_az1_tor2_peer_ip</f>
        <v>Value Missing</v>
      </c>
    </row>
    <row r="154" spans="2:8" ht="20.100000000000001" customHeight="1" x14ac:dyDescent="0.2">
      <c r="B154" s="4" t="s">
        <v>652</v>
      </c>
      <c r="C154" s="337" t="str">
        <f>wld_az1_tor2_peer_asn</f>
        <v>Value Missing</v>
      </c>
    </row>
    <row r="155" spans="2:8" ht="20.100000000000001" customHeight="1" x14ac:dyDescent="0.2">
      <c r="B155" s="4" t="s">
        <v>653</v>
      </c>
      <c r="C155" s="337" t="str">
        <f>wld_az1_tor2_peer_bgp_password</f>
        <v>Value Missing</v>
      </c>
    </row>
    <row r="157" spans="2:8" ht="33.950000000000003" customHeight="1" x14ac:dyDescent="0.2">
      <c r="B157" s="505" t="s">
        <v>3677</v>
      </c>
      <c r="C157" s="506"/>
      <c r="D157" s="506"/>
      <c r="E157" s="506"/>
      <c r="F157" s="506"/>
      <c r="G157" s="506"/>
      <c r="H157" s="506"/>
    </row>
    <row r="158" spans="2:8" ht="20.100000000000001" customHeight="1" x14ac:dyDescent="0.2">
      <c r="B158" s="475"/>
      <c r="C158" s="476"/>
      <c r="D158" s="476"/>
      <c r="E158" s="476"/>
      <c r="F158" s="476"/>
      <c r="G158" s="476"/>
      <c r="H158" s="476"/>
    </row>
    <row r="159" spans="2:8" ht="20.100000000000001" customHeight="1" x14ac:dyDescent="0.2">
      <c r="B159" s="43" t="s">
        <v>3638</v>
      </c>
      <c r="C159" s="43" t="s">
        <v>3090</v>
      </c>
      <c r="D159" s="43" t="s">
        <v>398</v>
      </c>
      <c r="E159" s="43" t="s">
        <v>2527</v>
      </c>
      <c r="F159" s="130" t="s">
        <v>706</v>
      </c>
      <c r="G159" s="130" t="s">
        <v>399</v>
      </c>
      <c r="H159" s="130" t="s">
        <v>401</v>
      </c>
    </row>
    <row r="160" spans="2:8" ht="20.100000000000001" customHeight="1" x14ac:dyDescent="0.2">
      <c r="B160" s="4" t="s">
        <v>1655</v>
      </c>
      <c r="C160" s="337" t="str">
        <f>IF(wld_stretched_cluster_result="Excluded","Not Required",wld_cl01_az1_mgmt_vm_pg)</f>
        <v>Not Required</v>
      </c>
      <c r="D160" s="337" t="str">
        <f>IF(wld_stretched_cluster_result="Excluded","Not Required",wld_az1_mgmt_vm_vlan)</f>
        <v>Not Required</v>
      </c>
      <c r="E160" s="337" t="str">
        <f>IF(wld_stretched_cluster_result="Excluded","Not Required",wld_az1_mgmt_vm_cidr)</f>
        <v>Not Required</v>
      </c>
      <c r="F160" s="337" t="str">
        <f>IF(wld_stretched_cluster_result="Excluded","Not Required",wld_az1_mgmt_vm_network)</f>
        <v>Not Required</v>
      </c>
      <c r="G160" s="337" t="str">
        <f>IF(wld_stretched_cluster_result="Excluded","Not Required",wld_az1_mgmt_vm_gateway_ip)</f>
        <v>Not Required</v>
      </c>
      <c r="H160" s="337" t="str">
        <f>IF(wld_stretched_cluster_result="Excluded","Not Required",wld_az1_mgmt_vm_mtu)</f>
        <v>Not Required</v>
      </c>
    </row>
    <row r="161" spans="2:8" ht="20.100000000000001" customHeight="1" x14ac:dyDescent="0.2">
      <c r="B161" s="4" t="s">
        <v>3643</v>
      </c>
      <c r="C161" s="337" t="str">
        <f>wld_cl01_az2_mgmt_pg</f>
        <v>Value Missing</v>
      </c>
      <c r="D161" s="337" t="str">
        <f>wld_az2_mgmt_vlan</f>
        <v>Value Missing</v>
      </c>
      <c r="E161" s="337" t="str">
        <f>wld_az2_mgmt_cidr</f>
        <v>Value Missing</v>
      </c>
      <c r="F161" s="337" t="str">
        <f t="array" ref="F161">wld_az2_mgmt_network</f>
        <v>Value Missing</v>
      </c>
      <c r="G161" s="337" t="str">
        <f>wld_az2_mgmt_gateway_ip</f>
        <v>Value Missing</v>
      </c>
      <c r="H161" s="337" t="str">
        <f>wld_az2_mgmt_mtu</f>
        <v>Value Missing</v>
      </c>
    </row>
    <row r="162" spans="2:8" ht="20.100000000000001" customHeight="1" x14ac:dyDescent="0.2">
      <c r="B162" s="4" t="s">
        <v>404</v>
      </c>
      <c r="C162" s="337" t="str">
        <f>wld_cl01_az2_vmotion_pg</f>
        <v>Value Missing</v>
      </c>
      <c r="D162" s="337" t="str">
        <f>wld_az2_vmotion_vlan</f>
        <v>Value Missing</v>
      </c>
      <c r="E162" s="337" t="str">
        <f>wld_az2_vmotion_cidr</f>
        <v>Value Missing</v>
      </c>
      <c r="F162" s="337" t="str">
        <f>wld_az2_vmotion_network</f>
        <v>Value Missing</v>
      </c>
      <c r="G162" s="337" t="str">
        <f>wld_az2_vmotion_gateway_ip</f>
        <v>Value Missing</v>
      </c>
      <c r="H162" s="337" t="str">
        <f>wld_az2_vmotion_mtu</f>
        <v>Value Missing</v>
      </c>
    </row>
    <row r="163" spans="2:8" ht="20.100000000000001" customHeight="1" x14ac:dyDescent="0.2">
      <c r="B163" s="4" t="s">
        <v>407</v>
      </c>
      <c r="C163" s="337" t="str">
        <f>wld_cl01_az2_principal_storage_pg</f>
        <v>Value Missing</v>
      </c>
      <c r="D163" s="337" t="str">
        <f>wld_az2_principal_storage_vlan</f>
        <v>Value Missing</v>
      </c>
      <c r="E163" s="337" t="str">
        <f>wld_az2_principal_storage_cidr</f>
        <v>Value Missing</v>
      </c>
      <c r="F163" s="337" t="str">
        <f>wld_az2_principal_storage_network</f>
        <v>Value Missing</v>
      </c>
      <c r="G163" s="337" t="str">
        <f>wld_az2_principal_storage_gateway_ip</f>
        <v>Value Missing</v>
      </c>
      <c r="H163" s="337" t="str">
        <f>wld_az2_principal_storage_mtu</f>
        <v>Value Missing</v>
      </c>
    </row>
    <row r="164" spans="2:8" ht="20.100000000000001" customHeight="1" x14ac:dyDescent="0.2">
      <c r="B164" s="4" t="s">
        <v>1661</v>
      </c>
      <c r="C164" s="337" t="str">
        <f t="array" ref="C164">wld_az2_host_overlay_pg</f>
        <v>N/A</v>
      </c>
      <c r="D164" s="337" t="str">
        <f>wld_az2_host_overlay_vlan</f>
        <v>Value Missing</v>
      </c>
      <c r="E164" s="337" t="str">
        <f>wld_az2_host_overlay_cidr</f>
        <v>Value Missing</v>
      </c>
      <c r="F164" s="337" t="str">
        <f>wld_az2_host_overlay_network</f>
        <v>Value Missing</v>
      </c>
      <c r="G164" s="337" t="str">
        <f>wld_az2_host_overlay_gateway_ip</f>
        <v>Value Missing</v>
      </c>
      <c r="H164" s="337" t="str">
        <f>wld_az2_host_overlay_mtu</f>
        <v>Value Missing</v>
      </c>
    </row>
    <row r="165" spans="2:8" ht="20.100000000000001" customHeight="1" x14ac:dyDescent="0.2">
      <c r="B165" s="4" t="s">
        <v>3648</v>
      </c>
      <c r="C165" s="337" t="str">
        <f>wld_vrms_pg</f>
        <v>Value Missing</v>
      </c>
      <c r="D165" s="337" t="str">
        <f>wld_az2_vrms_vlan</f>
        <v>Value Missing</v>
      </c>
      <c r="E165" s="337" t="str">
        <f>wld_az2_vrms_cidr</f>
        <v>Value Missing</v>
      </c>
      <c r="F165" s="337" t="str">
        <f>wld_az2_vrms_network</f>
        <v>Value Missing</v>
      </c>
      <c r="G165" s="337" t="str">
        <f>wld_az2_vrms_gateway_ip</f>
        <v>Value Missing</v>
      </c>
      <c r="H165" s="337" t="str">
        <f>wld_az2_vrms_mtu</f>
        <v>Value Missing</v>
      </c>
    </row>
    <row r="166" spans="2:8" ht="20.100000000000001" customHeight="1" x14ac:dyDescent="0.2">
      <c r="B166" s="4" t="s">
        <v>3644</v>
      </c>
      <c r="C166" s="337" t="str">
        <f t="array" ref="C166">wld_cl01_az2_uplink01_pg</f>
        <v>Value Missing</v>
      </c>
      <c r="D166" s="337" t="str">
        <f>wld_az2_uplink01_vlan</f>
        <v>Value Missing</v>
      </c>
      <c r="E166" s="337" t="str">
        <f>wld_az2_uplink01_cidr</f>
        <v>Value Missing</v>
      </c>
      <c r="F166" s="337" t="str">
        <f>wld_az2_uplink02_network</f>
        <v>Value Missing</v>
      </c>
      <c r="G166" s="337" t="str">
        <f>wld_az2_uplink01_gateway_ip</f>
        <v>Value Missing</v>
      </c>
      <c r="H166" s="337" t="str">
        <f>wld_az2_uplink01_mtu</f>
        <v>Value Missing</v>
      </c>
    </row>
    <row r="167" spans="2:8" ht="20.100000000000001" customHeight="1" x14ac:dyDescent="0.2">
      <c r="B167" s="17" t="s">
        <v>3645</v>
      </c>
      <c r="C167" s="337" t="str">
        <f t="array" ref="C167">wld_cl01_az2_uplink02_pg</f>
        <v>Value Missing</v>
      </c>
      <c r="D167" s="337" t="str">
        <f>wld_az2_uplink02_vlan</f>
        <v>Value Missing</v>
      </c>
      <c r="E167" s="337" t="str">
        <f>wld_az2_uplink02_cidr</f>
        <v>Value Missing</v>
      </c>
      <c r="F167" s="337" t="str">
        <f>wld_az2_uplink02_network</f>
        <v>Value Missing</v>
      </c>
      <c r="G167" s="337" t="str">
        <f>wld_az2_uplink02_gateway_ip</f>
        <v>Value Missing</v>
      </c>
      <c r="H167" s="337" t="str">
        <f>wld_az2_uplink02_mtu</f>
        <v>Value Missing</v>
      </c>
    </row>
    <row r="168" spans="2:8" ht="20.100000000000001" customHeight="1" x14ac:dyDescent="0.2">
      <c r="B168" s="17" t="s">
        <v>1667</v>
      </c>
      <c r="C168" s="337" t="str">
        <f t="array" ref="C168">wld_az2_edge_overlay_pg</f>
        <v>N/A</v>
      </c>
      <c r="D168" s="337" t="str">
        <f>wld_az2_edge_overlay_vlan</f>
        <v>Value Missing</v>
      </c>
      <c r="E168" s="337" t="str">
        <f>wld_az2_edge_overlay_cidr</f>
        <v>Value Missing</v>
      </c>
      <c r="F168" s="337" t="str">
        <f>wld_az2_edge_overlay_network</f>
        <v>Value Missing</v>
      </c>
      <c r="G168" s="337" t="str">
        <f>wld_az2_edge_overlay_gateway_ip</f>
        <v>Value Missing</v>
      </c>
      <c r="H168" s="337" t="str">
        <f>wld_az2_edge_overlay_mtu</f>
        <v>N/A</v>
      </c>
    </row>
    <row r="169" spans="2:8" ht="20.100000000000001" customHeight="1" x14ac:dyDescent="0.2">
      <c r="B169" s="4" t="s">
        <v>1752</v>
      </c>
      <c r="C169" s="337" t="str">
        <f>wld_az1_rtep_overlay_pg</f>
        <v>N/A</v>
      </c>
      <c r="D169" s="337" t="str">
        <f>wld_az2_rtep_overlay_vlan</f>
        <v>Value Missing</v>
      </c>
      <c r="E169" s="337" t="str">
        <f>wld_az2_rtep_overlay_cidr</f>
        <v>Value Missing</v>
      </c>
      <c r="F169" s="337" t="str">
        <f>wld_az1_rtep_overlay_network</f>
        <v>Value Missing</v>
      </c>
      <c r="G169" s="337" t="str">
        <f>wld_az2_rtep_overlay_gateway_ip</f>
        <v>Value Missing</v>
      </c>
      <c r="H169" s="337">
        <f>wld_az2_rtep_overlay_mtu</f>
        <v>0</v>
      </c>
    </row>
    <row r="171" spans="2:8" ht="33.950000000000003" customHeight="1" x14ac:dyDescent="0.2">
      <c r="B171" s="505" t="s">
        <v>3678</v>
      </c>
      <c r="C171" s="506"/>
      <c r="D171" s="506"/>
      <c r="E171" s="506"/>
      <c r="F171" s="506"/>
      <c r="G171" s="506"/>
      <c r="H171" s="506"/>
    </row>
    <row r="172" spans="2:8" ht="20.100000000000001" customHeight="1" x14ac:dyDescent="0.2">
      <c r="B172" s="475"/>
      <c r="C172" s="476"/>
      <c r="D172" s="476"/>
      <c r="E172" s="476"/>
      <c r="F172" s="476"/>
      <c r="G172" s="476"/>
      <c r="H172" s="476"/>
    </row>
    <row r="173" spans="2:8" ht="20.100000000000001" customHeight="1" x14ac:dyDescent="0.2">
      <c r="B173" s="43" t="s">
        <v>3638</v>
      </c>
      <c r="C173" s="43" t="s">
        <v>138</v>
      </c>
    </row>
    <row r="174" spans="2:8" ht="20.100000000000001" customHeight="1" x14ac:dyDescent="0.2">
      <c r="B174" s="4" t="s">
        <v>1411</v>
      </c>
      <c r="C174" s="337" t="str">
        <f>wld_en_asn</f>
        <v>Value Missing</v>
      </c>
    </row>
    <row r="175" spans="2:8" ht="20.100000000000001" customHeight="1" x14ac:dyDescent="0.2">
      <c r="B175" s="4" t="s">
        <v>648</v>
      </c>
      <c r="C175" s="337" t="str">
        <f>wld_az1_tor1_peer_ip</f>
        <v>Value Missing</v>
      </c>
    </row>
    <row r="176" spans="2:8" ht="20.100000000000001" customHeight="1" x14ac:dyDescent="0.2">
      <c r="B176" s="4" t="s">
        <v>649</v>
      </c>
      <c r="C176" s="337" t="str">
        <f>wld_az1_tor1_peer_asn</f>
        <v>Value Missing</v>
      </c>
    </row>
    <row r="177" spans="2:8" ht="20.100000000000001" customHeight="1" x14ac:dyDescent="0.2">
      <c r="B177" s="4" t="s">
        <v>650</v>
      </c>
      <c r="C177" s="337" t="str">
        <f>wld_az1_tor1_peer_bgp_password</f>
        <v>Value Missing</v>
      </c>
    </row>
    <row r="178" spans="2:8" ht="20.100000000000001" customHeight="1" x14ac:dyDescent="0.2">
      <c r="B178" s="4" t="s">
        <v>651</v>
      </c>
      <c r="C178" s="337" t="str">
        <f>wld_az1_tor2_peer_ip</f>
        <v>Value Missing</v>
      </c>
    </row>
    <row r="179" spans="2:8" ht="20.100000000000001" customHeight="1" x14ac:dyDescent="0.2">
      <c r="B179" s="4" t="s">
        <v>652</v>
      </c>
      <c r="C179" s="337" t="str">
        <f>wld_az1_tor2_peer_asn</f>
        <v>Value Missing</v>
      </c>
    </row>
    <row r="180" spans="2:8" ht="20.100000000000001" customHeight="1" x14ac:dyDescent="0.2">
      <c r="B180" s="4" t="s">
        <v>653</v>
      </c>
      <c r="C180" s="337" t="str">
        <f>wld_az1_tor2_peer_bgp_password</f>
        <v>Value Missing</v>
      </c>
    </row>
    <row r="182" spans="2:8" ht="32.1" customHeight="1" x14ac:dyDescent="0.2">
      <c r="B182" s="505" t="s">
        <v>3679</v>
      </c>
      <c r="C182" s="506"/>
      <c r="D182" s="506"/>
      <c r="E182" s="506"/>
      <c r="F182" s="506"/>
      <c r="G182" s="506"/>
      <c r="H182" s="506"/>
    </row>
    <row r="183" spans="2:8" ht="20.100000000000001" customHeight="1" x14ac:dyDescent="0.2">
      <c r="B183" s="475" t="s">
        <v>3626</v>
      </c>
      <c r="C183" s="476"/>
      <c r="D183" s="476"/>
      <c r="E183" s="476"/>
      <c r="F183" s="476"/>
      <c r="G183" s="476"/>
      <c r="H183" s="476"/>
    </row>
    <row r="184" spans="2:8" ht="20.100000000000001" customHeight="1" x14ac:dyDescent="0.2">
      <c r="B184" s="43" t="s">
        <v>3638</v>
      </c>
      <c r="C184" s="43" t="s">
        <v>527</v>
      </c>
      <c r="D184" s="43" t="s">
        <v>749</v>
      </c>
      <c r="E184" s="130" t="s">
        <v>3651</v>
      </c>
    </row>
    <row r="185" spans="2:8" ht="20.100000000000001" customHeight="1" x14ac:dyDescent="0.2">
      <c r="B185" s="4" t="s">
        <v>686</v>
      </c>
      <c r="C185" s="337" t="str">
        <f>wld_az1_host1_fqdn</f>
        <v>Value Missing</v>
      </c>
      <c r="D185" s="337" t="str">
        <f>wld_az1_host1_hostname</f>
        <v>Value Missing</v>
      </c>
      <c r="E185" s="337" t="str">
        <f>wld_az1_host1_mgmt_ip</f>
        <v>Value Missing</v>
      </c>
    </row>
    <row r="186" spans="2:8" ht="20.100000000000001" customHeight="1" x14ac:dyDescent="0.2">
      <c r="B186" s="4" t="s">
        <v>687</v>
      </c>
      <c r="C186" s="337" t="str">
        <f>wld_az1_host2_fqdn</f>
        <v>Value Missing</v>
      </c>
      <c r="D186" s="337" t="str">
        <f>wld_az1_host2_hostname</f>
        <v>Value Missing</v>
      </c>
      <c r="E186" s="337" t="str">
        <f>wld_az1_host2_mgmt_ip</f>
        <v>Value Missing</v>
      </c>
    </row>
    <row r="187" spans="2:8" ht="20.100000000000001" customHeight="1" x14ac:dyDescent="0.2">
      <c r="B187" s="4" t="s">
        <v>688</v>
      </c>
      <c r="C187" s="337" t="str">
        <f>wld_az1_host3_fqdn</f>
        <v>Value Missing</v>
      </c>
      <c r="D187" s="337" t="str">
        <f>wld_az1_host3_hostname</f>
        <v>Value Missing</v>
      </c>
      <c r="E187" s="337" t="str">
        <f>wld_az1_host3_mgmt_ip</f>
        <v>Value Missing</v>
      </c>
    </row>
    <row r="188" spans="2:8" ht="20.100000000000001" customHeight="1" x14ac:dyDescent="0.2">
      <c r="B188" s="4" t="s">
        <v>689</v>
      </c>
      <c r="C188" s="337" t="str">
        <f>wld_az1_host4_fqdn</f>
        <v>Value Missing</v>
      </c>
      <c r="D188" s="337" t="str">
        <f>wld_az1_host4_hostname</f>
        <v>Value Missing</v>
      </c>
      <c r="E188" s="337" t="str">
        <f>wld_az1_host4_mgmt_ip</f>
        <v>Value Missing</v>
      </c>
    </row>
    <row r="189" spans="2:8" ht="20.100000000000001" customHeight="1" x14ac:dyDescent="0.2">
      <c r="B189" s="4" t="s">
        <v>690</v>
      </c>
      <c r="C189" s="337" t="str">
        <f>wld_az1_host5_fqdn</f>
        <v>Value Missing</v>
      </c>
      <c r="D189" s="337" t="str">
        <f>wld_az1_host5_hostname</f>
        <v>Value Missing</v>
      </c>
      <c r="E189" s="337" t="str">
        <f>wld_az1_host5_mgmt_ip</f>
        <v>Value Missing</v>
      </c>
    </row>
    <row r="190" spans="2:8" ht="20.100000000000001" customHeight="1" x14ac:dyDescent="0.2">
      <c r="B190" s="4" t="s">
        <v>691</v>
      </c>
      <c r="C190" s="337" t="str">
        <f>wld_az1_host6_fqdn</f>
        <v>Value Missing</v>
      </c>
      <c r="D190" s="337" t="str">
        <f>wld_az1_host6_hostname</f>
        <v>Value Missing</v>
      </c>
      <c r="E190" s="337" t="str">
        <f>wld_az1_host6_mgmt_ip</f>
        <v>Value Missing</v>
      </c>
    </row>
    <row r="191" spans="2:8" ht="20.100000000000001" customHeight="1" x14ac:dyDescent="0.2">
      <c r="B191" s="4" t="s">
        <v>692</v>
      </c>
      <c r="C191" s="337" t="str">
        <f>wld_az1_host7_fqdn</f>
        <v>Value Missing</v>
      </c>
      <c r="D191" s="337" t="str">
        <f>wld_az1_host7_hostname</f>
        <v>Value Missing</v>
      </c>
      <c r="E191" s="337" t="str">
        <f>wld_az1_host7_mgmt_ip</f>
        <v>Value Missing</v>
      </c>
    </row>
    <row r="192" spans="2:8" ht="20.100000000000001" customHeight="1" x14ac:dyDescent="0.2">
      <c r="B192" s="4" t="s">
        <v>693</v>
      </c>
      <c r="C192" s="337" t="str">
        <f>wld_az1_host8_fqdn</f>
        <v>Value Missing</v>
      </c>
      <c r="D192" s="337" t="str">
        <f>wld_az1_host8_hostname</f>
        <v>Value Missing</v>
      </c>
      <c r="E192" s="337" t="str">
        <f>wld_az1_host8_mgmt_ip</f>
        <v>Value Missing</v>
      </c>
    </row>
    <row r="193" spans="2:8" ht="20.100000000000001" customHeight="1" x14ac:dyDescent="0.2">
      <c r="B193" s="4" t="s">
        <v>694</v>
      </c>
      <c r="C193" s="337" t="str">
        <f>wld_az1_host9_fqdn</f>
        <v>Value Missing</v>
      </c>
      <c r="D193" s="337" t="str">
        <f>wld_az1_host9_hostname</f>
        <v>Value Missing</v>
      </c>
      <c r="E193" s="337" t="str">
        <f>wld_az1_host9_mgmt_ip</f>
        <v>Value Missing</v>
      </c>
    </row>
    <row r="194" spans="2:8" ht="20.100000000000001" customHeight="1" x14ac:dyDescent="0.2">
      <c r="B194" s="4" t="s">
        <v>695</v>
      </c>
      <c r="C194" s="337" t="str">
        <f>wld_az1_host10_fqdn</f>
        <v>Value Missing</v>
      </c>
      <c r="D194" s="337" t="str">
        <f>wld_az1_host10_hostname</f>
        <v>Value Missing</v>
      </c>
      <c r="E194" s="337" t="str">
        <f>wld_az1_host10_mgmt_ip</f>
        <v>Value Missing</v>
      </c>
    </row>
    <row r="195" spans="2:8" ht="20.100000000000001" customHeight="1" x14ac:dyDescent="0.2">
      <c r="B195" s="4" t="s">
        <v>696</v>
      </c>
      <c r="C195" s="337" t="str">
        <f>wld_az1_host11_fqdn</f>
        <v>Value Missing</v>
      </c>
      <c r="D195" s="337" t="str">
        <f>wld_az1_host11_hostname</f>
        <v>Value Missing</v>
      </c>
      <c r="E195" s="337" t="str">
        <f>wld_az1_host11_mgmt_ip</f>
        <v>Value Missing</v>
      </c>
    </row>
    <row r="196" spans="2:8" ht="20.100000000000001" customHeight="1" x14ac:dyDescent="0.2">
      <c r="B196" s="4" t="s">
        <v>697</v>
      </c>
      <c r="C196" s="337" t="str">
        <f>wld_az1_host12_fqdn</f>
        <v>Value Missing</v>
      </c>
      <c r="D196" s="337" t="str">
        <f>wld_az1_host12_hostname</f>
        <v>Value Missing</v>
      </c>
      <c r="E196" s="337" t="str">
        <f>wld_az1_host12_mgmt_ip</f>
        <v>Value Missing</v>
      </c>
    </row>
    <row r="197" spans="2:8" ht="20.100000000000001" customHeight="1" x14ac:dyDescent="0.2">
      <c r="B197" s="4" t="s">
        <v>698</v>
      </c>
      <c r="C197" s="337" t="str">
        <f>wld_az1_host13_fqdn</f>
        <v>Value Missing</v>
      </c>
      <c r="D197" s="337" t="str">
        <f>wld_az1_host13_hostname</f>
        <v>Value Missing</v>
      </c>
      <c r="E197" s="337" t="str">
        <f>wld_az1_host13_mgmt_ip</f>
        <v>Value Missing</v>
      </c>
    </row>
    <row r="198" spans="2:8" ht="20.100000000000001" customHeight="1" x14ac:dyDescent="0.2">
      <c r="B198" s="4" t="s">
        <v>699</v>
      </c>
      <c r="C198" s="337" t="str">
        <f>wld_az1_host14_fqdn</f>
        <v>Value Missing</v>
      </c>
      <c r="D198" s="337" t="str">
        <f>wld_az1_host14_hostname</f>
        <v>Value Missing</v>
      </c>
      <c r="E198" s="337" t="str">
        <f>wld_az1_host14_mgmt_ip</f>
        <v>Value Missing</v>
      </c>
    </row>
    <row r="199" spans="2:8" ht="20.100000000000001" customHeight="1" x14ac:dyDescent="0.2">
      <c r="B199" s="4" t="s">
        <v>700</v>
      </c>
      <c r="C199" s="337" t="str">
        <f>wld_az1_host15_fqdn</f>
        <v>Value Missing</v>
      </c>
      <c r="D199" s="337" t="str">
        <f>wld_az1_host15_hostname</f>
        <v>Value Missing</v>
      </c>
      <c r="E199" s="337" t="str">
        <f>wld_az1_host15_mgmt_ip</f>
        <v>Value Missing</v>
      </c>
    </row>
    <row r="200" spans="2:8" ht="20.100000000000001" customHeight="1" x14ac:dyDescent="0.2">
      <c r="B200" s="4" t="s">
        <v>701</v>
      </c>
      <c r="C200" s="337" t="str">
        <f>wld_az1_host16_fqdn</f>
        <v>Value Missing</v>
      </c>
      <c r="D200" s="337" t="str">
        <f>wld_az1_host16_hostname</f>
        <v>Value Missing</v>
      </c>
      <c r="E200" s="337" t="str">
        <f>wld_az1_host16_mgmt_ip</f>
        <v>Value Missing</v>
      </c>
    </row>
    <row r="202" spans="2:8" ht="20.100000000000001" customHeight="1" x14ac:dyDescent="0.2">
      <c r="B202" s="475" t="s">
        <v>3402</v>
      </c>
      <c r="C202" s="476"/>
      <c r="D202" s="476"/>
      <c r="E202" s="476"/>
      <c r="F202" s="476"/>
      <c r="G202" s="476"/>
      <c r="H202" s="476"/>
    </row>
    <row r="203" spans="2:8" ht="20.100000000000001" customHeight="1" x14ac:dyDescent="0.2">
      <c r="B203" s="43" t="s">
        <v>3638</v>
      </c>
      <c r="C203" s="43" t="s">
        <v>527</v>
      </c>
      <c r="D203" s="43" t="s">
        <v>749</v>
      </c>
      <c r="E203" s="130" t="s">
        <v>3653</v>
      </c>
    </row>
    <row r="204" spans="2:8" ht="20.100000000000001" customHeight="1" x14ac:dyDescent="0.2">
      <c r="B204" s="4" t="s">
        <v>299</v>
      </c>
      <c r="C204" s="337" t="str">
        <f>wld_vc_fqdn</f>
        <v>Value Missing</v>
      </c>
      <c r="D204" s="337" t="str">
        <f>wld_vc_hostname</f>
        <v>Value Missing</v>
      </c>
      <c r="E204" s="337" t="str">
        <f>wld_vc_ip</f>
        <v>Value Missing</v>
      </c>
    </row>
    <row r="205" spans="2:8" ht="20.100000000000001" customHeight="1" x14ac:dyDescent="0.2">
      <c r="B205" s="4" t="s">
        <v>3654</v>
      </c>
      <c r="C205" s="337" t="str">
        <f>wld_nsxt_vip_fqdn</f>
        <v>Value Missing</v>
      </c>
      <c r="D205" s="337" t="str">
        <f>wld_nsxt_vip_fqdn</f>
        <v>Value Missing</v>
      </c>
      <c r="E205" s="337" t="str">
        <f>wld_nsxt_vip_ip</f>
        <v>Value Missing</v>
      </c>
    </row>
    <row r="206" spans="2:8" ht="20.100000000000001" customHeight="1" x14ac:dyDescent="0.2">
      <c r="B206" s="4" t="s">
        <v>3655</v>
      </c>
      <c r="C206" s="337" t="str">
        <f>wld_nsxt_mgra_fqdn</f>
        <v>Value Missing</v>
      </c>
      <c r="D206" s="337" t="str">
        <f>wld_nsxt_mgra_hostname</f>
        <v>Value Missing</v>
      </c>
      <c r="E206" s="337" t="str">
        <f>wld_nsxt_mgra_ip</f>
        <v>Value Missing</v>
      </c>
    </row>
    <row r="207" spans="2:8" ht="20.100000000000001" customHeight="1" x14ac:dyDescent="0.2">
      <c r="B207" s="4" t="s">
        <v>3656</v>
      </c>
      <c r="C207" s="337" t="str">
        <f>wld_nsxt_mgrb_fqdn</f>
        <v>Value Missing</v>
      </c>
      <c r="D207" s="337" t="str">
        <f>wld_nsxt_mgrb_hostname</f>
        <v>Value Missing</v>
      </c>
      <c r="E207" s="337" t="str">
        <f>wld_nsxt_mgrb_ip</f>
        <v>Value Missing</v>
      </c>
    </row>
    <row r="208" spans="2:8" ht="20.100000000000001" customHeight="1" x14ac:dyDescent="0.2">
      <c r="B208" s="4" t="s">
        <v>3657</v>
      </c>
      <c r="C208" s="337" t="str">
        <f>wld_nsxt_mgrc_fqdn</f>
        <v>Value Missing</v>
      </c>
      <c r="D208" s="337" t="str">
        <f>wld_nsxt_mgrc_hostname</f>
        <v>Value Missing</v>
      </c>
      <c r="E208" s="337" t="str">
        <f>wld_nsxt_mgrc_ip</f>
        <v>Value Missing</v>
      </c>
    </row>
    <row r="209" spans="2:8" ht="20.100000000000001" customHeight="1" x14ac:dyDescent="0.2">
      <c r="B209" s="4" t="s">
        <v>3658</v>
      </c>
      <c r="C209" s="337" t="str">
        <f>wld_az1_en1_fqdn</f>
        <v>Value Missing</v>
      </c>
      <c r="D209" s="337" t="str">
        <f>wld_az1_en1_hostname</f>
        <v>Value Missing</v>
      </c>
      <c r="E209" s="337" t="str">
        <f>wld_az1_en1_mgmt_cidr</f>
        <v>Value Missing</v>
      </c>
    </row>
    <row r="210" spans="2:8" ht="20.100000000000001" customHeight="1" x14ac:dyDescent="0.2">
      <c r="B210" s="4" t="s">
        <v>3659</v>
      </c>
      <c r="C210" s="337" t="str">
        <f>wld_az1_en2_fqdn</f>
        <v>Value Missing</v>
      </c>
      <c r="D210" s="337" t="str">
        <f>wld_az1_en2_hostname</f>
        <v>Value Missing</v>
      </c>
      <c r="E210" s="337" t="str">
        <f>wld_az1_en2_mgmt_cidr</f>
        <v>Value Missing</v>
      </c>
    </row>
    <row r="212" spans="2:8" ht="33.950000000000003" customHeight="1" x14ac:dyDescent="0.2">
      <c r="B212" s="505" t="s">
        <v>3680</v>
      </c>
      <c r="C212" s="506"/>
      <c r="D212" s="506"/>
      <c r="E212" s="506"/>
      <c r="F212" s="506"/>
      <c r="G212" s="506"/>
      <c r="H212" s="506"/>
    </row>
    <row r="213" spans="2:8" ht="20.100000000000001" customHeight="1" x14ac:dyDescent="0.2">
      <c r="B213" s="475" t="s">
        <v>3626</v>
      </c>
      <c r="C213" s="476"/>
      <c r="D213" s="476"/>
      <c r="E213" s="476"/>
      <c r="F213" s="476"/>
      <c r="G213" s="476"/>
      <c r="H213" s="476"/>
    </row>
    <row r="214" spans="2:8" ht="20.100000000000001" customHeight="1" x14ac:dyDescent="0.2">
      <c r="B214" s="43" t="s">
        <v>3638</v>
      </c>
      <c r="C214" s="43" t="s">
        <v>527</v>
      </c>
      <c r="D214" s="43" t="s">
        <v>749</v>
      </c>
      <c r="E214" s="130" t="s">
        <v>3651</v>
      </c>
    </row>
    <row r="215" spans="2:8" ht="20.100000000000001" customHeight="1" x14ac:dyDescent="0.2">
      <c r="B215" s="4" t="s">
        <v>686</v>
      </c>
      <c r="C215" s="337" t="str">
        <f>wld_az2_host1_fqdn</f>
        <v>Value Missing</v>
      </c>
      <c r="D215" s="337" t="str">
        <f>wld_az2_host1_hostname</f>
        <v>Value Missing</v>
      </c>
      <c r="E215" s="337" t="str">
        <f>wld_az2_host1_mgmt_ip</f>
        <v>Value Missing</v>
      </c>
    </row>
    <row r="216" spans="2:8" ht="20.100000000000001" customHeight="1" x14ac:dyDescent="0.2">
      <c r="B216" s="4" t="s">
        <v>687</v>
      </c>
      <c r="C216" s="337" t="str">
        <f>wld_az2_host2_fqdn</f>
        <v>Value Missing</v>
      </c>
      <c r="D216" s="337" t="str">
        <f>wld_az2_host2_hostname</f>
        <v>Value Missing</v>
      </c>
      <c r="E216" s="337" t="str">
        <f>wld_az2_host2_mgmt_ip</f>
        <v>Value Missing</v>
      </c>
    </row>
    <row r="217" spans="2:8" ht="20.100000000000001" customHeight="1" x14ac:dyDescent="0.2">
      <c r="B217" s="4" t="s">
        <v>688</v>
      </c>
      <c r="C217" s="337" t="str">
        <f>wld_az2_host3_fqdn</f>
        <v>Value Missing</v>
      </c>
      <c r="D217" s="337" t="str">
        <f>wld_az2_host3_hostname</f>
        <v>Value Missing</v>
      </c>
      <c r="E217" s="337" t="str">
        <f>wld_az2_host3_mgmt_ip</f>
        <v>Value Missing</v>
      </c>
    </row>
    <row r="218" spans="2:8" ht="20.100000000000001" customHeight="1" x14ac:dyDescent="0.2">
      <c r="B218" s="4" t="s">
        <v>689</v>
      </c>
      <c r="C218" s="337" t="str">
        <f>wld_az2_host4_fqdn</f>
        <v>Value Missing</v>
      </c>
      <c r="D218" s="337" t="str">
        <f>wld_az2_host4_hostname</f>
        <v>Value Missing</v>
      </c>
      <c r="E218" s="337" t="str">
        <f>wld_az2_host4_mgmt_ip</f>
        <v>Value Missing</v>
      </c>
    </row>
    <row r="219" spans="2:8" ht="20.100000000000001" customHeight="1" x14ac:dyDescent="0.2">
      <c r="B219" s="4" t="s">
        <v>690</v>
      </c>
      <c r="C219" s="337" t="str">
        <f>wld_az2_host5_fqdn</f>
        <v>Value Missing</v>
      </c>
      <c r="D219" s="337" t="str">
        <f>wld_az2_host5_hostname</f>
        <v>Value Missing</v>
      </c>
      <c r="E219" s="337" t="str">
        <f>wld_az2_host5_mgmt_ip</f>
        <v>Value Missing</v>
      </c>
    </row>
    <row r="220" spans="2:8" ht="20.100000000000001" customHeight="1" x14ac:dyDescent="0.2">
      <c r="B220" s="4" t="s">
        <v>691</v>
      </c>
      <c r="C220" s="337" t="str">
        <f>wld_az2_host6_fqdn</f>
        <v>Value Missing</v>
      </c>
      <c r="D220" s="337" t="str">
        <f>wld_az2_host6_hostname</f>
        <v>Value Missing</v>
      </c>
      <c r="E220" s="337" t="str">
        <f>wld_az2_host6_mgmt_ip</f>
        <v>Value Missing</v>
      </c>
    </row>
    <row r="221" spans="2:8" ht="20.100000000000001" customHeight="1" x14ac:dyDescent="0.2">
      <c r="B221" s="4" t="s">
        <v>692</v>
      </c>
      <c r="C221" s="337" t="str">
        <f>wld_az2_host7_fqdn</f>
        <v>Value Missing</v>
      </c>
      <c r="D221" s="337" t="str">
        <f>wld_az2_host7_hostname</f>
        <v>Value Missing</v>
      </c>
      <c r="E221" s="337" t="str">
        <f>wld_az2_host7_mgmt_ip</f>
        <v>Value Missing</v>
      </c>
    </row>
    <row r="222" spans="2:8" ht="20.100000000000001" customHeight="1" x14ac:dyDescent="0.2">
      <c r="B222" s="4" t="s">
        <v>693</v>
      </c>
      <c r="C222" s="337" t="str">
        <f>wld_az2_host8_fqdn</f>
        <v>Value Missing</v>
      </c>
      <c r="D222" s="337" t="str">
        <f>wld_az2_host8_hostname</f>
        <v>Value Missing</v>
      </c>
      <c r="E222" s="337" t="str">
        <f>wld_az2_host8_mgmt_ip</f>
        <v>Value Missing</v>
      </c>
    </row>
    <row r="223" spans="2:8" ht="20.100000000000001" customHeight="1" x14ac:dyDescent="0.2">
      <c r="B223" s="4" t="s">
        <v>694</v>
      </c>
      <c r="C223" s="337" t="str">
        <f>wld_az2_host9_fqdn</f>
        <v>Value Missing</v>
      </c>
      <c r="D223" s="337" t="str">
        <f>wld_az2_host9_hostname</f>
        <v>Value Missing</v>
      </c>
      <c r="E223" s="337" t="str">
        <f>wld_az2_host9_mgmt_ip</f>
        <v>Value Missing</v>
      </c>
    </row>
    <row r="224" spans="2:8" ht="20.100000000000001" customHeight="1" x14ac:dyDescent="0.2">
      <c r="B224" s="4" t="s">
        <v>695</v>
      </c>
      <c r="C224" s="337" t="str">
        <f>wld_az2_host10_fqdn</f>
        <v>Value Missing</v>
      </c>
      <c r="D224" s="337" t="str">
        <f>wld_az2_host10_hostname</f>
        <v>Value Missing</v>
      </c>
      <c r="E224" s="337" t="str">
        <f>wld_az2_host10_mgmt_ip</f>
        <v>Value Missing</v>
      </c>
    </row>
    <row r="225" spans="2:5" ht="20.100000000000001" customHeight="1" x14ac:dyDescent="0.2">
      <c r="B225" s="4" t="s">
        <v>696</v>
      </c>
      <c r="C225" s="337" t="str">
        <f>wld_az2_host11_fqdn</f>
        <v>Value Missing</v>
      </c>
      <c r="D225" s="337" t="str">
        <f>wld_az2_host11_hostname</f>
        <v>Value Missing</v>
      </c>
      <c r="E225" s="337" t="str">
        <f>wld_az2_host11_mgmt_ip</f>
        <v>Value Missing</v>
      </c>
    </row>
    <row r="226" spans="2:5" ht="20.100000000000001" customHeight="1" x14ac:dyDescent="0.2">
      <c r="B226" s="4" t="s">
        <v>697</v>
      </c>
      <c r="C226" s="337" t="str">
        <f>wld_az2_host12_fqdn</f>
        <v>Value Missing</v>
      </c>
      <c r="D226" s="337" t="str">
        <f>wld_az2_host12_hostname</f>
        <v>Value Missing</v>
      </c>
      <c r="E226" s="337" t="str">
        <f>wld_az2_host12_mgmt_ip</f>
        <v>Value Missing</v>
      </c>
    </row>
    <row r="227" spans="2:5" ht="20.100000000000001" customHeight="1" x14ac:dyDescent="0.2">
      <c r="B227" s="4" t="s">
        <v>698</v>
      </c>
      <c r="C227" s="337" t="str">
        <f>wld_az2_host13_fqdn</f>
        <v>Value Missing</v>
      </c>
      <c r="D227" s="337" t="str">
        <f>wld_az2_host13_hostname</f>
        <v>Value Missing</v>
      </c>
      <c r="E227" s="337" t="str">
        <f>wld_az2_host13_mgmt_ip</f>
        <v>Value Missing</v>
      </c>
    </row>
    <row r="228" spans="2:5" ht="20.100000000000001" customHeight="1" x14ac:dyDescent="0.2">
      <c r="B228" s="4" t="s">
        <v>699</v>
      </c>
      <c r="C228" s="337" t="str">
        <f>wld_az2_host14_fqdn</f>
        <v>Value Missing</v>
      </c>
      <c r="D228" s="337" t="str">
        <f>wld_az2_host14_hostname</f>
        <v>Value Missing</v>
      </c>
      <c r="E228" s="337" t="str">
        <f>wld_az2_host14_mgmt_ip</f>
        <v>Value Missing</v>
      </c>
    </row>
    <row r="229" spans="2:5" ht="20.100000000000001" customHeight="1" x14ac:dyDescent="0.2">
      <c r="B229" s="4" t="s">
        <v>700</v>
      </c>
      <c r="C229" s="337" t="str">
        <f>wld_az2_host15_fqdn</f>
        <v>Value Missing</v>
      </c>
      <c r="D229" s="337" t="str">
        <f>wld_az2_host15_hostname</f>
        <v>Value Missing</v>
      </c>
      <c r="E229" s="337" t="str">
        <f>wld_az2_host15_mgmt_ip</f>
        <v>Value Missing</v>
      </c>
    </row>
    <row r="230" spans="2:5" ht="20.100000000000001" customHeight="1" x14ac:dyDescent="0.2">
      <c r="B230" s="4" t="s">
        <v>701</v>
      </c>
      <c r="C230" s="337" t="str">
        <f>wld_az2_host16_fqdn</f>
        <v>Value Missing</v>
      </c>
      <c r="D230" s="337" t="str">
        <f>wld_az2_host16_hostname</f>
        <v>Value Missing</v>
      </c>
      <c r="E230" s="337" t="str">
        <f>wld_az2_host16_mgmt_ip</f>
        <v>Value Missing</v>
      </c>
    </row>
  </sheetData>
  <sheetProtection algorithmName="SHA-512" hashValue="7c1KLwlzuthRaH0GSI3Z6ZGzjgzNgHZ5n4CeeKnkoFzDYdU4aHstbEUyx1ZPELvPzMoOK2dsaiUiLfLbCFKmjg==" saltValue="uT6s1LweScKBdPFJaeWB1w==" spinCount="100000" sheet="1" objects="1" scenarios="1"/>
  <mergeCells count="30">
    <mergeCell ref="B64:H64"/>
    <mergeCell ref="B111:H111"/>
    <mergeCell ref="B110:H110"/>
    <mergeCell ref="B212:H212"/>
    <mergeCell ref="B83:H83"/>
    <mergeCell ref="B130:H130"/>
    <mergeCell ref="B182:H182"/>
    <mergeCell ref="B213:H213"/>
    <mergeCell ref="B202:H202"/>
    <mergeCell ref="B84:E84"/>
    <mergeCell ref="B183:H183"/>
    <mergeCell ref="B157:H157"/>
    <mergeCell ref="B158:H158"/>
    <mergeCell ref="B172:H172"/>
    <mergeCell ref="B146:H146"/>
    <mergeCell ref="B147:H147"/>
    <mergeCell ref="B171:H171"/>
    <mergeCell ref="B132:H132"/>
    <mergeCell ref="B133:H133"/>
    <mergeCell ref="B8:H8"/>
    <mergeCell ref="B9:H9"/>
    <mergeCell ref="B22:H22"/>
    <mergeCell ref="B23:H23"/>
    <mergeCell ref="B47:H47"/>
    <mergeCell ref="B58:H58"/>
    <mergeCell ref="B59:H59"/>
    <mergeCell ref="B63:H63"/>
    <mergeCell ref="B33:H33"/>
    <mergeCell ref="B34:H34"/>
    <mergeCell ref="B48:H48"/>
  </mergeCells>
  <phoneticPr fontId="9" type="noConversion"/>
  <conditionalFormatting sqref="C25:C31">
    <cfRule type="expression" dxfId="2275" priority="31">
      <formula>mgmt_vns_chosen&lt;&gt;"Centralized Connectivity"</formula>
    </cfRule>
    <cfRule type="expression" dxfId="2274" priority="32">
      <formula>OR((mgmt_domain_result="Excluded"),(mgmt_vns_result="Excluded"))</formula>
    </cfRule>
    <cfRule type="containsBlanks" dxfId="2273" priority="34">
      <formula>LEN(TRIM(C25))=0</formula>
    </cfRule>
    <cfRule type="notContainsBlanks" dxfId="2272" priority="35">
      <formula>LEN(TRIM(C25))&gt;0</formula>
    </cfRule>
  </conditionalFormatting>
  <conditionalFormatting sqref="C50:C56">
    <cfRule type="notContainsBlanks" dxfId="2271" priority="24">
      <formula>LEN(TRIM(C50))&gt;0</formula>
    </cfRule>
  </conditionalFormatting>
  <conditionalFormatting sqref="C149:C155">
    <cfRule type="notContainsBlanks" dxfId="2270" priority="6">
      <formula>LEN(TRIM(C149))&gt;0</formula>
    </cfRule>
  </conditionalFormatting>
  <conditionalFormatting sqref="C174:C180">
    <cfRule type="notContainsBlanks" dxfId="2269" priority="3">
      <formula>LEN(TRIM(C174))&gt;0</formula>
    </cfRule>
  </conditionalFormatting>
  <conditionalFormatting sqref="C86:E108 C204:E210">
    <cfRule type="notContainsBlanks" dxfId="2268" priority="81">
      <formula>LEN(TRIM(C86))&gt;0</formula>
    </cfRule>
    <cfRule type="containsBlanks" dxfId="2267" priority="82">
      <formula>LEN(TRIM(C86))=0</formula>
    </cfRule>
  </conditionalFormatting>
  <conditionalFormatting sqref="C11:H20 C36:H45 C135:H144 C160:H169">
    <cfRule type="notContainsBlanks" dxfId="2266" priority="110">
      <formula>LEN(TRIM(C11))&gt;0</formula>
    </cfRule>
    <cfRule type="containsBlanks" dxfId="2265" priority="111">
      <formula>LEN(TRIM(C11))=0</formula>
    </cfRule>
  </conditionalFormatting>
  <conditionalFormatting sqref="C61:H61">
    <cfRule type="notContainsBlanks" dxfId="2264" priority="10">
      <formula>LEN(TRIM(C61))&gt;0</formula>
    </cfRule>
    <cfRule type="containsBlanks" dxfId="2263" priority="11">
      <formula>LEN(TRIM(C61))=0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1" operator="containsText" id="{96C1964B-0A08-E14E-BBC1-015CF0F93365}">
            <xm:f>NOT(ISERROR(SEARCH("Not Required",C174)))</xm:f>
            <xm:f>"Not Required"</xm:f>
            <x14:dxf>
              <font>
                <color theme="0"/>
              </font>
              <fill>
                <patternFill>
                  <bgColor rgb="FF505F69"/>
                </patternFill>
              </fill>
            </x14:dxf>
          </x14:cfRule>
          <x14:cfRule type="containsText" priority="2" stopIfTrue="1" operator="containsText" id="{6941E7B2-F462-124A-B17C-D1DC29906903}">
            <xm:f>NOT(ISERROR(SEARCH("Value Missing",C174)))</xm:f>
            <xm:f>"Value Missing"</xm:f>
            <x14:dxf>
              <font>
                <color theme="1"/>
              </font>
              <fill>
                <patternFill>
                  <bgColor rgb="FFFFBE2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notContainsText" priority="51" operator="notContains" id="{0E8FF85A-7A70-9B48-94F8-88A51242BDBB}">
            <xm:f>ISERROR(SEARCH("Value Missing",C185))</xm:f>
            <xm:f>"Value Missing"</xm:f>
            <x14:dxf>
              <font>
                <color theme="1"/>
              </font>
              <fill>
                <patternFill>
                  <bgColor rgb="FFEFFDE3"/>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containsText" priority="49" operator="containsText" id="{16B6C646-FEC4-F545-847B-ADB830B00EF3}">
            <xm:f>NOT(ISERROR(SEARCH("Value Missing",C185)))</xm:f>
            <xm:f>"Value Missing"</xm:f>
            <x14:dxf>
              <font>
                <color theme="1"/>
              </font>
              <fill>
                <patternFill>
                  <bgColor rgb="FFFFBD29"/>
                </patternFill>
              </fill>
            </x14:dxf>
          </x14:cfRule>
          <xm:sqref>C185:E200</xm:sqref>
        </x14:conditionalFormatting>
        <x14:conditionalFormatting xmlns:xm="http://schemas.microsoft.com/office/excel/2006/main">
          <x14:cfRule type="containsText" priority="40" operator="containsText" id="{90B129F5-3CE9-3E4E-9765-4AAF9F9B34C8}">
            <xm:f>NOT(ISERROR(SEARCH("Value Missing",C215)))</xm:f>
            <xm:f>"Value Missing"</xm:f>
            <x14:dxf>
              <font>
                <color theme="1"/>
              </font>
              <fill>
                <patternFill>
                  <bgColor rgb="FFFFBD29"/>
                </patternFill>
              </fill>
            </x14:dxf>
          </x14:cfRule>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8"/>
  <sheetViews>
    <sheetView showGridLines="0" workbookViewId="0">
      <pane ySplit="4" topLeftCell="A5" activePane="bottomLeft" state="frozen"/>
      <selection pane="bottomLeft" activeCell="D28" sqref="D28"/>
    </sheetView>
  </sheetViews>
  <sheetFormatPr defaultColWidth="11" defaultRowHeight="15.75" x14ac:dyDescent="0.25"/>
  <cols>
    <col min="1" max="1" width="2.875" customWidth="1"/>
    <col min="2" max="2" width="14.125" customWidth="1"/>
    <col min="3" max="3" width="19.375" customWidth="1"/>
    <col min="4" max="4" width="75.875" customWidth="1"/>
    <col min="5" max="5" width="151.875" customWidth="1"/>
  </cols>
  <sheetData>
    <row r="1" spans="1:6" x14ac:dyDescent="0.25">
      <c r="A1" s="120"/>
      <c r="B1" s="120"/>
      <c r="C1" s="120"/>
      <c r="D1" s="120"/>
      <c r="E1" s="120"/>
      <c r="F1" s="120"/>
    </row>
    <row r="2" spans="1:6" ht="54" customHeight="1" x14ac:dyDescent="0.25">
      <c r="A2" s="248"/>
      <c r="B2" s="635" t="s">
        <v>3629</v>
      </c>
      <c r="C2" s="636"/>
      <c r="D2" s="636"/>
      <c r="E2" s="637"/>
      <c r="F2" s="120"/>
    </row>
    <row r="3" spans="1:6" x14ac:dyDescent="0.25">
      <c r="A3" s="249"/>
      <c r="B3" s="417" t="s">
        <v>502</v>
      </c>
      <c r="C3" s="418"/>
      <c r="D3" s="418"/>
      <c r="E3" s="631"/>
      <c r="F3" s="250"/>
    </row>
    <row r="4" spans="1:6" x14ac:dyDescent="0.25">
      <c r="A4" s="120"/>
      <c r="B4" s="120"/>
      <c r="C4" s="120"/>
      <c r="D4" s="120"/>
      <c r="E4" s="120"/>
      <c r="F4" s="120"/>
    </row>
    <row r="6" spans="1:6" ht="33.950000000000003" customHeight="1" x14ac:dyDescent="0.25">
      <c r="B6" s="408" t="s">
        <v>3681</v>
      </c>
      <c r="C6" s="409"/>
      <c r="D6" s="409"/>
      <c r="E6" s="410"/>
    </row>
    <row r="7" spans="1:6" ht="20.100000000000001" customHeight="1" x14ac:dyDescent="0.25">
      <c r="B7" s="353" t="s">
        <v>121</v>
      </c>
      <c r="C7" s="354" t="s">
        <v>3682</v>
      </c>
      <c r="D7" s="415" t="s">
        <v>3683</v>
      </c>
      <c r="E7" s="416"/>
    </row>
    <row r="8" spans="1:6" ht="102.95" customHeight="1" x14ac:dyDescent="0.25">
      <c r="B8" s="99" t="s">
        <v>3684</v>
      </c>
      <c r="C8" s="99" t="s">
        <v>4024</v>
      </c>
      <c r="D8" s="645" t="s">
        <v>3685</v>
      </c>
      <c r="E8" s="640"/>
    </row>
    <row r="9" spans="1:6" ht="102.95" customHeight="1" x14ac:dyDescent="0.25">
      <c r="B9" s="99" t="s">
        <v>3686</v>
      </c>
      <c r="C9" s="99" t="s">
        <v>3687</v>
      </c>
      <c r="D9" s="645" t="s">
        <v>3688</v>
      </c>
      <c r="E9" s="640"/>
    </row>
    <row r="10" spans="1:6" ht="24.95" customHeight="1" x14ac:dyDescent="0.25">
      <c r="B10" s="99" t="s">
        <v>3689</v>
      </c>
      <c r="C10" s="99" t="s">
        <v>3690</v>
      </c>
      <c r="D10" s="645" t="s">
        <v>3691</v>
      </c>
      <c r="E10" s="640"/>
    </row>
    <row r="11" spans="1:6" ht="20.100000000000001" customHeight="1" x14ac:dyDescent="0.25">
      <c r="B11" s="99" t="s">
        <v>3692</v>
      </c>
      <c r="C11" s="99" t="s">
        <v>3690</v>
      </c>
      <c r="D11" s="645" t="s">
        <v>3693</v>
      </c>
      <c r="E11" s="640"/>
    </row>
    <row r="12" spans="1:6" ht="68.099999999999994" customHeight="1" x14ac:dyDescent="0.25">
      <c r="B12" s="99" t="s">
        <v>3694</v>
      </c>
      <c r="C12" s="99" t="s">
        <v>3695</v>
      </c>
      <c r="D12" s="645" t="s">
        <v>3696</v>
      </c>
      <c r="E12" s="640"/>
    </row>
    <row r="13" spans="1:6" ht="81" customHeight="1" x14ac:dyDescent="0.25">
      <c r="B13" s="99" t="s">
        <v>3697</v>
      </c>
      <c r="C13" s="99" t="s">
        <v>3698</v>
      </c>
      <c r="D13" s="643" t="s">
        <v>3699</v>
      </c>
      <c r="E13" s="644"/>
    </row>
    <row r="14" spans="1:6" ht="20.100000000000001" customHeight="1" x14ac:dyDescent="0.25">
      <c r="B14" s="99" t="s">
        <v>3700</v>
      </c>
      <c r="C14" s="99" t="s">
        <v>3701</v>
      </c>
      <c r="D14" s="639" t="s">
        <v>3702</v>
      </c>
      <c r="E14" s="640"/>
    </row>
    <row r="16" spans="1:6" ht="33.950000000000003" customHeight="1" x14ac:dyDescent="0.25">
      <c r="B16" s="408" t="s">
        <v>5</v>
      </c>
      <c r="C16" s="409"/>
      <c r="D16" s="409"/>
      <c r="E16" s="410"/>
    </row>
    <row r="17" spans="2:5" ht="20.100000000000001" customHeight="1" x14ac:dyDescent="0.25">
      <c r="B17" s="414" t="s">
        <v>3703</v>
      </c>
      <c r="C17" s="415"/>
      <c r="D17" s="415"/>
      <c r="E17" s="416"/>
    </row>
    <row r="18" spans="2:5" ht="20.100000000000001" customHeight="1" x14ac:dyDescent="0.25">
      <c r="B18" s="641" t="s">
        <v>3704</v>
      </c>
      <c r="C18" s="642"/>
      <c r="D18" s="642"/>
      <c r="E18" s="640"/>
    </row>
  </sheetData>
  <sheetProtection algorithmName="SHA-512" hashValue="nutXpj6ZNxLadcifxfRf9NIXDjP5EW47jgSPbq1XJmhYJO/g4mn357CYwNNMdM8iG2Q0ysMwujGDtWgfTNul2g==" saltValue="wb7e59tC+IkyLbfuB1JUQw==" spinCount="100000" sheet="1" scenarios="1" selectLockedCells="1" selectUnlockedCells="1"/>
  <mergeCells count="14">
    <mergeCell ref="D14:E14"/>
    <mergeCell ref="B16:E16"/>
    <mergeCell ref="B17:E17"/>
    <mergeCell ref="B18:E18"/>
    <mergeCell ref="B2:E2"/>
    <mergeCell ref="B3:E3"/>
    <mergeCell ref="B6:E6"/>
    <mergeCell ref="D7:E7"/>
    <mergeCell ref="D13:E13"/>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defaultColWidth="11" defaultRowHeight="15" x14ac:dyDescent="0.2"/>
  <cols>
    <col min="1" max="1" width="2.875" style="19" customWidth="1"/>
    <col min="2" max="2" width="63.875" style="19" customWidth="1"/>
    <col min="3" max="4" width="80.875" style="19" customWidth="1"/>
    <col min="5" max="5" width="60.875" style="19" customWidth="1"/>
    <col min="6" max="6" width="2.875" style="19" customWidth="1"/>
    <col min="7" max="11" width="11" style="19" customWidth="1"/>
    <col min="12" max="16384" width="11" style="19"/>
  </cols>
  <sheetData>
    <row r="1" spans="1:6" s="7" customFormat="1" ht="15.95" customHeight="1" x14ac:dyDescent="0.25">
      <c r="A1" s="39"/>
    </row>
    <row r="2" spans="1:6" s="7" customFormat="1" ht="54" customHeight="1" x14ac:dyDescent="0.25">
      <c r="B2" s="646" t="s">
        <v>3705</v>
      </c>
      <c r="C2" s="647"/>
      <c r="D2" s="647"/>
      <c r="E2" s="648"/>
    </row>
    <row r="3" spans="1:6" s="7" customFormat="1" ht="20.100000000000001" customHeight="1" x14ac:dyDescent="0.25">
      <c r="B3" s="628" t="s">
        <v>3706</v>
      </c>
      <c r="C3" s="629"/>
      <c r="D3" s="629"/>
      <c r="E3" s="630"/>
    </row>
    <row r="5" spans="1:6" s="7" customFormat="1" x14ac:dyDescent="0.25">
      <c r="D5" s="212"/>
      <c r="E5" s="40"/>
      <c r="F5" s="40"/>
    </row>
    <row r="7" spans="1:6" s="2" customFormat="1" ht="33.950000000000003" customHeight="1" x14ac:dyDescent="0.25">
      <c r="B7" s="505" t="s">
        <v>3707</v>
      </c>
      <c r="C7" s="506"/>
      <c r="D7" s="506"/>
      <c r="E7" s="507"/>
    </row>
    <row r="8" spans="1:6" s="2" customFormat="1" ht="20.100000000000001" customHeight="1" x14ac:dyDescent="0.25">
      <c r="B8" s="336" t="s">
        <v>259</v>
      </c>
      <c r="C8" s="336" t="s">
        <v>711</v>
      </c>
      <c r="D8" s="184" t="s">
        <v>277</v>
      </c>
      <c r="E8" s="336" t="s">
        <v>5</v>
      </c>
    </row>
    <row r="9" spans="1:6" s="2" customFormat="1" ht="20.100000000000001" customHeight="1" x14ac:dyDescent="0.25">
      <c r="B9" s="4" t="s">
        <v>2181</v>
      </c>
      <c r="C9" s="362" t="s">
        <v>3708</v>
      </c>
      <c r="D9" s="347"/>
      <c r="E9" s="337"/>
    </row>
    <row r="10" spans="1:6" s="2" customFormat="1" ht="20.100000000000001" customHeight="1" x14ac:dyDescent="0.25">
      <c r="B10" s="4" t="s">
        <v>2184</v>
      </c>
      <c r="E10" s="337"/>
    </row>
    <row r="11" spans="1:6" s="2" customFormat="1" ht="20.100000000000001" customHeight="1" x14ac:dyDescent="0.25">
      <c r="B11" s="4" t="s">
        <v>2189</v>
      </c>
      <c r="E11" s="337"/>
    </row>
    <row r="12" spans="1:6" s="2" customFormat="1" ht="20.100000000000001" customHeight="1" x14ac:dyDescent="0.25">
      <c r="B12" s="4" t="s">
        <v>2193</v>
      </c>
      <c r="E12" s="337"/>
    </row>
    <row r="13" spans="1:6" s="2" customFormat="1" ht="20.100000000000001" customHeight="1" x14ac:dyDescent="0.25">
      <c r="B13" s="614" t="s">
        <v>3709</v>
      </c>
      <c r="C13" s="615"/>
      <c r="D13" s="615"/>
      <c r="E13" s="616"/>
    </row>
    <row r="14" spans="1:6" s="2" customFormat="1" ht="20.100000000000001" customHeight="1" x14ac:dyDescent="0.25">
      <c r="B14" s="166" t="s">
        <v>259</v>
      </c>
      <c r="C14" s="166" t="s">
        <v>711</v>
      </c>
      <c r="D14" s="167" t="s">
        <v>277</v>
      </c>
      <c r="E14" s="166" t="s">
        <v>5</v>
      </c>
    </row>
    <row r="15" spans="1:6" s="2" customFormat="1" ht="20.100000000000001" customHeight="1" x14ac:dyDescent="0.25">
      <c r="B15" s="4" t="s">
        <v>2366</v>
      </c>
      <c r="C15" s="126" t="str">
        <f>CONCATENATE(this_instance,"-w0",wld_domain_number_chosen,"-ns01")</f>
        <v>sfo-w01-ns01</v>
      </c>
      <c r="D15" s="347"/>
      <c r="E15" s="337"/>
    </row>
    <row r="16" spans="1:6" s="2" customFormat="1" ht="20.100000000000001" customHeight="1" x14ac:dyDescent="0.25">
      <c r="B16" s="4" t="s">
        <v>3710</v>
      </c>
      <c r="E16" s="337"/>
    </row>
    <row r="17" spans="2:5" s="2" customFormat="1" ht="33.950000000000003" customHeight="1" x14ac:dyDescent="0.25">
      <c r="B17" s="505" t="s">
        <v>3711</v>
      </c>
      <c r="C17" s="506"/>
      <c r="D17" s="506"/>
      <c r="E17" s="507"/>
    </row>
    <row r="18" spans="2:5" s="2" customFormat="1" ht="20.100000000000001" customHeight="1" x14ac:dyDescent="0.25">
      <c r="B18" s="336" t="s">
        <v>259</v>
      </c>
      <c r="C18" s="336" t="s">
        <v>711</v>
      </c>
      <c r="D18" s="184" t="s">
        <v>277</v>
      </c>
      <c r="E18" s="336" t="s">
        <v>5</v>
      </c>
    </row>
    <row r="19" spans="2:5" s="2" customFormat="1" ht="20.100000000000001" customHeight="1" x14ac:dyDescent="0.25">
      <c r="B19" s="4" t="s">
        <v>3712</v>
      </c>
      <c r="C19" s="126" t="str">
        <f>CONCATENATE(this_instance,"-",workload_descriptor,"-seg01-tanzu")</f>
        <v>sfo-w01-seg01-tanzu</v>
      </c>
      <c r="D19" s="347"/>
      <c r="E19" s="337"/>
    </row>
    <row r="20" spans="2:5" s="2" customFormat="1" ht="20.100000000000001" customHeight="1" x14ac:dyDescent="0.25">
      <c r="B20" s="4" t="s">
        <v>2060</v>
      </c>
      <c r="C20" s="126" t="str">
        <f>IF(mgmt_consolidated_result="Included",CONCATENATE(sample_mgmt_tier0_name,"-prefixlist"),CONCATENATE(sample_wld_tier0_name,"-prefixlist"))</f>
        <v>sfo-w01-ec01-t0-gw01-prefixlist</v>
      </c>
      <c r="D20" s="347"/>
      <c r="E20" s="337"/>
    </row>
    <row r="21" spans="2:5" s="2" customFormat="1" ht="20.100000000000001" customHeight="1" x14ac:dyDescent="0.25">
      <c r="B21" s="4" t="s">
        <v>2066</v>
      </c>
      <c r="C21" s="126" t="str">
        <f>IF(mgmt_consolidated_result="Included",CONCATENATE(sample_mgmt_tier0_name,"-routemap"),CONCATENATE(sample_wld_tier0_name,"-routemap"))</f>
        <v>sfo-w01-ec01-t0-gw01-routemap</v>
      </c>
      <c r="D21" s="347"/>
      <c r="E21" s="337"/>
    </row>
    <row r="22" spans="2:5" s="2" customFormat="1" ht="20.100000000000001" customHeight="1" x14ac:dyDescent="0.25">
      <c r="B22" s="4" t="s">
        <v>2086</v>
      </c>
      <c r="C22" s="126" t="s">
        <v>3713</v>
      </c>
      <c r="D22" s="347"/>
      <c r="E22" s="337"/>
    </row>
    <row r="23" spans="2:5" s="2" customFormat="1" ht="20.100000000000001" customHeight="1" x14ac:dyDescent="0.25">
      <c r="B23" s="4" t="s">
        <v>2090</v>
      </c>
      <c r="C23" s="126" t="s">
        <v>3714</v>
      </c>
      <c r="D23" s="347"/>
      <c r="E23" s="337"/>
    </row>
    <row r="24" spans="2:5" s="2" customFormat="1" ht="20.100000000000001" customHeight="1" x14ac:dyDescent="0.25">
      <c r="B24" s="4" t="s">
        <v>2094</v>
      </c>
      <c r="C24" s="142"/>
      <c r="E24" s="337"/>
    </row>
    <row r="25" spans="2:5" s="2" customFormat="1" ht="20.100000000000001" customHeight="1" x14ac:dyDescent="0.25">
      <c r="B25" s="4" t="s">
        <v>2100</v>
      </c>
      <c r="C25" s="142"/>
      <c r="E25" s="337"/>
    </row>
    <row r="26" spans="2:5" s="2" customFormat="1" ht="20.100000000000001" customHeight="1" x14ac:dyDescent="0.25">
      <c r="B26" s="4" t="s">
        <v>3715</v>
      </c>
      <c r="C26" s="126" t="s">
        <v>3716</v>
      </c>
      <c r="D26" s="347"/>
      <c r="E26" s="337"/>
    </row>
    <row r="27" spans="2:5" s="2" customFormat="1" ht="20.100000000000001" customHeight="1" x14ac:dyDescent="0.25">
      <c r="B27" s="4" t="s">
        <v>3717</v>
      </c>
      <c r="C27" s="126" t="s">
        <v>3718</v>
      </c>
      <c r="D27" s="347"/>
      <c r="E27" s="337"/>
    </row>
    <row r="28" spans="2:5" s="2" customFormat="1" ht="20.100000000000001" customHeight="1" x14ac:dyDescent="0.25">
      <c r="B28" s="6"/>
    </row>
    <row r="29" spans="2:5" s="2" customFormat="1" ht="20.100000000000001" customHeight="1" x14ac:dyDescent="0.25">
      <c r="B29" s="6"/>
    </row>
    <row r="30" spans="2:5" s="2" customFormat="1" ht="20.100000000000001" customHeight="1" x14ac:dyDescent="0.25">
      <c r="B30" s="6"/>
    </row>
    <row r="31" spans="2:5" s="2" customFormat="1" ht="20.100000000000001" customHeight="1" x14ac:dyDescent="0.25">
      <c r="B31" s="6"/>
    </row>
    <row r="32" spans="2:5" ht="15.95" customHeight="1" x14ac:dyDescent="0.2"/>
    <row r="33" spans="2:5" ht="33.950000000000003" customHeight="1" x14ac:dyDescent="0.2">
      <c r="B33" s="505" t="s">
        <v>3719</v>
      </c>
      <c r="C33" s="506"/>
      <c r="D33" s="506"/>
      <c r="E33" s="507"/>
    </row>
    <row r="34" spans="2:5" ht="20.100000000000001" customHeight="1" x14ac:dyDescent="0.2">
      <c r="B34" s="336" t="s">
        <v>259</v>
      </c>
      <c r="C34" s="336" t="s">
        <v>711</v>
      </c>
      <c r="D34" s="184" t="s">
        <v>277</v>
      </c>
      <c r="E34" s="336" t="s">
        <v>5</v>
      </c>
    </row>
    <row r="35" spans="2:5" ht="20.100000000000001" customHeight="1" x14ac:dyDescent="0.2">
      <c r="B35" s="30" t="s">
        <v>815</v>
      </c>
      <c r="C35" s="362" t="str">
        <f>IF(mgmt_consolidated_result="Included",CONCATENATE(sample_mgmt_vc_fqdn),CONCATENATE(sample_wld_vc_fqdn))</f>
        <v>sfo-w01-vc01.sfo.rainpole.io</v>
      </c>
      <c r="D35" s="99" t="str">
        <f>dri_vcenter_fqdn</f>
        <v>Value Missing</v>
      </c>
      <c r="E35" s="204"/>
    </row>
    <row r="36" spans="2:5" ht="15.95" customHeight="1" x14ac:dyDescent="0.2"/>
    <row r="37" spans="2:5" ht="33.950000000000003" customHeight="1" x14ac:dyDescent="0.2">
      <c r="B37" s="505" t="s">
        <v>3720</v>
      </c>
      <c r="C37" s="506"/>
      <c r="D37" s="506"/>
      <c r="E37" s="507"/>
    </row>
    <row r="38" spans="2:5" ht="20.100000000000001" customHeight="1" x14ac:dyDescent="0.2">
      <c r="B38" s="336" t="s">
        <v>259</v>
      </c>
      <c r="C38" s="336" t="s">
        <v>711</v>
      </c>
      <c r="D38" s="184" t="s">
        <v>277</v>
      </c>
      <c r="E38" s="336" t="s">
        <v>5</v>
      </c>
    </row>
    <row r="39" spans="2:5" ht="20.100000000000001" customHeight="1" x14ac:dyDescent="0.2">
      <c r="B39" s="30" t="s">
        <v>815</v>
      </c>
      <c r="C39" s="362" t="str">
        <f>IF(mgmt_consolidated_result="Included",CONCATENATE(sample_mgmt_vc_fqdn),CONCATENATE(sample_wld_vc_fqdn))</f>
        <v>sfo-w01-vc01.sfo.rainpole.io</v>
      </c>
      <c r="D39" s="99" t="str">
        <f>dri_vcenter_fqdn</f>
        <v>Value Missing</v>
      </c>
      <c r="E39" s="204"/>
    </row>
    <row r="40" spans="2:5" ht="20.100000000000001" customHeight="1" x14ac:dyDescent="0.2">
      <c r="B40" s="30" t="s">
        <v>3721</v>
      </c>
      <c r="C40" s="362" t="str">
        <f>sample_sddc_mgr_fqdn</f>
        <v>sfo-vcf01.sfo.rainpole.io</v>
      </c>
      <c r="D40" s="99" t="str">
        <f>sddc_mgr_fqdn</f>
        <v>labvcfsddc01v.vcf.lab.local</v>
      </c>
      <c r="E40" s="204"/>
    </row>
    <row r="41" spans="2:5" ht="15.95" customHeight="1" x14ac:dyDescent="0.2"/>
    <row r="42" spans="2:5" ht="33.950000000000003" customHeight="1" x14ac:dyDescent="0.2">
      <c r="B42" s="505" t="s">
        <v>3722</v>
      </c>
      <c r="C42" s="506"/>
      <c r="D42" s="506"/>
      <c r="E42" s="507"/>
    </row>
    <row r="43" spans="2:5" ht="20.100000000000001" customHeight="1" x14ac:dyDescent="0.2">
      <c r="B43" s="336" t="s">
        <v>259</v>
      </c>
      <c r="C43" s="336" t="s">
        <v>711</v>
      </c>
      <c r="D43" s="184" t="s">
        <v>277</v>
      </c>
      <c r="E43" s="336" t="s">
        <v>5</v>
      </c>
    </row>
    <row r="44" spans="2:5" ht="20.100000000000001" customHeight="1" x14ac:dyDescent="0.2">
      <c r="B44" s="30" t="s">
        <v>815</v>
      </c>
      <c r="C44" s="362" t="str">
        <f>IF(mgmt_consolidated_result="Included",CONCATENATE(sample_mgmt_vc_fqdn),CONCATENATE(sample_wld_vc_fqdn))</f>
        <v>sfo-w01-vc01.sfo.rainpole.io</v>
      </c>
      <c r="D44" s="99" t="str">
        <f>dri_vcenter_fqdn</f>
        <v>Value Missing</v>
      </c>
      <c r="E44" s="204"/>
    </row>
    <row r="45" spans="2:5" ht="20.100000000000001" customHeight="1" x14ac:dyDescent="0.2">
      <c r="B45" s="213" t="s">
        <v>1165</v>
      </c>
      <c r="C45" s="362" t="str">
        <f>IF(mgmt_consolidated_result="Included",sample_mgmt_cl01_cluster,sample_mgmt_cl01_cluster)</f>
        <v>sfo-m01-cl01</v>
      </c>
      <c r="D45" s="99" t="str">
        <f>dri_vcenter_cluster</f>
        <v>Value Missing</v>
      </c>
      <c r="E45" s="204"/>
    </row>
    <row r="46" spans="2:5" ht="15.95" customHeight="1" x14ac:dyDescent="0.2">
      <c r="B46" s="213" t="s">
        <v>259</v>
      </c>
      <c r="C46" s="126" t="str">
        <f>CONCATENATE(this_instance,"-w0",wld_domain_number_chosen,"-tkc01")</f>
        <v>sfo-w01-tkc01</v>
      </c>
      <c r="D46" s="347"/>
      <c r="E46" s="204"/>
    </row>
    <row r="47" spans="2:5" ht="20.100000000000001" customHeight="1" x14ac:dyDescent="0.2">
      <c r="B47" s="213" t="s">
        <v>2406</v>
      </c>
      <c r="C47" s="126" t="s">
        <v>3723</v>
      </c>
      <c r="D47" s="347"/>
      <c r="E47" s="204"/>
    </row>
    <row r="48" spans="2:5" ht="15.95" customHeight="1" x14ac:dyDescent="0.2"/>
    <row r="49" spans="2:5" ht="33.950000000000003" customHeight="1" x14ac:dyDescent="0.2">
      <c r="B49" s="505" t="s">
        <v>3724</v>
      </c>
      <c r="C49" s="506"/>
      <c r="D49" s="506"/>
      <c r="E49" s="507"/>
    </row>
    <row r="50" spans="2:5" ht="20.100000000000001" customHeight="1" x14ac:dyDescent="0.2">
      <c r="B50" s="336" t="s">
        <v>259</v>
      </c>
      <c r="C50" s="336" t="s">
        <v>711</v>
      </c>
      <c r="D50" s="184" t="s">
        <v>277</v>
      </c>
      <c r="E50" s="336" t="s">
        <v>5</v>
      </c>
    </row>
    <row r="51" spans="2:5" ht="20.100000000000001" customHeight="1" x14ac:dyDescent="0.2">
      <c r="B51" s="30" t="s">
        <v>815</v>
      </c>
      <c r="C51" s="362" t="str">
        <f>IF(mgmt_consolidated_result="Included",CONCATENATE(sample_mgmt_vc_fqdn),CONCATENATE(sample_wld_vc_fqdn))</f>
        <v>sfo-w01-vc01.sfo.rainpole.io</v>
      </c>
      <c r="D51" s="99" t="str">
        <f>dri_vcenter_fqdn</f>
        <v>Value Missing</v>
      </c>
      <c r="E51" s="204"/>
    </row>
    <row r="52" spans="2:5" ht="20.100000000000001" customHeight="1" x14ac:dyDescent="0.2">
      <c r="B52" s="213" t="s">
        <v>3725</v>
      </c>
      <c r="C52" s="362" t="str">
        <f>sample_k8s_cluster_name</f>
        <v>sfo-w01-tkc01</v>
      </c>
      <c r="D52" s="99"/>
      <c r="E52" s="204"/>
    </row>
    <row r="53" spans="2:5" ht="20.100000000000001" customHeight="1" x14ac:dyDescent="0.2">
      <c r="B53" s="213" t="s">
        <v>3726</v>
      </c>
      <c r="C53" s="362" t="str">
        <f>sample_gg_kub_admins_group</f>
        <v>gg-kub-admins</v>
      </c>
      <c r="D53" s="99" t="str">
        <f>group_gg_kub_admins</f>
        <v>Value Missing</v>
      </c>
      <c r="E53" s="204"/>
    </row>
    <row r="54" spans="2:5" ht="20.100000000000001" customHeight="1" x14ac:dyDescent="0.2">
      <c r="B54" s="213" t="s">
        <v>3727</v>
      </c>
      <c r="C54" s="362" t="str">
        <f>sample_gg_kub_readonly_group</f>
        <v>gg-kub-readonly</v>
      </c>
      <c r="D54" s="99" t="str">
        <f>group_gg_kub_readonly</f>
        <v>Value Missing</v>
      </c>
      <c r="E54" s="204"/>
    </row>
    <row r="55" spans="2:5" ht="15.95" customHeight="1" x14ac:dyDescent="0.2"/>
    <row r="56" spans="2:5" ht="33.950000000000003" customHeight="1" x14ac:dyDescent="0.2">
      <c r="B56" s="505" t="s">
        <v>3728</v>
      </c>
      <c r="C56" s="506"/>
      <c r="D56" s="506"/>
      <c r="E56" s="507"/>
    </row>
    <row r="57" spans="2:5" ht="20.100000000000001" customHeight="1" x14ac:dyDescent="0.2">
      <c r="B57" s="336" t="s">
        <v>259</v>
      </c>
      <c r="C57" s="336" t="s">
        <v>711</v>
      </c>
      <c r="D57" s="184" t="s">
        <v>277</v>
      </c>
      <c r="E57" s="336" t="s">
        <v>5</v>
      </c>
    </row>
    <row r="58" spans="2:5" ht="20.100000000000001" customHeight="1" x14ac:dyDescent="0.2">
      <c r="B58" s="30" t="s">
        <v>815</v>
      </c>
      <c r="C58" s="362" t="str">
        <f>IF(mgmt_consolidated_result="Included",CONCATENATE(sample_mgmt_vc_fqdn),CONCATENATE(sample_wld_vc_fqdn))</f>
        <v>sfo-w01-vc01.sfo.rainpole.io</v>
      </c>
      <c r="D58" s="99" t="str">
        <f>dri_vcenter_fqdn</f>
        <v>Value Missing</v>
      </c>
      <c r="E58" s="204"/>
    </row>
    <row r="59" spans="2:5" ht="20.100000000000001" customHeight="1" x14ac:dyDescent="0.2">
      <c r="B59" s="213" t="s">
        <v>2184</v>
      </c>
      <c r="C59" s="362" t="s">
        <v>3729</v>
      </c>
      <c r="D59" s="347"/>
      <c r="E59" s="204"/>
    </row>
    <row r="60" spans="2:5" ht="20.100000000000001" customHeight="1" x14ac:dyDescent="0.2">
      <c r="B60" s="213" t="s">
        <v>3730</v>
      </c>
      <c r="C60" s="362">
        <v>16</v>
      </c>
      <c r="D60" s="99">
        <f>C60</f>
        <v>16</v>
      </c>
      <c r="E60" s="204"/>
    </row>
    <row r="61" spans="2:5" ht="20.100000000000001" customHeight="1" x14ac:dyDescent="0.2">
      <c r="B61" s="213" t="s">
        <v>3731</v>
      </c>
      <c r="C61" s="362">
        <v>64</v>
      </c>
      <c r="D61" s="99">
        <f>C61</f>
        <v>64</v>
      </c>
      <c r="E61" s="204"/>
    </row>
    <row r="62" spans="2:5" ht="15.95" customHeight="1" x14ac:dyDescent="0.2"/>
    <row r="63" spans="2:5" ht="33.950000000000003" customHeight="1" x14ac:dyDescent="0.2">
      <c r="B63" s="649" t="s">
        <v>3732</v>
      </c>
      <c r="C63" s="650"/>
      <c r="D63" s="650"/>
      <c r="E63" s="651"/>
    </row>
    <row r="64" spans="2:5" ht="20.100000000000001" customHeight="1" x14ac:dyDescent="0.2">
      <c r="B64" s="336" t="s">
        <v>259</v>
      </c>
      <c r="C64" s="336" t="s">
        <v>711</v>
      </c>
      <c r="D64" s="184" t="s">
        <v>277</v>
      </c>
      <c r="E64" s="336" t="s">
        <v>5</v>
      </c>
    </row>
    <row r="65" spans="2:5" ht="20.100000000000001" customHeight="1" x14ac:dyDescent="0.2">
      <c r="B65" s="30" t="s">
        <v>3733</v>
      </c>
      <c r="C65" s="362" t="str">
        <f>CONCATENATE(prefix_wld_k8s_cidr,1+(wld_domain_number_chosen -1)*3,".1")</f>
        <v>192.168.21.1</v>
      </c>
      <c r="D65" s="99">
        <f>dri_k8s_server_address</f>
        <v>0</v>
      </c>
      <c r="E65" s="214"/>
    </row>
    <row r="66" spans="2:5" ht="20.100000000000001" customHeight="1" x14ac:dyDescent="0.2">
      <c r="B66" s="30" t="s">
        <v>3725</v>
      </c>
      <c r="C66" s="362" t="str">
        <f>sample_k8s_cluster_name</f>
        <v>sfo-w01-tkc01</v>
      </c>
      <c r="D66" s="99"/>
      <c r="E66" s="204"/>
    </row>
    <row r="67" spans="2:5" ht="20.100000000000001" customHeight="1" x14ac:dyDescent="0.2">
      <c r="B67" s="213" t="s">
        <v>1356</v>
      </c>
      <c r="C67" s="362" t="str">
        <f>sample_k8s_cluster_name</f>
        <v>sfo-w01-tkc01</v>
      </c>
      <c r="D67" s="99"/>
      <c r="E67" s="204"/>
    </row>
    <row r="68" spans="2:5" ht="20.100000000000001" customHeight="1" x14ac:dyDescent="0.2">
      <c r="B68" s="213" t="s">
        <v>3734</v>
      </c>
      <c r="C68" s="362" t="str">
        <f>sample_k8s_cluster_name</f>
        <v>sfo-w01-tkc01</v>
      </c>
      <c r="D68" s="99"/>
      <c r="E68" s="204"/>
    </row>
    <row r="69" spans="2:5" ht="20.100000000000001" customHeight="1" x14ac:dyDescent="0.2">
      <c r="B69" s="213" t="s">
        <v>3735</v>
      </c>
      <c r="C69" s="362" t="str">
        <f>sample_k8s_vcenter_storage_policy</f>
        <v>vsphere-with-tanzu-storage-policy</v>
      </c>
      <c r="D69" s="99" t="str">
        <f>k8s_vcenter_storage_policy</f>
        <v>Value Missing</v>
      </c>
      <c r="E69" s="204"/>
    </row>
    <row r="70" spans="2:5" ht="20.100000000000001" customHeight="1" x14ac:dyDescent="0.2">
      <c r="B70" s="213" t="s">
        <v>3736</v>
      </c>
      <c r="C70" s="362" t="str">
        <f>sample_k8s_vm_class</f>
        <v>guaranteed-small</v>
      </c>
      <c r="D70" s="99" t="str">
        <f>k8s_vm_class</f>
        <v>Value Missing</v>
      </c>
      <c r="E70" s="204"/>
    </row>
    <row r="71" spans="2:5" ht="20.100000000000001" customHeight="1" x14ac:dyDescent="0.2">
      <c r="B71" s="213" t="s">
        <v>3737</v>
      </c>
      <c r="C71" s="362" t="s">
        <v>3738</v>
      </c>
      <c r="D71" s="347"/>
      <c r="E71" s="214"/>
    </row>
    <row r="72" spans="2:5" ht="20.100000000000001" customHeight="1" x14ac:dyDescent="0.2">
      <c r="B72" s="213" t="s">
        <v>3739</v>
      </c>
      <c r="C72" s="362" t="s">
        <v>3740</v>
      </c>
      <c r="D72" s="347"/>
      <c r="E72" s="214"/>
    </row>
    <row r="73" spans="2:5" ht="15.95" customHeight="1" x14ac:dyDescent="0.2"/>
    <row r="74" spans="2:5" ht="33.950000000000003" customHeight="1" x14ac:dyDescent="0.2">
      <c r="B74" s="505" t="s">
        <v>3741</v>
      </c>
      <c r="C74" s="506"/>
      <c r="D74" s="506"/>
      <c r="E74" s="507"/>
    </row>
    <row r="75" spans="2:5" ht="20.100000000000001" customHeight="1" x14ac:dyDescent="0.2">
      <c r="B75" s="336" t="s">
        <v>259</v>
      </c>
      <c r="C75" s="336" t="s">
        <v>711</v>
      </c>
      <c r="D75" s="184" t="s">
        <v>277</v>
      </c>
      <c r="E75" s="336" t="s">
        <v>5</v>
      </c>
    </row>
    <row r="76" spans="2:5" ht="20.100000000000001" customHeight="1" x14ac:dyDescent="0.2">
      <c r="B76" s="30" t="s">
        <v>815</v>
      </c>
      <c r="C76" s="362" t="str">
        <f>IF(mgmt_consolidated_result="Included",CONCATENATE(sample_mgmt_vc_fqdn),CONCATENATE(sample_wld_vc_fqdn))</f>
        <v>sfo-w01-vc01.sfo.rainpole.io</v>
      </c>
      <c r="D76" s="99" t="str">
        <f>dri_vcenter_fqdn</f>
        <v>Value Missing</v>
      </c>
      <c r="E76" s="204"/>
    </row>
    <row r="77" spans="2:5" ht="20.100000000000001" customHeight="1" x14ac:dyDescent="0.2">
      <c r="B77" s="213" t="s">
        <v>2189</v>
      </c>
      <c r="C77" s="362" t="s">
        <v>3742</v>
      </c>
      <c r="D77" s="347"/>
      <c r="E77" s="204"/>
    </row>
    <row r="78" spans="2:5" ht="20.100000000000001" customHeight="1" x14ac:dyDescent="0.2"/>
    <row r="79" spans="2:5" ht="33.950000000000003" customHeight="1" x14ac:dyDescent="0.2">
      <c r="B79" s="505" t="s">
        <v>3743</v>
      </c>
      <c r="C79" s="506"/>
      <c r="D79" s="506"/>
      <c r="E79" s="507"/>
    </row>
    <row r="80" spans="2:5" ht="20.100000000000001" customHeight="1" x14ac:dyDescent="0.2">
      <c r="B80" s="336" t="s">
        <v>259</v>
      </c>
      <c r="C80" s="336" t="s">
        <v>711</v>
      </c>
      <c r="D80" s="184" t="s">
        <v>277</v>
      </c>
      <c r="E80" s="336" t="s">
        <v>5</v>
      </c>
    </row>
    <row r="81" spans="2:5" ht="20.100000000000001" customHeight="1" x14ac:dyDescent="0.2">
      <c r="B81" s="30" t="s">
        <v>815</v>
      </c>
      <c r="C81" s="362" t="str">
        <f>IF(mgmt_consolidated_result="Included",CONCATENATE(sample_mgmt_vc_fqdn),CONCATENATE(sample_wld_vc_fqdn))</f>
        <v>sfo-w01-vc01.sfo.rainpole.io</v>
      </c>
      <c r="D81" s="99" t="str">
        <f>dri_vcenter_fqdn</f>
        <v>Value Missing</v>
      </c>
      <c r="E81" s="204"/>
    </row>
    <row r="82" spans="2:5" ht="20.100000000000001" customHeight="1" x14ac:dyDescent="0.2">
      <c r="B82" s="213" t="s">
        <v>3744</v>
      </c>
      <c r="C82" s="362" t="s">
        <v>3745</v>
      </c>
      <c r="D82" s="347"/>
      <c r="E82" s="204"/>
    </row>
    <row r="83" spans="2:5" ht="15.95" customHeight="1" x14ac:dyDescent="0.2"/>
    <row r="84" spans="2:5" ht="33.950000000000003" customHeight="1" x14ac:dyDescent="0.2">
      <c r="B84" s="505" t="s">
        <v>3746</v>
      </c>
      <c r="C84" s="506"/>
      <c r="D84" s="506"/>
      <c r="E84" s="507"/>
    </row>
    <row r="85" spans="2:5" ht="20.100000000000001" customHeight="1" x14ac:dyDescent="0.2">
      <c r="B85" s="336" t="s">
        <v>259</v>
      </c>
      <c r="C85" s="336" t="s">
        <v>711</v>
      </c>
      <c r="D85" s="184" t="s">
        <v>277</v>
      </c>
      <c r="E85" s="336" t="s">
        <v>5</v>
      </c>
    </row>
    <row r="86" spans="2:5" ht="20.100000000000001" customHeight="1" x14ac:dyDescent="0.2">
      <c r="B86" s="30" t="s">
        <v>3747</v>
      </c>
      <c r="C86" s="362" t="e">
        <f>CONCATENATE(sample_xreg_vrslcm_hostname,".",sample_parent_dns_zone)</f>
        <v>#NAME?</v>
      </c>
      <c r="D86" s="99" t="str">
        <f>xreg_vrslcm_fqdn</f>
        <v>labvcffleetmgmt01v.vcf.lab.local</v>
      </c>
      <c r="E86" s="204"/>
    </row>
    <row r="87" spans="2:5" ht="15.95" customHeight="1" x14ac:dyDescent="0.2"/>
    <row r="88" spans="2:5" ht="33.950000000000003" customHeight="1" x14ac:dyDescent="0.2">
      <c r="B88" s="505" t="s">
        <v>3748</v>
      </c>
      <c r="C88" s="506"/>
      <c r="D88" s="506"/>
      <c r="E88" s="507"/>
    </row>
    <row r="89" spans="2:5" ht="20.100000000000001" customHeight="1" x14ac:dyDescent="0.2">
      <c r="B89" s="336" t="s">
        <v>259</v>
      </c>
      <c r="C89" s="336" t="s">
        <v>711</v>
      </c>
      <c r="D89" s="184" t="s">
        <v>277</v>
      </c>
      <c r="E89" s="336" t="s">
        <v>5</v>
      </c>
    </row>
    <row r="90" spans="2:5" ht="20.100000000000001" customHeight="1" x14ac:dyDescent="0.2">
      <c r="B90" s="30" t="s">
        <v>815</v>
      </c>
      <c r="C90" s="362" t="str">
        <f>IF(mgmt_consolidated_result="Included",CONCATENATE(sample_mgmt_vc_fqdn),CONCATENATE(sample_wld_vc_fqdn))</f>
        <v>sfo-w01-vc01.sfo.rainpole.io</v>
      </c>
      <c r="D90" s="99" t="str">
        <f>dri_vcenter_fqdn</f>
        <v>Value Missing</v>
      </c>
      <c r="E90" s="204"/>
    </row>
    <row r="91" spans="2:5" ht="15.95" customHeight="1" x14ac:dyDescent="0.2"/>
    <row r="92" spans="2:5" ht="33.950000000000003" customHeight="1" x14ac:dyDescent="0.2">
      <c r="B92" s="505" t="s">
        <v>3749</v>
      </c>
      <c r="C92" s="506"/>
      <c r="D92" s="506"/>
      <c r="E92" s="507"/>
    </row>
    <row r="93" spans="2:5" ht="20.100000000000001" customHeight="1" x14ac:dyDescent="0.2">
      <c r="B93" s="336" t="s">
        <v>259</v>
      </c>
      <c r="C93" s="336" t="s">
        <v>711</v>
      </c>
      <c r="D93" s="184" t="s">
        <v>277</v>
      </c>
      <c r="E93" s="336" t="s">
        <v>5</v>
      </c>
    </row>
    <row r="94" spans="2:5" ht="33.950000000000003" customHeight="1" x14ac:dyDescent="0.2">
      <c r="B94" s="30" t="s">
        <v>815</v>
      </c>
      <c r="C94" s="362" t="str">
        <f>IF(mgmt_consolidated_result="Included",CONCATENATE(sample_mgmt_vc_fqdn),CONCATENATE(sample_wld_vc_fqdn))</f>
        <v>sfo-w01-vc01.sfo.rainpole.io</v>
      </c>
      <c r="D94" s="99" t="str">
        <f>dri_vcenter_fqdn</f>
        <v>Value Missing</v>
      </c>
      <c r="E94" s="204"/>
    </row>
    <row r="95" spans="2:5" ht="20.100000000000001" customHeight="1" x14ac:dyDescent="0.2">
      <c r="B95" s="213" t="s">
        <v>3750</v>
      </c>
      <c r="C95" s="126" t="s">
        <v>3709</v>
      </c>
      <c r="D95" s="347"/>
      <c r="E95" s="204"/>
    </row>
    <row r="96" spans="2:5" ht="20.100000000000001" customHeight="1" x14ac:dyDescent="0.2">
      <c r="B96" s="213" t="s">
        <v>3751</v>
      </c>
      <c r="C96" s="362" t="str">
        <f>IF(mgmt_consolidated_result="Included",sample_mgmt_cl01_vsan_datastore,sample_wld_cl01_vsan_datastore)</f>
        <v>sfo-w01-sfo-w01-cl01-vsan01</v>
      </c>
      <c r="D96" s="99" t="str">
        <f>dri_vcenter_vsan_datastore</f>
        <v>Value Missing</v>
      </c>
      <c r="E96" s="204"/>
    </row>
    <row r="97" spans="2:5" ht="15.95" customHeight="1" x14ac:dyDescent="0.2"/>
    <row r="98" spans="2:5" ht="33.950000000000003" customHeight="1" x14ac:dyDescent="0.2">
      <c r="B98" s="505" t="s">
        <v>3752</v>
      </c>
      <c r="C98" s="506"/>
      <c r="D98" s="506"/>
      <c r="E98" s="507"/>
    </row>
    <row r="99" spans="2:5" ht="20.100000000000001" customHeight="1" x14ac:dyDescent="0.2">
      <c r="B99" s="336" t="s">
        <v>259</v>
      </c>
      <c r="C99" s="336" t="s">
        <v>711</v>
      </c>
      <c r="D99" s="184" t="s">
        <v>277</v>
      </c>
      <c r="E99" s="336" t="s">
        <v>5</v>
      </c>
    </row>
    <row r="100" spans="2:5" ht="20.100000000000001" customHeight="1" x14ac:dyDescent="0.2">
      <c r="B100" s="30" t="s">
        <v>3747</v>
      </c>
      <c r="C100" s="362" t="e">
        <f>CONCATENATE(sample_xreg_vrslcm_hostname,".",sample_parent_dns_zone)</f>
        <v>#NAME?</v>
      </c>
      <c r="D100" s="99" t="str">
        <f>xreg_vrslcm_fqdn</f>
        <v>labvcffleetmgmt01v.vcf.lab.local</v>
      </c>
      <c r="E100" s="204"/>
    </row>
    <row r="101" spans="2:5" ht="15.95" customHeight="1" x14ac:dyDescent="0.2"/>
    <row r="102" spans="2:5" ht="33.950000000000003" customHeight="1" x14ac:dyDescent="0.2">
      <c r="B102" s="505" t="s">
        <v>3753</v>
      </c>
      <c r="C102" s="506"/>
      <c r="D102" s="506"/>
      <c r="E102" s="507"/>
    </row>
    <row r="103" spans="2:5" ht="20.100000000000001" customHeight="1" x14ac:dyDescent="0.2">
      <c r="B103" s="336" t="s">
        <v>259</v>
      </c>
      <c r="C103" s="336" t="s">
        <v>711</v>
      </c>
      <c r="D103" s="184" t="s">
        <v>277</v>
      </c>
      <c r="E103" s="336" t="s">
        <v>5</v>
      </c>
    </row>
    <row r="104" spans="2:5" ht="20.100000000000001" customHeight="1" x14ac:dyDescent="0.2">
      <c r="B104" s="30" t="s">
        <v>3747</v>
      </c>
      <c r="C104" s="362" t="e">
        <f>CONCATENATE(sample_xreg_vrslcm_hostname,".",sample_parent_dns_zone)</f>
        <v>#NAME?</v>
      </c>
      <c r="D104" s="99" t="str">
        <f>xreg_vrslcm_fqdn</f>
        <v>labvcffleetmgmt01v.vcf.lab.local</v>
      </c>
      <c r="E104" s="204"/>
    </row>
    <row r="105" spans="2:5" ht="15.95" customHeight="1" x14ac:dyDescent="0.2"/>
    <row r="106" spans="2:5" ht="33.950000000000003" customHeight="1" x14ac:dyDescent="0.2">
      <c r="B106" s="505" t="s">
        <v>3754</v>
      </c>
      <c r="C106" s="506"/>
      <c r="D106" s="506"/>
      <c r="E106" s="507"/>
    </row>
    <row r="107" spans="2:5" ht="20.100000000000001" customHeight="1" x14ac:dyDescent="0.2">
      <c r="B107" s="336" t="s">
        <v>259</v>
      </c>
      <c r="C107" s="336" t="s">
        <v>711</v>
      </c>
      <c r="D107" s="184" t="s">
        <v>277</v>
      </c>
      <c r="E107" s="336" t="s">
        <v>5</v>
      </c>
    </row>
    <row r="108" spans="2:5" ht="20.100000000000001" customHeight="1" x14ac:dyDescent="0.2">
      <c r="B108" s="30" t="s">
        <v>3747</v>
      </c>
      <c r="C108" s="362" t="e">
        <f>CONCATENATE(sample_xreg_vrslcm_hostname,".",sample_parent_dns_zone)</f>
        <v>#NAME?</v>
      </c>
      <c r="D108" s="99" t="str">
        <f>xreg_vrslcm_fqdn</f>
        <v>labvcffleetmgmt01v.vcf.lab.local</v>
      </c>
      <c r="E108" s="204"/>
    </row>
    <row r="109" spans="2:5" ht="15.95" customHeight="1" x14ac:dyDescent="0.2"/>
    <row r="110" spans="2:5" ht="33.950000000000003" customHeight="1" x14ac:dyDescent="0.2">
      <c r="B110" s="505" t="s">
        <v>3755</v>
      </c>
      <c r="C110" s="506"/>
      <c r="D110" s="506"/>
      <c r="E110" s="507"/>
    </row>
    <row r="111" spans="2:5" ht="20.100000000000001" customHeight="1" x14ac:dyDescent="0.2">
      <c r="B111" s="336" t="s">
        <v>259</v>
      </c>
      <c r="C111" s="336" t="s">
        <v>711</v>
      </c>
      <c r="D111" s="184" t="s">
        <v>277</v>
      </c>
      <c r="E111" s="336" t="s">
        <v>5</v>
      </c>
    </row>
    <row r="112" spans="2:5" ht="20.100000000000001" customHeight="1" x14ac:dyDescent="0.2">
      <c r="B112" s="30" t="s">
        <v>3747</v>
      </c>
      <c r="C112" s="362" t="e">
        <f>CONCATENATE(sample_xreg_vrslcm_hostname,".",sample_parent_dns_zone)</f>
        <v>#NAME?</v>
      </c>
      <c r="D112" s="99" t="str">
        <f>xreg_vrslcm_fqdn</f>
        <v>labvcffleetmgmt01v.vcf.lab.local</v>
      </c>
      <c r="E112" s="204"/>
    </row>
  </sheetData>
  <sheetProtection algorithmName="SHA-512" hashValue="zVAjTA6/YUlUzwFwFvyvyuVVEYggzVFiJT9KV6Kvb/9C/uRVK6Us1y9dHClJnxRFNRoy9wcbtLtb08+gRBB1ew==" saltValue="ZzO8PP6wUwO3NKQpI+wyIw==" spinCount="100000" sheet="1" objects="1" scenarios="1"/>
  <mergeCells count="20">
    <mergeCell ref="B42:E42"/>
    <mergeCell ref="B49:E49"/>
    <mergeCell ref="B7:E7"/>
    <mergeCell ref="B13:E13"/>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s>
  <conditionalFormatting sqref="D35 D39:D40 D44:D47 D51:D54 D58:D61 D65:D72 D76:D77 D81:D82 D86 D90 D94:D96 D100 D104 D108 D112">
    <cfRule type="expression" dxfId="2237" priority="1">
      <formula>air_result="Excluded"</formula>
    </cfRule>
    <cfRule type="containsBlanks" dxfId="2236" priority="3">
      <formula>LEN(TRIM(D35))=0</formula>
    </cfRule>
    <cfRule type="notContainsBlanks" dxfId="2235"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7" activePane="bottomLeft" state="frozen"/>
      <selection pane="bottomLeft" activeCell="K27" sqref="K27"/>
    </sheetView>
  </sheetViews>
  <sheetFormatPr defaultColWidth="11" defaultRowHeight="15" x14ac:dyDescent="0.2"/>
  <cols>
    <col min="1" max="1" width="2.875" style="19" customWidth="1"/>
    <col min="2" max="2" width="63.875" style="8" customWidth="1"/>
    <col min="3" max="3" width="78.875" style="8" customWidth="1"/>
    <col min="4" max="4" width="84.875" style="8" customWidth="1"/>
    <col min="5" max="5" width="60.87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3756</v>
      </c>
      <c r="C2" s="655"/>
      <c r="D2" s="655"/>
      <c r="E2" s="655"/>
      <c r="F2" s="203"/>
    </row>
    <row r="3" spans="1:19" ht="15.75" x14ac:dyDescent="0.2">
      <c r="A3" s="203"/>
      <c r="B3" s="661" t="s">
        <v>3757</v>
      </c>
      <c r="C3" s="661"/>
      <c r="D3" s="661"/>
      <c r="E3" s="661"/>
      <c r="F3" s="203"/>
    </row>
    <row r="4" spans="1:19" x14ac:dyDescent="0.2">
      <c r="A4" s="216"/>
      <c r="B4" s="216"/>
      <c r="C4" s="216"/>
      <c r="D4" s="216"/>
      <c r="E4" s="216"/>
      <c r="F4" s="216"/>
    </row>
    <row r="5" spans="1:19" ht="33.950000000000003" customHeight="1" x14ac:dyDescent="0.2">
      <c r="A5" s="216"/>
      <c r="B5" s="217" t="s">
        <v>3758</v>
      </c>
      <c r="C5" s="217" t="s">
        <v>1014</v>
      </c>
      <c r="D5" s="218" t="s">
        <v>3325</v>
      </c>
      <c r="E5" s="219"/>
      <c r="F5" s="220"/>
    </row>
    <row r="6" spans="1:19" ht="20.100000000000001" customHeight="1" x14ac:dyDescent="0.2">
      <c r="A6" s="203"/>
      <c r="B6" s="203"/>
      <c r="C6" s="203"/>
      <c r="D6" s="221"/>
      <c r="E6" s="222"/>
      <c r="F6" s="222"/>
    </row>
    <row r="7" spans="1:19" ht="33.950000000000003" customHeight="1" x14ac:dyDescent="0.2">
      <c r="A7" s="8"/>
      <c r="B7" s="408" t="s">
        <v>3759</v>
      </c>
      <c r="C7" s="409"/>
      <c r="D7" s="409"/>
      <c r="E7" s="409"/>
      <c r="F7" s="409"/>
      <c r="G7" s="409"/>
      <c r="H7" s="409"/>
      <c r="I7" s="409"/>
      <c r="J7" s="410"/>
      <c r="K7" s="8"/>
      <c r="L7" s="8"/>
      <c r="M7" s="8"/>
      <c r="N7" s="8"/>
      <c r="O7" s="8"/>
      <c r="P7" s="8"/>
      <c r="Q7" s="8"/>
      <c r="R7" s="8"/>
      <c r="S7" s="8"/>
    </row>
    <row r="8" spans="1:19" ht="20.100000000000001" customHeight="1" x14ac:dyDescent="0.2">
      <c r="A8" s="8"/>
      <c r="B8" s="346" t="s">
        <v>3072</v>
      </c>
      <c r="C8" s="346" t="s">
        <v>202</v>
      </c>
      <c r="D8" s="346" t="s">
        <v>3073</v>
      </c>
      <c r="E8" s="97" t="s">
        <v>3074</v>
      </c>
      <c r="F8" s="346" t="s">
        <v>470</v>
      </c>
      <c r="G8" s="97" t="s">
        <v>471</v>
      </c>
      <c r="H8" s="451" t="s">
        <v>5</v>
      </c>
      <c r="I8" s="452"/>
      <c r="J8" s="453"/>
      <c r="K8" s="8"/>
      <c r="L8" s="8"/>
      <c r="M8" s="8"/>
      <c r="N8" s="8"/>
      <c r="O8" s="8"/>
      <c r="P8" s="8"/>
      <c r="Q8" s="8"/>
      <c r="R8" s="8"/>
      <c r="S8" s="8"/>
    </row>
    <row r="9" spans="1:19" ht="20.100000000000001" customHeight="1" x14ac:dyDescent="0.2">
      <c r="A9" s="8"/>
      <c r="B9" s="4" t="s">
        <v>3760</v>
      </c>
      <c r="C9" s="9" t="s">
        <v>2271</v>
      </c>
      <c r="D9" s="80" t="str">
        <f>CONCATENATE(this_instance,"-cbr-cdp01a")</f>
        <v>sfo-cbr-cdp01a</v>
      </c>
      <c r="E9" s="347"/>
      <c r="F9" s="80" t="str">
        <f>IF(mgmt_dpg_reuse_result="Included",CONCATENATE(prefix_mgmt_az1_cidr,"10.44"),CONCATENATE(prefix_mgmt_az1_cidr,"11.44"))</f>
        <v>10.11.10.44</v>
      </c>
      <c r="G9" s="347"/>
      <c r="H9" s="641"/>
      <c r="I9" s="642"/>
      <c r="J9" s="640"/>
      <c r="K9" s="8"/>
      <c r="L9" s="8"/>
      <c r="M9" s="8"/>
      <c r="N9" s="8"/>
      <c r="O9" s="8"/>
      <c r="P9" s="8"/>
      <c r="Q9" s="8"/>
      <c r="R9" s="8"/>
      <c r="S9" s="8"/>
    </row>
    <row r="10" spans="1:19" ht="20.100000000000001" customHeight="1" x14ac:dyDescent="0.2">
      <c r="A10" s="8"/>
      <c r="B10" s="4"/>
      <c r="C10" s="9" t="s">
        <v>3761</v>
      </c>
      <c r="D10" s="80" t="str">
        <f>CONCATENATE(this_instance,"-cbr-cdp01b")</f>
        <v>sfo-cbr-cdp01b</v>
      </c>
      <c r="E10" s="347"/>
      <c r="F10" s="80" t="str">
        <f>IF(mgmt_dpg_reuse_result="Included",CONCATENATE(prefix_mgmt_az1_cidr,"10.45"),CONCATENATE(prefix_mgmt_az1_cidr,"11.45"))</f>
        <v>10.11.10.45</v>
      </c>
      <c r="G10" s="347"/>
      <c r="H10" s="641"/>
      <c r="I10" s="642"/>
      <c r="J10" s="640"/>
      <c r="K10" s="8"/>
      <c r="L10" s="8"/>
      <c r="M10" s="8"/>
      <c r="N10" s="8"/>
      <c r="O10" s="8"/>
      <c r="P10" s="8"/>
      <c r="Q10" s="8"/>
      <c r="R10" s="8"/>
      <c r="S10" s="8"/>
    </row>
    <row r="11" spans="1:19" x14ac:dyDescent="0.2">
      <c r="A11" s="8"/>
      <c r="F11" s="8"/>
      <c r="G11" s="8"/>
      <c r="H11" s="8"/>
      <c r="I11" s="8"/>
      <c r="J11" s="8"/>
      <c r="K11" s="8"/>
      <c r="L11" s="8"/>
      <c r="M11" s="8"/>
      <c r="N11" s="8"/>
      <c r="O11" s="8"/>
      <c r="P11" s="8"/>
      <c r="Q11" s="8"/>
      <c r="R11" s="8"/>
      <c r="S11" s="8"/>
    </row>
    <row r="12" spans="1:19" s="202" customFormat="1" ht="30" customHeight="1" x14ac:dyDescent="0.25">
      <c r="B12" s="575" t="s">
        <v>3762</v>
      </c>
      <c r="C12" s="576"/>
      <c r="D12" s="576"/>
      <c r="E12" s="577"/>
    </row>
    <row r="13" spans="1:19" s="202" customFormat="1" ht="20.100000000000001" customHeight="1" x14ac:dyDescent="0.25">
      <c r="B13" s="166" t="s">
        <v>259</v>
      </c>
      <c r="C13" s="166" t="s">
        <v>711</v>
      </c>
      <c r="D13" s="167" t="s">
        <v>277</v>
      </c>
      <c r="E13" s="166" t="s">
        <v>5</v>
      </c>
    </row>
    <row r="14" spans="1:19" s="2" customFormat="1" ht="20.100000000000001" customHeight="1" x14ac:dyDescent="0.25">
      <c r="B14" s="4" t="s">
        <v>2494</v>
      </c>
      <c r="C14" s="9" t="s">
        <v>3763</v>
      </c>
      <c r="D14" s="113"/>
      <c r="E14" s="197"/>
    </row>
    <row r="15" spans="1:19" s="2" customFormat="1" ht="20.100000000000001" customHeight="1" x14ac:dyDescent="0.25">
      <c r="B15" s="4" t="s">
        <v>2498</v>
      </c>
      <c r="C15" s="9" t="s">
        <v>3764</v>
      </c>
      <c r="D15" s="113"/>
      <c r="E15" s="197"/>
    </row>
    <row r="16" spans="1:19" s="2" customFormat="1" ht="20.100000000000001" customHeight="1" x14ac:dyDescent="0.25">
      <c r="B16" s="4" t="s">
        <v>2502</v>
      </c>
      <c r="C16" s="9" t="s">
        <v>379</v>
      </c>
      <c r="D16" s="113"/>
      <c r="E16" s="197"/>
    </row>
    <row r="17" spans="2:5" s="2" customFormat="1" ht="20.100000000000001" customHeight="1" x14ac:dyDescent="0.25">
      <c r="B17" s="4" t="s">
        <v>3765</v>
      </c>
      <c r="C17" s="9" t="str">
        <f>CONCATENATE(this_instance,"-m01-fd-cbr")</f>
        <v>sfo-m01-fd-cbr</v>
      </c>
      <c r="D17" s="113"/>
      <c r="E17" s="197"/>
    </row>
    <row r="18" spans="2:5" s="2" customFormat="1" ht="20.100000000000001" customHeight="1" x14ac:dyDescent="0.25">
      <c r="B18" s="4" t="s">
        <v>2508</v>
      </c>
      <c r="C18" s="9" t="s">
        <v>3766</v>
      </c>
      <c r="D18" s="113"/>
      <c r="E18" s="197"/>
    </row>
    <row r="19" spans="2:5" s="2" customFormat="1" ht="20.100000000000001" customHeight="1" x14ac:dyDescent="0.25">
      <c r="B19" s="4" t="s">
        <v>2512</v>
      </c>
      <c r="C19" s="9" t="s">
        <v>3032</v>
      </c>
      <c r="D19" s="113"/>
      <c r="E19" s="197"/>
    </row>
    <row r="20" spans="2:5" s="2" customFormat="1" ht="20.100000000000001" customHeight="1" x14ac:dyDescent="0.25">
      <c r="B20" s="4" t="s">
        <v>2515</v>
      </c>
      <c r="C20" s="9" t="s">
        <v>3767</v>
      </c>
      <c r="D20" s="113"/>
      <c r="E20" s="197"/>
    </row>
    <row r="21" spans="2:5" s="2" customFormat="1" ht="20.100000000000001" customHeight="1" x14ac:dyDescent="0.25">
      <c r="B21" s="4" t="s">
        <v>144</v>
      </c>
      <c r="C21" s="9">
        <v>2</v>
      </c>
      <c r="D21" s="113"/>
      <c r="E21" s="197"/>
    </row>
    <row r="22" spans="2:5" s="2" customFormat="1" ht="20.100000000000001" customHeight="1" x14ac:dyDescent="0.25">
      <c r="B22" s="4" t="s">
        <v>2523</v>
      </c>
      <c r="C22" s="9" t="s">
        <v>3768</v>
      </c>
      <c r="D22" s="113"/>
      <c r="E22" s="197"/>
    </row>
    <row r="23" spans="2:5" s="2" customFormat="1" ht="20.100000000000001" customHeight="1" x14ac:dyDescent="0.25">
      <c r="B23" s="4" t="s">
        <v>2527</v>
      </c>
      <c r="C23" s="9" t="s">
        <v>3768</v>
      </c>
      <c r="D23" s="113"/>
      <c r="E23" s="197"/>
    </row>
    <row r="24" spans="2:5" s="2" customFormat="1" ht="20.100000000000001" customHeight="1" x14ac:dyDescent="0.25">
      <c r="B24" s="4" t="s">
        <v>2532</v>
      </c>
      <c r="C24" s="9" t="s">
        <v>3769</v>
      </c>
      <c r="D24" s="113"/>
      <c r="E24" s="197"/>
    </row>
    <row r="25" spans="2:5" s="2" customFormat="1" ht="20.100000000000001" customHeight="1" x14ac:dyDescent="0.25">
      <c r="B25" s="4" t="s">
        <v>3770</v>
      </c>
      <c r="C25" s="9" t="s">
        <v>3771</v>
      </c>
      <c r="D25" s="113"/>
      <c r="E25" s="197"/>
    </row>
    <row r="26" spans="2:5" s="2" customFormat="1" ht="20.100000000000001" customHeight="1" x14ac:dyDescent="0.25">
      <c r="B26" s="4" t="s">
        <v>3772</v>
      </c>
      <c r="C26" s="9" t="s">
        <v>3773</v>
      </c>
      <c r="D26" s="113"/>
      <c r="E26" s="197"/>
    </row>
    <row r="27" spans="2:5" s="2" customFormat="1" ht="20.100000000000001" customHeight="1" x14ac:dyDescent="0.25">
      <c r="B27" s="4" t="s">
        <v>2657</v>
      </c>
      <c r="C27" s="9" t="s">
        <v>3774</v>
      </c>
      <c r="D27" s="113"/>
      <c r="E27" s="197"/>
    </row>
    <row r="28" spans="2:5" s="2" customFormat="1" ht="20.100000000000001" customHeight="1" x14ac:dyDescent="0.25">
      <c r="B28" s="4" t="s">
        <v>3775</v>
      </c>
      <c r="C28" s="9" t="s">
        <v>3776</v>
      </c>
      <c r="D28" s="113"/>
      <c r="E28" s="197"/>
    </row>
    <row r="29" spans="2:5" s="2" customFormat="1" ht="20.100000000000001" customHeight="1" x14ac:dyDescent="0.25">
      <c r="B29" s="4" t="s">
        <v>3777</v>
      </c>
      <c r="C29" s="9" t="str">
        <f>CONCATENATE(this_instance,"-vcf01-instance")</f>
        <v>sfo-vcf01-instance</v>
      </c>
      <c r="D29" s="113"/>
      <c r="E29" s="197"/>
    </row>
    <row r="30" spans="2:5" s="2" customFormat="1" ht="20.100000000000001" customHeight="1" x14ac:dyDescent="0.25">
      <c r="B30" s="4" t="s">
        <v>3778</v>
      </c>
      <c r="C30" s="9" t="s">
        <v>3779</v>
      </c>
      <c r="D30" s="113"/>
      <c r="E30" s="197"/>
    </row>
    <row r="31" spans="2:5" s="2" customFormat="1" ht="20.100000000000001" customHeight="1" x14ac:dyDescent="0.25">
      <c r="B31" s="4" t="s">
        <v>2561</v>
      </c>
      <c r="C31" s="9" t="s">
        <v>3780</v>
      </c>
      <c r="D31" s="113"/>
      <c r="E31" s="197"/>
    </row>
    <row r="32" spans="2:5" s="2" customFormat="1" ht="20.100000000000001" customHeight="1" x14ac:dyDescent="0.25">
      <c r="B32" s="4" t="s">
        <v>2565</v>
      </c>
      <c r="C32" s="9" t="s">
        <v>3781</v>
      </c>
      <c r="D32" s="113"/>
      <c r="E32" s="197"/>
    </row>
    <row r="33" spans="1:6" s="2" customFormat="1" ht="20.100000000000001" customHeight="1" x14ac:dyDescent="0.25">
      <c r="B33" s="4" t="s">
        <v>2569</v>
      </c>
      <c r="C33" s="9" t="s">
        <v>3768</v>
      </c>
      <c r="D33" s="113"/>
      <c r="E33" s="197"/>
    </row>
    <row r="34" spans="1:6" s="2" customFormat="1" ht="20.100000000000001" customHeight="1" x14ac:dyDescent="0.25">
      <c r="B34" s="4" t="s">
        <v>2573</v>
      </c>
      <c r="C34" s="9" t="str">
        <f>CONCATENATE(this_instance,"-cbr-cdp01")</f>
        <v>sfo-cbr-cdp01</v>
      </c>
      <c r="D34" s="113"/>
      <c r="E34" s="197"/>
    </row>
    <row r="35" spans="1:6" s="2" customFormat="1" ht="20.100000000000001" customHeight="1" x14ac:dyDescent="0.25">
      <c r="B35" s="4" t="s">
        <v>2576</v>
      </c>
      <c r="C35" s="9" t="str">
        <f>CONCATENATE(sample_mgmt_sddc_domain,"anti-affinity-rule-cbr")</f>
        <v>sfo-m01anti-affinity-rule-cbr</v>
      </c>
      <c r="D35" s="113"/>
      <c r="E35" s="197"/>
    </row>
    <row r="36" spans="1:6" s="2" customFormat="1" ht="20.100000000000001" customHeight="1" x14ac:dyDescent="0.25">
      <c r="B36" s="4" t="s">
        <v>2580</v>
      </c>
      <c r="C36" s="9" t="s">
        <v>3782</v>
      </c>
      <c r="D36" s="113"/>
      <c r="E36" s="197"/>
    </row>
    <row r="37" spans="1:6" s="2" customFormat="1" ht="20.100000000000001" customHeight="1" x14ac:dyDescent="0.25">
      <c r="B37" s="4" t="s">
        <v>2584</v>
      </c>
      <c r="C37" s="9" t="s">
        <v>556</v>
      </c>
      <c r="D37" s="113"/>
      <c r="E37" s="197"/>
    </row>
    <row r="38" spans="1:6" s="2" customFormat="1" ht="20.100000000000001" customHeight="1" x14ac:dyDescent="0.25">
      <c r="B38" s="4" t="s">
        <v>2588</v>
      </c>
      <c r="C38" s="9" t="s">
        <v>3768</v>
      </c>
      <c r="D38" s="113"/>
      <c r="E38" s="197"/>
    </row>
    <row r="39" spans="1:6" s="2" customFormat="1" ht="20.100000000000001" customHeight="1" x14ac:dyDescent="0.25">
      <c r="B39" s="4" t="s">
        <v>2592</v>
      </c>
      <c r="C39" s="9" t="s">
        <v>3768</v>
      </c>
      <c r="D39" s="113"/>
      <c r="E39" s="197"/>
    </row>
    <row r="40" spans="1:6" s="2" customFormat="1" ht="15.95" customHeight="1" x14ac:dyDescent="0.25"/>
    <row r="41" spans="1:6" x14ac:dyDescent="0.2">
      <c r="A41" s="216"/>
      <c r="B41" s="216"/>
      <c r="C41" s="216"/>
      <c r="D41" s="216"/>
      <c r="E41" s="216"/>
      <c r="F41" s="216"/>
    </row>
    <row r="42" spans="1:6" ht="33.950000000000003" customHeight="1" x14ac:dyDescent="0.2">
      <c r="A42" s="216"/>
      <c r="B42" s="653" t="s">
        <v>1014</v>
      </c>
      <c r="C42" s="653"/>
      <c r="D42" s="653"/>
      <c r="E42" s="653"/>
      <c r="F42" s="216"/>
    </row>
    <row r="43" spans="1:6" s="19" customFormat="1" x14ac:dyDescent="0.2">
      <c r="A43" s="216"/>
      <c r="B43" s="216"/>
      <c r="C43" s="216"/>
      <c r="D43" s="216"/>
      <c r="E43" s="216"/>
      <c r="F43" s="216"/>
    </row>
    <row r="44" spans="1:6" s="19" customFormat="1" ht="33.950000000000003" customHeight="1" x14ac:dyDescent="0.2">
      <c r="A44" s="223"/>
      <c r="B44" s="652" t="s">
        <v>3783</v>
      </c>
      <c r="C44" s="652"/>
      <c r="D44" s="652"/>
      <c r="E44" s="652"/>
    </row>
    <row r="45" spans="1:6" s="19" customFormat="1" ht="20.100000000000001" customHeight="1" x14ac:dyDescent="0.2">
      <c r="A45" s="223"/>
      <c r="B45" s="224" t="s">
        <v>259</v>
      </c>
      <c r="C45" s="224" t="s">
        <v>711</v>
      </c>
      <c r="D45" s="225" t="s">
        <v>277</v>
      </c>
      <c r="E45" s="224" t="s">
        <v>5</v>
      </c>
    </row>
    <row r="46" spans="1:6" s="19" customFormat="1" ht="20.100000000000001" customHeight="1" x14ac:dyDescent="0.2">
      <c r="A46" s="223"/>
      <c r="B46" s="226" t="s">
        <v>3254</v>
      </c>
      <c r="C46" s="227" t="str">
        <f>sample_mgmt_vc_fqdn</f>
        <v>sfo-m01-vc01.sfo.rainpole.io</v>
      </c>
      <c r="D46" s="112" t="str">
        <f>mgmt_vc_fqdn</f>
        <v>labvcvcf01v.vcf.lab.local</v>
      </c>
      <c r="E46" s="228"/>
    </row>
    <row r="47" spans="1:6" s="19" customFormat="1" ht="20.100000000000001" customHeight="1" x14ac:dyDescent="0.2">
      <c r="A47" s="223"/>
      <c r="B47" s="226" t="s">
        <v>748</v>
      </c>
      <c r="C47" s="227" t="str">
        <f>sample_mgmt_datacenter</f>
        <v>sfo-m01-dc01</v>
      </c>
      <c r="D47" s="112" t="str">
        <f>mgmt_datacenter</f>
        <v>Site01</v>
      </c>
      <c r="E47" s="228"/>
    </row>
    <row r="48" spans="1:6" s="19" customFormat="1" ht="20.100000000000001" customHeight="1" x14ac:dyDescent="0.2">
      <c r="A48" s="223"/>
      <c r="B48" s="229" t="s">
        <v>3784</v>
      </c>
      <c r="C48" s="227" t="str">
        <f t="array" ref="C48">sample_cbr_vm_folder</f>
        <v>sfo-m01-fd-cbr</v>
      </c>
      <c r="D48" s="112" t="str">
        <f t="array" ref="D48">cbr_vm_folder</f>
        <v>Value Missing</v>
      </c>
      <c r="E48" s="228"/>
    </row>
    <row r="49" spans="2:5" s="19" customFormat="1" ht="20.100000000000001" customHeight="1" x14ac:dyDescent="0.2"/>
    <row r="50" spans="2:5" s="19" customFormat="1" ht="33.950000000000003" customHeight="1" x14ac:dyDescent="0.2">
      <c r="B50" s="652" t="s">
        <v>3785</v>
      </c>
      <c r="C50" s="652"/>
      <c r="D50" s="652"/>
      <c r="E50" s="652"/>
    </row>
    <row r="51" spans="2:5" s="19" customFormat="1" ht="20.100000000000001" customHeight="1" x14ac:dyDescent="0.2">
      <c r="B51" s="224" t="s">
        <v>259</v>
      </c>
      <c r="C51" s="224" t="s">
        <v>711</v>
      </c>
      <c r="D51" s="225" t="s">
        <v>277</v>
      </c>
      <c r="E51" s="224" t="s">
        <v>5</v>
      </c>
    </row>
    <row r="52" spans="2:5" s="19" customFormat="1" ht="20.100000000000001" customHeight="1" x14ac:dyDescent="0.2">
      <c r="B52" s="226" t="s">
        <v>3786</v>
      </c>
      <c r="C52" s="227" t="s">
        <v>3787</v>
      </c>
      <c r="D52" s="112" t="str">
        <f>C52</f>
        <v>console.cloud.vmware.com</v>
      </c>
      <c r="E52" s="228"/>
    </row>
    <row r="53" spans="2:5" s="19" customFormat="1" ht="20.100000000000001" customHeight="1" x14ac:dyDescent="0.2">
      <c r="B53" s="226" t="s">
        <v>3788</v>
      </c>
      <c r="C53" s="227" t="str">
        <f t="array" ref="C53">sample_cbr_recovery_sddc_name</f>
        <v>aws-recovery-sddc</v>
      </c>
      <c r="D53" s="112" t="str">
        <f>cbr_recovery_sddc_name</f>
        <v>Value Missing</v>
      </c>
      <c r="E53" s="228"/>
    </row>
    <row r="54" spans="2:5" s="19" customFormat="1" ht="20.100000000000001" customHeight="1" x14ac:dyDescent="0.2">
      <c r="B54" s="226" t="s">
        <v>2512</v>
      </c>
      <c r="C54" s="227" t="str">
        <f t="array" ref="C54">sample_cbr_recovery_region</f>
        <v>Europe (Ireland)</v>
      </c>
      <c r="D54" s="112" t="str">
        <f>cbr_recovery_region</f>
        <v>Value Missing</v>
      </c>
      <c r="E54" s="228"/>
    </row>
    <row r="55" spans="2:5" s="19" customFormat="1" ht="20.100000000000001" customHeight="1" x14ac:dyDescent="0.2">
      <c r="B55" s="226" t="s">
        <v>2515</v>
      </c>
      <c r="C55" s="227" t="str">
        <f t="array" ref="C55">sample_cbr_recovery_host_type</f>
        <v>I4i (Local SSD)</v>
      </c>
      <c r="D55" s="112" t="str">
        <f>cbr_recovery_host_type</f>
        <v>Value Missing</v>
      </c>
      <c r="E55" s="228"/>
    </row>
    <row r="56" spans="2:5" s="19" customFormat="1" ht="20.100000000000001" customHeight="1" x14ac:dyDescent="0.2">
      <c r="B56" s="226" t="s">
        <v>144</v>
      </c>
      <c r="C56" s="227">
        <f t="array" ref="C56">sample_cbr_recovery_host_count</f>
        <v>2</v>
      </c>
      <c r="D56" s="112" t="str">
        <f>cbr_recovery_host_count</f>
        <v>Value Missing</v>
      </c>
      <c r="E56" s="228"/>
    </row>
    <row r="57" spans="2:5" s="19" customFormat="1" ht="20.100000000000001" customHeight="1" x14ac:dyDescent="0.2">
      <c r="B57" s="226" t="s">
        <v>2523</v>
      </c>
      <c r="C57" s="227" t="str">
        <f t="array" ref="C57">sample_cbr_recovery_vpc</f>
        <v>&lt;generated&gt;</v>
      </c>
      <c r="D57" s="112" t="str">
        <f>cbr_recovery_vpc</f>
        <v>Value Missing</v>
      </c>
      <c r="E57" s="228"/>
    </row>
    <row r="58" spans="2:5" s="19" customFormat="1" ht="20.100000000000001" customHeight="1" x14ac:dyDescent="0.2">
      <c r="B58" s="226" t="s">
        <v>2527</v>
      </c>
      <c r="C58" s="227" t="str">
        <f t="array" ref="C58">sample_cbr_recovery_subnet</f>
        <v>&lt;generated&gt;</v>
      </c>
      <c r="D58" s="112" t="str">
        <f t="array" ref="D58">cbr_recovery_subnet</f>
        <v>Value Missing</v>
      </c>
      <c r="E58" s="228"/>
    </row>
    <row r="59" spans="2:5" s="19" customFormat="1" ht="20.100000000000001" customHeight="1" x14ac:dyDescent="0.2">
      <c r="B59" s="226" t="s">
        <v>2532</v>
      </c>
      <c r="C59" s="227" t="str">
        <f t="array" ref="C59">sample_cbr_recovery_management_subnet</f>
        <v>10.2.0.0/16</v>
      </c>
      <c r="D59" s="112" t="str">
        <f>cbr_recovery_management_subnet</f>
        <v>Value Missing</v>
      </c>
      <c r="E59" s="228"/>
    </row>
    <row r="60" spans="2:5" s="19" customFormat="1" ht="20.100000000000001" customHeight="1" x14ac:dyDescent="0.2"/>
    <row r="61" spans="2:5" s="19" customFormat="1" ht="33.950000000000003" customHeight="1" x14ac:dyDescent="0.2">
      <c r="B61" s="652" t="s">
        <v>3789</v>
      </c>
      <c r="C61" s="652"/>
      <c r="D61" s="652"/>
      <c r="E61" s="652"/>
    </row>
    <row r="62" spans="2:5" s="19" customFormat="1" ht="20.100000000000001" customHeight="1" x14ac:dyDescent="0.2">
      <c r="B62" s="224" t="s">
        <v>259</v>
      </c>
      <c r="C62" s="224" t="s">
        <v>711</v>
      </c>
      <c r="D62" s="225" t="s">
        <v>277</v>
      </c>
      <c r="E62" s="224" t="s">
        <v>5</v>
      </c>
    </row>
    <row r="63" spans="2:5" s="19" customFormat="1" ht="20.100000000000001" customHeight="1" x14ac:dyDescent="0.2">
      <c r="B63" s="226" t="s">
        <v>3786</v>
      </c>
      <c r="C63" s="227" t="s">
        <v>3787</v>
      </c>
      <c r="D63" s="112" t="s">
        <v>3787</v>
      </c>
      <c r="E63" s="228"/>
    </row>
    <row r="64" spans="2:5" s="19" customFormat="1" ht="20.100000000000001" customHeight="1" x14ac:dyDescent="0.2">
      <c r="B64" s="226" t="s">
        <v>3790</v>
      </c>
      <c r="C64" s="227" t="str">
        <f t="array" ref="C64">sample_cbr_firewall_rule_vcenter</f>
        <v>vCenter Inbound Rule</v>
      </c>
      <c r="D64" s="112" t="str">
        <f t="array" ref="D64">cbr_firewall_rule_vcenter</f>
        <v>Value Missing</v>
      </c>
      <c r="E64" s="228"/>
    </row>
    <row r="65" spans="2:5" s="19" customFormat="1" ht="20.100000000000001" customHeight="1" x14ac:dyDescent="0.2">
      <c r="B65" s="226" t="s">
        <v>3791</v>
      </c>
      <c r="C65" s="227" t="str">
        <f t="array" ref="C65">sample_cbr_firewall_group</f>
        <v>External-Access</v>
      </c>
      <c r="D65" s="112"/>
      <c r="E65" s="228"/>
    </row>
    <row r="66" spans="2:5" s="19" customFormat="1" ht="20.100000000000001" customHeight="1" x14ac:dyDescent="0.2">
      <c r="B66" s="226" t="s">
        <v>3792</v>
      </c>
      <c r="C66" s="227" t="s">
        <v>299</v>
      </c>
      <c r="D66" s="112" t="str">
        <f>C66</f>
        <v>vCenter</v>
      </c>
      <c r="E66" s="228"/>
    </row>
    <row r="67" spans="2:5" s="19" customFormat="1" ht="20.100000000000001" customHeight="1" x14ac:dyDescent="0.2">
      <c r="B67" s="226" t="s">
        <v>3793</v>
      </c>
      <c r="C67" s="227" t="s">
        <v>3794</v>
      </c>
      <c r="D67" s="112" t="str">
        <f>C67</f>
        <v>HTTPS (TCP 443)</v>
      </c>
      <c r="E67" s="228"/>
    </row>
    <row r="68" spans="2:5" s="19" customFormat="1" ht="20.100000000000001" customHeight="1" x14ac:dyDescent="0.2">
      <c r="B68" s="226" t="s">
        <v>3793</v>
      </c>
      <c r="C68" s="227" t="s">
        <v>3795</v>
      </c>
      <c r="D68" s="112" t="str">
        <f>C68</f>
        <v>SSO (TCP 7444)</v>
      </c>
      <c r="E68" s="228"/>
    </row>
    <row r="69" spans="2:5" s="19" customFormat="1" ht="20.100000000000001" customHeight="1" x14ac:dyDescent="0.2">
      <c r="B69" s="226" t="s">
        <v>3796</v>
      </c>
      <c r="C69" s="227" t="str">
        <f t="array" ref="C69">sample_cbr_firewall_ip_addresses</f>
        <v>69.34.34.11</v>
      </c>
      <c r="D69" s="112"/>
      <c r="E69" s="228"/>
    </row>
    <row r="70" spans="2:5" s="19" customFormat="1" ht="20.100000000000001" customHeight="1" x14ac:dyDescent="0.2"/>
    <row r="71" spans="2:5" s="19" customFormat="1" ht="33.950000000000003" customHeight="1" x14ac:dyDescent="0.2">
      <c r="B71" s="652" t="s">
        <v>3797</v>
      </c>
      <c r="C71" s="652"/>
      <c r="D71" s="652"/>
      <c r="E71" s="652"/>
    </row>
    <row r="72" spans="2:5" s="19" customFormat="1" ht="20.100000000000001" customHeight="1" x14ac:dyDescent="0.2">
      <c r="B72" s="224" t="s">
        <v>259</v>
      </c>
      <c r="C72" s="224" t="s">
        <v>711</v>
      </c>
      <c r="D72" s="225" t="s">
        <v>277</v>
      </c>
      <c r="E72" s="224" t="s">
        <v>5</v>
      </c>
    </row>
    <row r="73" spans="2:5" s="19" customFormat="1" ht="20.100000000000001" customHeight="1" x14ac:dyDescent="0.2">
      <c r="B73" s="226" t="s">
        <v>3786</v>
      </c>
      <c r="C73" s="227" t="s">
        <v>3787</v>
      </c>
      <c r="D73" s="112" t="s">
        <v>3787</v>
      </c>
      <c r="E73" s="228"/>
    </row>
    <row r="74" spans="2:5" s="19" customFormat="1" ht="20.100000000000001" customHeight="1" x14ac:dyDescent="0.2">
      <c r="B74" s="226" t="s">
        <v>2512</v>
      </c>
      <c r="C74" s="227" t="str">
        <f>sample_cbr_recovery_region</f>
        <v>Europe (Ireland)</v>
      </c>
      <c r="D74" s="112" t="str">
        <f>cbr_recovery_region</f>
        <v>Value Missing</v>
      </c>
      <c r="E74" s="228"/>
    </row>
    <row r="75" spans="2:5" s="19" customFormat="1" ht="20.100000000000001" customHeight="1" x14ac:dyDescent="0.2"/>
    <row r="76" spans="2:5" s="19" customFormat="1" ht="33.950000000000003" customHeight="1" x14ac:dyDescent="0.2">
      <c r="B76" s="658" t="s">
        <v>3798</v>
      </c>
      <c r="C76" s="659"/>
      <c r="D76" s="659"/>
      <c r="E76" s="660"/>
    </row>
    <row r="77" spans="2:5" s="19" customFormat="1" ht="20.100000000000001" customHeight="1" x14ac:dyDescent="0.2">
      <c r="B77" s="224" t="s">
        <v>259</v>
      </c>
      <c r="C77" s="224" t="s">
        <v>711</v>
      </c>
      <c r="D77" s="225" t="s">
        <v>277</v>
      </c>
      <c r="E77" s="224" t="s">
        <v>5</v>
      </c>
    </row>
    <row r="78" spans="2:5" s="19" customFormat="1" ht="20.100000000000001" customHeight="1" x14ac:dyDescent="0.2">
      <c r="B78" s="226" t="s">
        <v>3786</v>
      </c>
      <c r="C78" s="227" t="s">
        <v>3787</v>
      </c>
      <c r="D78" s="112" t="s">
        <v>3787</v>
      </c>
      <c r="E78" s="228"/>
    </row>
    <row r="79" spans="2:5" s="19" customFormat="1" ht="20.100000000000001" customHeight="1" x14ac:dyDescent="0.2">
      <c r="B79" s="226" t="s">
        <v>3799</v>
      </c>
      <c r="C79" s="227" t="str">
        <f>sample_cbr_recovery_region</f>
        <v>Europe (Ireland)</v>
      </c>
      <c r="D79" s="112" t="str">
        <f>cbr_recovery_region</f>
        <v>Value Missing</v>
      </c>
      <c r="E79" s="228"/>
    </row>
    <row r="80" spans="2:5" s="19" customFormat="1" ht="20.100000000000001" customHeight="1" x14ac:dyDescent="0.2">
      <c r="B80" s="226" t="s">
        <v>3800</v>
      </c>
      <c r="C80" s="227" t="str">
        <f t="array" ref="C80">sample_cbr_vcdr_cloud_file_system</f>
        <v>usw2-az2-cfs01</v>
      </c>
      <c r="D80" s="112"/>
      <c r="E80" s="228"/>
    </row>
    <row r="81" spans="2:5" s="19" customFormat="1" ht="20.100000000000001" customHeight="1" x14ac:dyDescent="0.2"/>
    <row r="82" spans="2:5" s="19" customFormat="1" ht="33.950000000000003" customHeight="1" x14ac:dyDescent="0.2">
      <c r="B82" s="652" t="s">
        <v>3801</v>
      </c>
      <c r="C82" s="652"/>
      <c r="D82" s="652"/>
      <c r="E82" s="652"/>
    </row>
    <row r="83" spans="2:5" s="19" customFormat="1" ht="20.100000000000001" customHeight="1" x14ac:dyDescent="0.2">
      <c r="B83" s="224" t="s">
        <v>259</v>
      </c>
      <c r="C83" s="224" t="s">
        <v>711</v>
      </c>
      <c r="D83" s="225" t="s">
        <v>277</v>
      </c>
      <c r="E83" s="224" t="s">
        <v>5</v>
      </c>
    </row>
    <row r="84" spans="2:5" s="19" customFormat="1" ht="20.100000000000001" customHeight="1" x14ac:dyDescent="0.2">
      <c r="B84" s="226" t="s">
        <v>3786</v>
      </c>
      <c r="C84" s="227" t="s">
        <v>3787</v>
      </c>
      <c r="D84" s="112" t="s">
        <v>3787</v>
      </c>
      <c r="E84" s="228"/>
    </row>
    <row r="85" spans="2:5" s="19" customFormat="1" ht="20.100000000000001" customHeight="1" x14ac:dyDescent="0.2">
      <c r="B85" s="226" t="s">
        <v>3802</v>
      </c>
      <c r="C85" s="227" t="str">
        <f>sample_cbr_vcdr_cloud_file_system</f>
        <v>usw2-az2-cfs01</v>
      </c>
      <c r="D85" s="112"/>
      <c r="E85" s="228"/>
    </row>
    <row r="86" spans="2:5" s="19" customFormat="1" ht="20.100000000000001" customHeight="1" x14ac:dyDescent="0.2">
      <c r="B86" s="226" t="s">
        <v>3803</v>
      </c>
      <c r="C86" s="227" t="str">
        <f t="array" ref="C86">sample_cbr_vcdr_timezone</f>
        <v>UTC</v>
      </c>
      <c r="D86" s="112" t="str">
        <f t="array" ref="D86">cbr_vcdr_timezone</f>
        <v>Value Missing</v>
      </c>
      <c r="E86" s="228"/>
    </row>
    <row r="87" spans="2:5" s="19" customFormat="1" ht="20.100000000000001" customHeight="1" x14ac:dyDescent="0.2">
      <c r="B87" s="226" t="s">
        <v>3804</v>
      </c>
      <c r="C87" s="227" t="str">
        <f t="array" ref="C87">sample_cbr_vcdr_site_name</f>
        <v>sfo-vcf01-instance</v>
      </c>
      <c r="D87" s="112" t="str">
        <f t="array" ref="D87">cbr_vcdr_site_name</f>
        <v>Value Missing</v>
      </c>
      <c r="E87" s="228"/>
    </row>
    <row r="88" spans="2:5" s="19" customFormat="1" ht="20.100000000000001" customHeight="1" x14ac:dyDescent="0.2"/>
    <row r="89" spans="2:5" s="19" customFormat="1" ht="33.950000000000003" customHeight="1" x14ac:dyDescent="0.2">
      <c r="B89" s="652" t="s">
        <v>3805</v>
      </c>
      <c r="C89" s="652"/>
      <c r="D89" s="652"/>
      <c r="E89" s="652"/>
    </row>
    <row r="90" spans="2:5" s="19" customFormat="1" ht="20.100000000000001" customHeight="1" x14ac:dyDescent="0.2">
      <c r="B90" s="224" t="s">
        <v>259</v>
      </c>
      <c r="C90" s="224" t="s">
        <v>711</v>
      </c>
      <c r="D90" s="225" t="s">
        <v>277</v>
      </c>
      <c r="E90" s="224" t="s">
        <v>5</v>
      </c>
    </row>
    <row r="91" spans="2:5" s="19" customFormat="1" ht="20.100000000000001" customHeight="1" x14ac:dyDescent="0.2">
      <c r="B91" s="226" t="s">
        <v>3786</v>
      </c>
      <c r="C91" s="227" t="s">
        <v>3787</v>
      </c>
      <c r="D91" s="112" t="s">
        <v>3787</v>
      </c>
      <c r="E91" s="228"/>
    </row>
    <row r="92" spans="2:5" s="19" customFormat="1" ht="20.100000000000001" customHeight="1" x14ac:dyDescent="0.2">
      <c r="B92" s="226" t="s">
        <v>3806</v>
      </c>
      <c r="C92" s="227" t="str">
        <f>sample_cbr_vcdr_site_name</f>
        <v>sfo-vcf01-instance</v>
      </c>
      <c r="D92" s="112" t="str">
        <f>cbr_vcdr_site_name</f>
        <v>Value Missing</v>
      </c>
      <c r="E92" s="228"/>
    </row>
    <row r="93" spans="2:5" s="19" customFormat="1" ht="20.100000000000001" customHeight="1" x14ac:dyDescent="0.2">
      <c r="B93" s="226" t="s">
        <v>3807</v>
      </c>
      <c r="C93" s="227" t="str">
        <f t="array" ref="C93">sample_cbr_vcdr_ova</f>
        <v>https://vcdr-34-212-247-60.app.vcdr.vmware.com:443/vmware-cloud-connector.ova</v>
      </c>
      <c r="D93" s="112" t="str">
        <f t="array" ref="D93">cbr_vcdr_ova</f>
        <v>Value Missing</v>
      </c>
      <c r="E93" s="228"/>
    </row>
    <row r="94" spans="2:5" s="19" customFormat="1" ht="20.100000000000001" customHeight="1" x14ac:dyDescent="0.2">
      <c r="B94" s="226" t="s">
        <v>3254</v>
      </c>
      <c r="C94" s="227" t="str">
        <f>sample_mgmt_vc_fqdn</f>
        <v>sfo-m01-vc01.sfo.rainpole.io</v>
      </c>
      <c r="D94" s="112" t="str">
        <f>mgmt_vc_fqdn</f>
        <v>labvcvcf01v.vcf.lab.local</v>
      </c>
      <c r="E94" s="228"/>
    </row>
    <row r="95" spans="2:5" s="19" customFormat="1" ht="20.100000000000001" customHeight="1" x14ac:dyDescent="0.2">
      <c r="B95" s="226" t="s">
        <v>3108</v>
      </c>
      <c r="C95" s="227" t="str">
        <f>sample_cbr_vm_folder</f>
        <v>sfo-m01-fd-cbr</v>
      </c>
      <c r="D95" s="112" t="str">
        <f>cbr_vm_folder</f>
        <v>Value Missing</v>
      </c>
      <c r="E95" s="228"/>
    </row>
    <row r="96" spans="2:5" s="19" customFormat="1" ht="20.100000000000001" customHeight="1" x14ac:dyDescent="0.2">
      <c r="B96" s="226" t="s">
        <v>3189</v>
      </c>
      <c r="C96" s="227" t="str">
        <f t="array" ref="C96">sample_cbr_vcdr_cdp1_hostname</f>
        <v>sfo-cbr-cdp01a</v>
      </c>
      <c r="D96" s="112" t="str">
        <f t="array" ref="D96">cbr_vcdr_cdp1_hostname</f>
        <v>Value Missing</v>
      </c>
      <c r="E96" s="228"/>
    </row>
    <row r="97" spans="1:5" s="19" customFormat="1" ht="20.100000000000001" customHeight="1" x14ac:dyDescent="0.2">
      <c r="B97" s="226" t="s">
        <v>3191</v>
      </c>
      <c r="C97" s="227" t="str">
        <f>sample_mgmt_cl01_cluster</f>
        <v>sfo-m01-cl01</v>
      </c>
      <c r="D97" s="112" t="str">
        <f>mgmt_cl01_cluster</f>
        <v>vcf-mgmt-cluster01</v>
      </c>
      <c r="E97" s="228"/>
    </row>
    <row r="98" spans="1:5" s="19" customFormat="1" ht="20.100000000000001" customHeight="1" x14ac:dyDescent="0.2">
      <c r="B98" s="226" t="s">
        <v>3808</v>
      </c>
      <c r="C98" s="227" t="str">
        <f>sample_mgmt_cl01_vsan_datastore</f>
        <v>sfo-m01-cl01-ds-vsan01</v>
      </c>
      <c r="D98" s="112" t="str">
        <f>mgmt_cl01_vsan_datastore</f>
        <v>LABVSANESA01</v>
      </c>
      <c r="E98" s="228"/>
    </row>
    <row r="99" spans="1:5" s="19" customFormat="1" ht="20.100000000000001" customHeight="1" x14ac:dyDescent="0.2">
      <c r="B99" s="226" t="s">
        <v>706</v>
      </c>
      <c r="C99" s="227" t="str">
        <f>sample_mgmt_cl01_az1_mgmt_pg</f>
        <v>sfo-m01-cl01-vds01-pg-mgmt</v>
      </c>
      <c r="D99" s="112" t="str">
        <f>mgmt_cl01_az1_mgmt_pg</f>
        <v>VLAN_251_ESX_Mgmt</v>
      </c>
      <c r="E99" s="228"/>
    </row>
    <row r="100" spans="1:5" s="19" customFormat="1" ht="20.100000000000001" customHeight="1" x14ac:dyDescent="0.2">
      <c r="B100" s="226" t="s">
        <v>3809</v>
      </c>
      <c r="C100" s="227" t="s">
        <v>878</v>
      </c>
      <c r="D100" s="112" t="str">
        <f>C100</f>
        <v>admin</v>
      </c>
      <c r="E100" s="228"/>
    </row>
    <row r="101" spans="1:5" s="19" customFormat="1" ht="20.100000000000001" customHeight="1" x14ac:dyDescent="0.2">
      <c r="B101" s="226" t="s">
        <v>1179</v>
      </c>
      <c r="C101" s="227"/>
      <c r="D101" s="112"/>
      <c r="E101" s="228"/>
    </row>
    <row r="102" spans="1:5" s="19" customFormat="1" ht="20.100000000000001" customHeight="1" x14ac:dyDescent="0.2">
      <c r="B102" s="226" t="s">
        <v>3810</v>
      </c>
      <c r="C102" s="227" t="s">
        <v>590</v>
      </c>
      <c r="D102" s="112" t="str">
        <f>C102</f>
        <v>Static</v>
      </c>
      <c r="E102" s="228"/>
    </row>
    <row r="103" spans="1:5" s="19" customFormat="1" ht="20.100000000000001" customHeight="1" x14ac:dyDescent="0.2">
      <c r="B103" s="226" t="s">
        <v>730</v>
      </c>
      <c r="C103" s="227" t="str">
        <f t="array" ref="C103">sample_cbr_vcdr_cdp1_ip</f>
        <v>10.11.10.44</v>
      </c>
      <c r="D103" s="112" t="str">
        <f t="array" ref="D103">cbr_vcdr_cdp1_ip</f>
        <v>Value Missing</v>
      </c>
      <c r="E103" s="228"/>
    </row>
    <row r="104" spans="1:5" s="19" customFormat="1" ht="20.100000000000001" customHeight="1" x14ac:dyDescent="0.2">
      <c r="B104" s="226" t="s">
        <v>3811</v>
      </c>
      <c r="C104" s="227" t="str">
        <f>VLOOKUP(INT(RIGHT(sample_mgmt_az1_mgmt_cidr,LEN(sample_mgmt_az1_mgmt_cidr)-FIND("/",sample_mgmt_az1_mgmt_cidr))),table_cidr_to_mask,2,FALSE)</f>
        <v>255.255.255.0</v>
      </c>
      <c r="D104" s="112" t="str">
        <f>mgmt_az1_mgmt_mask</f>
        <v>255.255.255.0</v>
      </c>
      <c r="E104" s="228"/>
    </row>
    <row r="105" spans="1:5" s="19" customFormat="1" ht="20.100000000000001" customHeight="1" x14ac:dyDescent="0.2">
      <c r="B105" s="226" t="s">
        <v>399</v>
      </c>
      <c r="C105" s="227" t="str">
        <f>sample_mgmt_az1_mgmt_gateway_ip</f>
        <v>10.11.11.1</v>
      </c>
      <c r="D105" s="112" t="str">
        <f>mgmt_az1_mgmt_gateway_ip</f>
        <v>10.100.51.1</v>
      </c>
      <c r="E105" s="228"/>
    </row>
    <row r="106" spans="1:5" s="19" customFormat="1" ht="20.100000000000001" customHeight="1" x14ac:dyDescent="0.2">
      <c r="B106" s="226" t="s">
        <v>1043</v>
      </c>
      <c r="C106" s="227" t="str">
        <f>CONCATENATE(sample_region_dns1_ip," ",sample_region_dns2_ip)</f>
        <v>10.11.10.4 10.11.10.5</v>
      </c>
      <c r="D106" s="112" t="str">
        <f>CONCATENATE(region_dns1_ip," ",region_dns2_ip)</f>
        <v>10.255.50.26 Value Missing</v>
      </c>
      <c r="E106" s="228"/>
    </row>
    <row r="107" spans="1:5" s="19" customFormat="1" ht="20.100000000000001" customHeight="1" x14ac:dyDescent="0.2">
      <c r="B107" s="226" t="s">
        <v>2565</v>
      </c>
      <c r="C107" s="227" t="str">
        <f t="array" ref="C107">sample_cbr_vcdr_orchestrator_fqdn</f>
        <v>vcdr-34-212-247-60.app.vcdr.vmware.com</v>
      </c>
      <c r="D107" s="112" t="str">
        <f t="array" ref="D107">cbr_vcdr_orchestrator_fqdn</f>
        <v>Value Missing</v>
      </c>
      <c r="E107" s="228"/>
    </row>
    <row r="108" spans="1:5" s="19" customFormat="1" ht="20.100000000000001" customHeight="1" x14ac:dyDescent="0.2">
      <c r="B108" s="226" t="s">
        <v>2569</v>
      </c>
      <c r="C108" s="227" t="str">
        <f t="array" ref="C108">sample_cbr_vcdr_passcode</f>
        <v>&lt;generated&gt;</v>
      </c>
      <c r="D108" s="112" t="str">
        <f t="array" ref="D108">cbr_vcdr_passcode</f>
        <v>Value Missing</v>
      </c>
      <c r="E108" s="228"/>
    </row>
    <row r="109" spans="1:5" s="19" customFormat="1" ht="20.100000000000001" customHeight="1" x14ac:dyDescent="0.2">
      <c r="B109" s="226" t="s">
        <v>2573</v>
      </c>
      <c r="C109" s="227" t="str">
        <f t="array" ref="C109">sample_cbr_vcdr_label</f>
        <v>sfo-cbr-cdp01</v>
      </c>
      <c r="D109" s="112" t="str">
        <f t="array" ref="D109">cbr_vcdr_label</f>
        <v>Value Missing</v>
      </c>
      <c r="E109" s="228"/>
    </row>
    <row r="110" spans="1:5" s="19" customFormat="1" ht="20.100000000000001" customHeight="1" x14ac:dyDescent="0.2"/>
    <row r="111" spans="1:5" ht="34.35" customHeight="1" x14ac:dyDescent="0.2">
      <c r="A111" s="223"/>
      <c r="B111" s="652" t="s">
        <v>3812</v>
      </c>
      <c r="C111" s="652"/>
      <c r="D111" s="652"/>
      <c r="E111" s="652"/>
    </row>
    <row r="112" spans="1:5" ht="20.100000000000001" customHeight="1" x14ac:dyDescent="0.2">
      <c r="A112" s="223"/>
      <c r="B112" s="224" t="s">
        <v>259</v>
      </c>
      <c r="C112" s="224" t="s">
        <v>711</v>
      </c>
      <c r="D112" s="225" t="s">
        <v>277</v>
      </c>
      <c r="E112" s="224" t="s">
        <v>5</v>
      </c>
    </row>
    <row r="113" spans="1:5" ht="20.100000000000001" customHeight="1" x14ac:dyDescent="0.2">
      <c r="A113" s="223"/>
      <c r="B113" s="226" t="s">
        <v>3786</v>
      </c>
      <c r="C113" s="227" t="s">
        <v>3787</v>
      </c>
      <c r="D113" s="112" t="str">
        <f>C113</f>
        <v>console.cloud.vmware.com</v>
      </c>
      <c r="E113" s="228"/>
    </row>
    <row r="114" spans="1:5" ht="20.100000000000001" customHeight="1" x14ac:dyDescent="0.2">
      <c r="A114" s="223"/>
      <c r="B114" s="226" t="s">
        <v>3806</v>
      </c>
      <c r="C114" s="227" t="str">
        <f>sample_cbr_vcdr_site_name</f>
        <v>sfo-vcf01-instance</v>
      </c>
      <c r="D114" s="112" t="str">
        <f>cbr_vcdr_site_name</f>
        <v>Value Missing</v>
      </c>
      <c r="E114" s="228"/>
    </row>
    <row r="115" spans="1:5" ht="20.100000000000001" customHeight="1" x14ac:dyDescent="0.2">
      <c r="A115" s="223"/>
      <c r="B115" s="226" t="s">
        <v>3813</v>
      </c>
      <c r="C115" s="227" t="str">
        <f>sample_wld_vc_ip</f>
        <v>10.11.10.130</v>
      </c>
      <c r="D115" s="112" t="str">
        <f>wld_vc_ip</f>
        <v>Value Missing</v>
      </c>
      <c r="E115" s="228"/>
    </row>
    <row r="116" spans="1:5" ht="20.100000000000001" customHeight="1" x14ac:dyDescent="0.2">
      <c r="A116" s="223"/>
      <c r="B116" s="226" t="s">
        <v>3814</v>
      </c>
      <c r="C116" s="227" t="str">
        <f>sso_default_admin</f>
        <v>administrator@vsphere.local</v>
      </c>
      <c r="D116" s="112" t="str">
        <f>sso_default_admin</f>
        <v>administrator@vsphere.local</v>
      </c>
      <c r="E116" s="228"/>
    </row>
    <row r="117" spans="1:5" ht="20.100000000000001" customHeight="1" x14ac:dyDescent="0.2">
      <c r="A117" s="223"/>
      <c r="B117" s="226" t="s">
        <v>3815</v>
      </c>
      <c r="C117" s="227" t="str">
        <f>sample_administrator_vsphere_local_password</f>
        <v>VMw@re1!VMw@re1!</v>
      </c>
      <c r="D117" s="112" t="str">
        <f>administrator_vsphere_local_password</f>
        <v>VMware123!VMware123!</v>
      </c>
      <c r="E117" s="228"/>
    </row>
    <row r="118" spans="1:5" ht="20.100000000000001" customHeight="1" x14ac:dyDescent="0.2">
      <c r="A118" s="223"/>
      <c r="B118" s="226" t="s">
        <v>3816</v>
      </c>
      <c r="C118" s="227" t="str">
        <f>CONCATENATE(sample_svc_cbr_vcdr_vsphere_user,"@vsphere.local")</f>
        <v>svc-vlcr-vsphere@vsphere.local</v>
      </c>
      <c r="D118" s="112" t="str">
        <f>CONCATENATE(svc_cbr_vcdr_vsphere_user,"@vsphere.local")</f>
        <v>Value Missing@vsphere.local</v>
      </c>
      <c r="E118" s="228"/>
    </row>
    <row r="119" spans="1:5" ht="20.100000000000001" customHeight="1" x14ac:dyDescent="0.2">
      <c r="A119" s="223"/>
      <c r="B119" s="226" t="s">
        <v>3817</v>
      </c>
      <c r="C119" s="227" t="str">
        <f>sample_svc_cbr_vcdr_vsphere_password</f>
        <v>VMw@re1!</v>
      </c>
      <c r="D119" s="112" t="str">
        <f t="array" ref="D119">svc_cbr_vcdr_vsphere_password</f>
        <v>Value Missing</v>
      </c>
      <c r="E119" s="228"/>
    </row>
    <row r="120" spans="1:5" ht="20.100000000000001" customHeight="1" x14ac:dyDescent="0.2">
      <c r="A120" s="223"/>
      <c r="B120" s="230" t="s">
        <v>3818</v>
      </c>
      <c r="C120" s="227" t="str">
        <f>sample_cbr_vcdr_vsphere_role</f>
        <v>VMware Live Cyber Recovery to vSphere Integration</v>
      </c>
      <c r="D120" s="112" t="str">
        <f>cbr_vcdr_vsphere_role</f>
        <v>Value Missing</v>
      </c>
      <c r="E120" s="228"/>
    </row>
    <row r="121" spans="1:5" ht="20.100000000000001" customHeight="1" x14ac:dyDescent="0.2">
      <c r="A121" s="223"/>
      <c r="B121" s="231"/>
      <c r="C121" s="232"/>
      <c r="D121" s="232"/>
      <c r="E121" s="223"/>
    </row>
    <row r="122" spans="1:5" s="19" customFormat="1" ht="33.950000000000003" customHeight="1" x14ac:dyDescent="0.2">
      <c r="B122" s="652" t="s">
        <v>3819</v>
      </c>
      <c r="C122" s="652"/>
      <c r="D122" s="652"/>
      <c r="E122" s="652"/>
    </row>
    <row r="123" spans="1:5" s="19" customFormat="1" ht="20.100000000000001" customHeight="1" x14ac:dyDescent="0.2">
      <c r="B123" s="224" t="s">
        <v>259</v>
      </c>
      <c r="C123" s="224" t="s">
        <v>711</v>
      </c>
      <c r="D123" s="225" t="s">
        <v>277</v>
      </c>
      <c r="E123" s="224" t="s">
        <v>5</v>
      </c>
    </row>
    <row r="124" spans="1:5" s="19" customFormat="1" ht="20.100000000000001" customHeight="1" x14ac:dyDescent="0.2">
      <c r="B124" s="226" t="s">
        <v>3254</v>
      </c>
      <c r="C124" s="227" t="str">
        <f>sample_mgmt_vc_fqdn</f>
        <v>sfo-m01-vc01.sfo.rainpole.io</v>
      </c>
      <c r="D124" s="112" t="str">
        <f>mgmt_vc_fqdn</f>
        <v>labvcvcf01v.vcf.lab.local</v>
      </c>
      <c r="E124" s="228"/>
    </row>
    <row r="125" spans="1:5" s="19" customFormat="1" ht="20.100000000000001" customHeight="1" x14ac:dyDescent="0.2">
      <c r="B125" s="226" t="s">
        <v>748</v>
      </c>
      <c r="C125" s="227" t="str">
        <f>sample_mgmt_datacenter</f>
        <v>sfo-m01-dc01</v>
      </c>
      <c r="D125" s="112" t="str">
        <f>mgmt_datacenter</f>
        <v>Site01</v>
      </c>
      <c r="E125" s="228"/>
    </row>
    <row r="126" spans="1:5" s="19" customFormat="1" ht="20.100000000000001" customHeight="1" x14ac:dyDescent="0.2">
      <c r="B126" s="226" t="s">
        <v>1165</v>
      </c>
      <c r="C126" s="227" t="str">
        <f>sample_mgmt_cl01_cluster</f>
        <v>sfo-m01-cl01</v>
      </c>
      <c r="D126" s="112" t="str">
        <f>mgmt_cl01_cluster</f>
        <v>vcf-mgmt-cluster01</v>
      </c>
      <c r="E126" s="228"/>
    </row>
    <row r="127" spans="1:5" s="19" customFormat="1" ht="20.100000000000001" customHeight="1" x14ac:dyDescent="0.2">
      <c r="B127" s="226" t="s">
        <v>259</v>
      </c>
      <c r="C127" s="227" t="str">
        <f>sample_cbr_vcdr_anti_affinity</f>
        <v>sfo-m01anti-affinity-rule-cbr</v>
      </c>
      <c r="D127" s="112" t="str">
        <f>cbr_vcdr_anti_affinity</f>
        <v>Value Missing</v>
      </c>
      <c r="E127" s="228"/>
    </row>
    <row r="128" spans="1:5" s="19" customFormat="1" ht="20.100000000000001" customHeight="1" x14ac:dyDescent="0.2">
      <c r="B128" s="226" t="s">
        <v>3820</v>
      </c>
      <c r="C128" s="227" t="str">
        <f>sample_cbr_vcdr_cdp1_hostname</f>
        <v>sfo-cbr-cdp01a</v>
      </c>
      <c r="D128" s="112" t="str">
        <f>cbr_vcdr_cdp1_hostname</f>
        <v>Value Missing</v>
      </c>
      <c r="E128" s="228"/>
    </row>
    <row r="129" spans="2:5" s="19" customFormat="1" ht="20.100000000000001" customHeight="1" x14ac:dyDescent="0.2">
      <c r="B129" s="233" t="s">
        <v>3821</v>
      </c>
      <c r="C129" s="234" t="str">
        <f>sample_cbr_vcdr_cdp2_hostname</f>
        <v>sfo-cbr-cdp01b</v>
      </c>
      <c r="D129" s="235" t="str">
        <f>cbr_vcdr_cdp2_hostname</f>
        <v>Value Missing</v>
      </c>
      <c r="E129" s="228"/>
    </row>
    <row r="130" spans="2:5" s="19" customFormat="1" ht="20.100000000000001" customHeight="1" x14ac:dyDescent="0.2"/>
    <row r="131" spans="2:5" s="19" customFormat="1" ht="33.950000000000003" customHeight="1" x14ac:dyDescent="0.2">
      <c r="B131" s="652" t="s">
        <v>3822</v>
      </c>
      <c r="C131" s="652"/>
      <c r="D131" s="652"/>
      <c r="E131" s="652"/>
    </row>
    <row r="132" spans="2:5" s="19" customFormat="1" ht="20.100000000000001" customHeight="1" x14ac:dyDescent="0.2">
      <c r="B132" s="224" t="s">
        <v>259</v>
      </c>
      <c r="C132" s="224" t="s">
        <v>711</v>
      </c>
      <c r="D132" s="225" t="s">
        <v>277</v>
      </c>
      <c r="E132" s="224" t="s">
        <v>5</v>
      </c>
    </row>
    <row r="133" spans="2:5" s="19" customFormat="1" ht="20.100000000000001" customHeight="1" x14ac:dyDescent="0.2">
      <c r="B133" s="226" t="s">
        <v>3254</v>
      </c>
      <c r="C133" s="227" t="str">
        <f>sample_mgmt_vc_fqdn</f>
        <v>sfo-m01-vc01.sfo.rainpole.io</v>
      </c>
      <c r="D133" s="112" t="str">
        <f>mgmt_vc_fqdn</f>
        <v>labvcvcf01v.vcf.lab.local</v>
      </c>
      <c r="E133" s="228"/>
    </row>
    <row r="134" spans="2:5" s="19" customFormat="1" ht="20.100000000000001" customHeight="1" x14ac:dyDescent="0.2">
      <c r="B134" s="226" t="s">
        <v>259</v>
      </c>
      <c r="C134" s="227" t="str">
        <f>CONCATENATE(sample_mgmt_cl01_cluster,"_primary-az-vmgroup")</f>
        <v>sfo-m01-cl01_primary-az-vmgroup</v>
      </c>
      <c r="D134" s="112" t="str">
        <f>CONCATENATE(mgmt_cl01_cluster,"_primary-az-vmgroup")</f>
        <v>vcf-mgmt-cluster01_primary-az-vmgroup</v>
      </c>
      <c r="E134" s="228"/>
    </row>
    <row r="135" spans="2:5" s="19" customFormat="1" ht="20.100000000000001" customHeight="1" x14ac:dyDescent="0.2">
      <c r="B135" s="226" t="s">
        <v>3820</v>
      </c>
      <c r="C135" s="227" t="str">
        <f>sample_cbr_vcdr_cdp1_hostname</f>
        <v>sfo-cbr-cdp01a</v>
      </c>
      <c r="D135" s="112" t="str">
        <f>cbr_vcdr_cdp1_hostname</f>
        <v>Value Missing</v>
      </c>
      <c r="E135" s="228"/>
    </row>
    <row r="136" spans="2:5" s="19" customFormat="1" ht="20.100000000000001" customHeight="1" x14ac:dyDescent="0.2">
      <c r="B136" s="233" t="s">
        <v>3821</v>
      </c>
      <c r="C136" s="234" t="str">
        <f>sample_cbr_vcdr_cdp2_hostname</f>
        <v>sfo-cbr-cdp01b</v>
      </c>
      <c r="D136" s="235" t="str">
        <f>cbr_vcdr_cdp2_hostname</f>
        <v>Value Missing</v>
      </c>
      <c r="E136" s="228"/>
    </row>
    <row r="137" spans="2:5" s="19" customFormat="1" ht="20.100000000000001" customHeight="1" x14ac:dyDescent="0.2"/>
    <row r="138" spans="2:5" s="19" customFormat="1" ht="33.950000000000003" customHeight="1" x14ac:dyDescent="0.2">
      <c r="B138" s="652" t="s">
        <v>3823</v>
      </c>
      <c r="C138" s="652"/>
      <c r="D138" s="652"/>
      <c r="E138" s="652"/>
    </row>
    <row r="139" spans="2:5" s="19" customFormat="1" ht="20.100000000000001" customHeight="1" x14ac:dyDescent="0.2">
      <c r="B139" s="224" t="s">
        <v>259</v>
      </c>
      <c r="C139" s="224" t="s">
        <v>711</v>
      </c>
      <c r="D139" s="225" t="s">
        <v>277</v>
      </c>
      <c r="E139" s="224" t="s">
        <v>5</v>
      </c>
    </row>
    <row r="140" spans="2:5" s="19" customFormat="1" ht="20.100000000000001" customHeight="1" x14ac:dyDescent="0.2">
      <c r="B140" s="226" t="s">
        <v>3786</v>
      </c>
      <c r="C140" s="227" t="s">
        <v>3787</v>
      </c>
      <c r="D140" s="112" t="str">
        <f>C140</f>
        <v>console.cloud.vmware.com</v>
      </c>
      <c r="E140" s="228"/>
    </row>
    <row r="141" spans="2:5" s="19" customFormat="1" ht="20.100000000000001" customHeight="1" x14ac:dyDescent="0.2">
      <c r="B141" s="226" t="s">
        <v>3806</v>
      </c>
      <c r="C141" s="227" t="str">
        <f>sample_cbr_vcdr_site_name</f>
        <v>sfo-vcf01-instance</v>
      </c>
      <c r="D141" s="112" t="str">
        <f>cbr_vcdr_site_name</f>
        <v>Value Missing</v>
      </c>
      <c r="E141" s="228"/>
    </row>
    <row r="142" spans="2:5" s="19" customFormat="1" ht="20.100000000000001" customHeight="1" x14ac:dyDescent="0.2">
      <c r="B142" s="226" t="s">
        <v>3824</v>
      </c>
      <c r="C142" s="227" t="str">
        <f>sample_wld_vc_ip</f>
        <v>10.11.10.130</v>
      </c>
      <c r="D142" s="112" t="str">
        <f>wld_vc_ip</f>
        <v>Value Missing</v>
      </c>
      <c r="E142" s="228"/>
    </row>
    <row r="143" spans="2:5" s="19" customFormat="1" ht="20.100000000000001" customHeight="1" x14ac:dyDescent="0.2">
      <c r="B143" s="226" t="s">
        <v>3825</v>
      </c>
      <c r="C143" s="227" t="str">
        <f>CONCATENATE(sample_svc_cbr_vcdr_vsphere_user,"@vsphere.local")</f>
        <v>svc-vlcr-vsphere@vsphere.local</v>
      </c>
      <c r="D143" s="112" t="str">
        <f>CONCATENATE(svc_cbr_vcdr_vsphere_user,"@vsphere.local")</f>
        <v>Value Missing@vsphere.local</v>
      </c>
      <c r="E143" s="228"/>
    </row>
    <row r="144" spans="2:5" s="19" customFormat="1" ht="20.100000000000001" customHeight="1" x14ac:dyDescent="0.2">
      <c r="B144" s="226" t="s">
        <v>296</v>
      </c>
      <c r="C144" s="227" t="str">
        <f>sample_svc_cbr_vcdr_vsphere_password</f>
        <v>VMw@re1!</v>
      </c>
      <c r="D144" s="112" t="str">
        <f>svc_cbr_vcdr_vsphere_password</f>
        <v>Value Missing</v>
      </c>
      <c r="E144" s="228"/>
    </row>
    <row r="145" spans="1:6" s="19" customFormat="1" ht="20.100000000000001" customHeight="1" x14ac:dyDescent="0.2"/>
    <row r="146" spans="1:6" s="19" customFormat="1" ht="33.950000000000003" customHeight="1" x14ac:dyDescent="0.2">
      <c r="B146" s="652" t="s">
        <v>3826</v>
      </c>
      <c r="C146" s="652"/>
      <c r="D146" s="652"/>
      <c r="E146" s="652"/>
    </row>
    <row r="147" spans="1:6" s="19" customFormat="1" ht="20.100000000000001" customHeight="1" x14ac:dyDescent="0.2">
      <c r="B147" s="224" t="s">
        <v>259</v>
      </c>
      <c r="C147" s="224" t="s">
        <v>711</v>
      </c>
      <c r="D147" s="225" t="s">
        <v>277</v>
      </c>
      <c r="E147" s="224" t="s">
        <v>5</v>
      </c>
    </row>
    <row r="148" spans="1:6" s="19" customFormat="1" ht="20.100000000000001" customHeight="1" x14ac:dyDescent="0.2">
      <c r="B148" s="226" t="s">
        <v>3786</v>
      </c>
      <c r="C148" s="227" t="s">
        <v>3787</v>
      </c>
      <c r="D148" s="112" t="str">
        <f>C148</f>
        <v>console.cloud.vmware.com</v>
      </c>
      <c r="E148" s="228"/>
    </row>
    <row r="149" spans="1:6" s="19" customFormat="1" ht="20.100000000000001" customHeight="1" x14ac:dyDescent="0.2">
      <c r="B149" s="226" t="s">
        <v>3806</v>
      </c>
      <c r="C149" s="227" t="str">
        <f>sample_cbr_vcdr_site_name</f>
        <v>sfo-vcf01-instance</v>
      </c>
      <c r="D149" s="112" t="str">
        <f>cbr_vcdr_site_name</f>
        <v>Value Missing</v>
      </c>
      <c r="E149" s="228"/>
    </row>
    <row r="150" spans="1:6" s="19" customFormat="1" ht="20.100000000000001" customHeight="1" x14ac:dyDescent="0.2"/>
    <row r="151" spans="1:6" s="19" customFormat="1" ht="33.950000000000003" customHeight="1" x14ac:dyDescent="0.2">
      <c r="B151" s="652" t="s">
        <v>3827</v>
      </c>
      <c r="C151" s="652"/>
      <c r="D151" s="652"/>
      <c r="E151" s="652"/>
    </row>
    <row r="152" spans="1:6" s="19" customFormat="1" ht="20.100000000000001" customHeight="1" x14ac:dyDescent="0.2">
      <c r="B152" s="224" t="s">
        <v>259</v>
      </c>
      <c r="C152" s="224" t="s">
        <v>711</v>
      </c>
      <c r="D152" s="225" t="s">
        <v>277</v>
      </c>
      <c r="E152" s="224" t="s">
        <v>5</v>
      </c>
    </row>
    <row r="153" spans="1:6" s="19" customFormat="1" ht="20.100000000000001" customHeight="1" x14ac:dyDescent="0.2">
      <c r="B153" s="226" t="s">
        <v>3786</v>
      </c>
      <c r="C153" s="227" t="s">
        <v>3787</v>
      </c>
      <c r="D153" s="112" t="str">
        <f>C153</f>
        <v>console.cloud.vmware.com</v>
      </c>
      <c r="E153" s="228"/>
    </row>
    <row r="154" spans="1:6" s="19" customFormat="1" ht="20.100000000000001" customHeight="1" x14ac:dyDescent="0.2">
      <c r="B154" s="226" t="s">
        <v>2580</v>
      </c>
      <c r="C154" s="227" t="str">
        <f>sample_cbr_vcdr_email_recipient</f>
        <v>cloudadmins@rainpole.io</v>
      </c>
      <c r="D154" s="112" t="str">
        <f>cbr_vcdr_email_recipient</f>
        <v>Value Missing</v>
      </c>
      <c r="E154" s="228"/>
    </row>
    <row r="155" spans="1:6" s="19" customFormat="1" ht="20.100000000000001" customHeight="1" x14ac:dyDescent="0.2">
      <c r="B155" s="226" t="s">
        <v>2584</v>
      </c>
      <c r="C155" s="227" t="str">
        <f>sample_cbr_vcdr_email_sender</f>
        <v>administrator@rainpole.io</v>
      </c>
      <c r="D155" s="112" t="str">
        <f>cbr_vcdr_email_sender</f>
        <v>Value Missing</v>
      </c>
      <c r="E155" s="228"/>
    </row>
    <row r="156" spans="1:6" s="19" customFormat="1" ht="20.100000000000001" customHeight="1" x14ac:dyDescent="0.2">
      <c r="B156" s="226" t="s">
        <v>3828</v>
      </c>
      <c r="C156" s="227" t="s">
        <v>3829</v>
      </c>
      <c r="D156" s="112" t="str">
        <f>C156</f>
        <v>no-reply-vlcr</v>
      </c>
      <c r="E156" s="228"/>
    </row>
    <row r="157" spans="1:6" s="19" customFormat="1" ht="20.100000000000001" customHeight="1" x14ac:dyDescent="0.2"/>
    <row r="158" spans="1:6" s="19" customFormat="1" ht="33.950000000000003" customHeight="1" x14ac:dyDescent="0.2">
      <c r="A158" s="216"/>
      <c r="B158" s="653" t="s">
        <v>3325</v>
      </c>
      <c r="C158" s="653"/>
      <c r="D158" s="653"/>
      <c r="E158" s="653"/>
      <c r="F158" s="216"/>
    </row>
    <row r="159" spans="1:6" s="19" customFormat="1" ht="20.100000000000001" customHeight="1" x14ac:dyDescent="0.2"/>
    <row r="160" spans="1:6" s="19" customFormat="1" ht="33.950000000000003" customHeight="1" x14ac:dyDescent="0.2">
      <c r="B160" s="656" t="s">
        <v>3830</v>
      </c>
      <c r="C160" s="657"/>
      <c r="D160" s="657"/>
      <c r="E160" s="657"/>
    </row>
    <row r="161" spans="2:5" s="19" customFormat="1" ht="20.100000000000001" customHeight="1" x14ac:dyDescent="0.2"/>
    <row r="162" spans="2:5" s="19" customFormat="1" ht="33.950000000000003" customHeight="1" x14ac:dyDescent="0.2">
      <c r="B162" s="652" t="s">
        <v>3831</v>
      </c>
      <c r="C162" s="652"/>
      <c r="D162" s="652"/>
      <c r="E162" s="652"/>
    </row>
    <row r="163" spans="2:5" s="19" customFormat="1" ht="20.100000000000001" customHeight="1" x14ac:dyDescent="0.2">
      <c r="B163" s="224" t="s">
        <v>259</v>
      </c>
      <c r="C163" s="224" t="s">
        <v>711</v>
      </c>
      <c r="D163" s="225" t="s">
        <v>277</v>
      </c>
      <c r="E163" s="224" t="s">
        <v>5</v>
      </c>
    </row>
    <row r="164" spans="2:5" s="19" customFormat="1" ht="20.100000000000001" customHeight="1" x14ac:dyDescent="0.2">
      <c r="B164" s="226" t="s">
        <v>3492</v>
      </c>
      <c r="C164" s="227" t="str">
        <f>sample_xreg_vrops_virtual_fqdn</f>
        <v>flt-ops01.rainpole.io</v>
      </c>
      <c r="D164" s="112" t="str">
        <f>xreg_vrops_virtual_fqdn</f>
        <v>operations.vcf.lab.local</v>
      </c>
      <c r="E164" s="228"/>
    </row>
    <row r="165" spans="2:5" s="19" customFormat="1" ht="20.100000000000001" customHeight="1" x14ac:dyDescent="0.2">
      <c r="B165" s="226" t="s">
        <v>259</v>
      </c>
      <c r="C165" s="227" t="str">
        <f>"ransomware-recovery-proxies"</f>
        <v>ransomware-recovery-proxies</v>
      </c>
      <c r="D165" s="112" t="str">
        <f>C165</f>
        <v>ransomware-recovery-proxies</v>
      </c>
      <c r="E165" s="228"/>
    </row>
    <row r="166" spans="2:5" s="19" customFormat="1" ht="20.100000000000001" customHeight="1" x14ac:dyDescent="0.2">
      <c r="B166" s="226" t="s">
        <v>3832</v>
      </c>
      <c r="C166" s="227" t="str">
        <f>C165</f>
        <v>ransomware-recovery-proxies</v>
      </c>
      <c r="D166" s="112" t="str">
        <f>C166</f>
        <v>ransomware-recovery-proxies</v>
      </c>
      <c r="E166" s="228"/>
    </row>
    <row r="167" spans="2:5" s="19" customFormat="1" ht="20.100000000000001" customHeight="1" x14ac:dyDescent="0.2">
      <c r="B167" s="226" t="s">
        <v>3833</v>
      </c>
      <c r="C167" s="227" t="str">
        <f>CONCATENATE(sample_cbr_vcdr_cdp1_ip,",",sample_cbr_vcdr_cdp2_ip)</f>
        <v>10.11.10.44,10.11.10.45</v>
      </c>
      <c r="D167" s="112" t="str">
        <f>CONCATENATE(cbr_vcdr_cdp1_ip,",",cbr_vcdr_cdp2_ip)</f>
        <v>Value Missing,Value Missing</v>
      </c>
      <c r="E167" s="228"/>
    </row>
    <row r="168" spans="2:5" s="19" customFormat="1" ht="20.100000000000001" customHeight="1" x14ac:dyDescent="0.2">
      <c r="B168" s="226" t="s">
        <v>3834</v>
      </c>
      <c r="C168" s="227" t="str">
        <f>CONCATENATE(sample_mgmt_sddc_domain,"-collector-group")</f>
        <v>sfo-m01-collector-group</v>
      </c>
      <c r="D168" s="112" t="str">
        <f>CONCATENATE(mgmt_sddc_domain,"-collector-group")</f>
        <v>vcf-lab-mgmt01-collector-group</v>
      </c>
      <c r="E168" s="228"/>
    </row>
    <row r="169" spans="2:5" s="19" customFormat="1" ht="20.100000000000001" customHeight="1" x14ac:dyDescent="0.2"/>
    <row r="170" spans="2:5" s="19" customFormat="1" x14ac:dyDescent="0.2"/>
    <row r="171" spans="2:5" s="19" customFormat="1" x14ac:dyDescent="0.2"/>
    <row r="172" spans="2:5" s="19" customFormat="1" x14ac:dyDescent="0.2"/>
    <row r="173" spans="2:5" s="19" customFormat="1" x14ac:dyDescent="0.2"/>
    <row r="174" spans="2:5" s="19" customFormat="1" x14ac:dyDescent="0.2"/>
    <row r="175" spans="2:5" s="19" customFormat="1" x14ac:dyDescent="0.2"/>
    <row r="176" spans="2:5" s="19" customFormat="1" x14ac:dyDescent="0.2"/>
    <row r="177" s="19" customFormat="1" x14ac:dyDescent="0.2"/>
    <row r="178" s="19" customFormat="1" x14ac:dyDescent="0.2"/>
    <row r="179" s="19" customFormat="1" x14ac:dyDescent="0.2"/>
    <row r="180" s="19" customFormat="1" x14ac:dyDescent="0.2"/>
    <row r="181" s="19" customFormat="1" x14ac:dyDescent="0.2"/>
    <row r="182" s="19" customFormat="1" x14ac:dyDescent="0.2"/>
    <row r="183" s="19" customFormat="1" x14ac:dyDescent="0.2"/>
    <row r="184" s="19" customFormat="1" x14ac:dyDescent="0.2"/>
    <row r="185" s="19" customFormat="1" x14ac:dyDescent="0.2"/>
    <row r="186" s="19" customFormat="1" x14ac:dyDescent="0.2"/>
    <row r="187" s="19" customFormat="1" x14ac:dyDescent="0.2"/>
    <row r="188" s="19" customFormat="1" x14ac:dyDescent="0.2"/>
    <row r="189" s="19" customFormat="1" x14ac:dyDescent="0.2"/>
    <row r="190" s="19" customFormat="1" x14ac:dyDescent="0.2"/>
    <row r="191" s="19" customFormat="1" x14ac:dyDescent="0.2"/>
    <row r="192" s="19" customFormat="1" x14ac:dyDescent="0.2"/>
    <row r="193" s="19" customFormat="1" x14ac:dyDescent="0.2"/>
    <row r="194" s="19" customFormat="1" x14ac:dyDescent="0.2"/>
    <row r="195" s="19" customFormat="1" x14ac:dyDescent="0.2"/>
    <row r="196" s="19" customFormat="1" x14ac:dyDescent="0.2"/>
    <row r="197" s="19" customFormat="1" x14ac:dyDescent="0.2"/>
    <row r="198" s="19" customFormat="1" x14ac:dyDescent="0.2"/>
    <row r="199" s="19" customFormat="1" x14ac:dyDescent="0.2"/>
    <row r="200" s="19" customFormat="1" x14ac:dyDescent="0.2"/>
    <row r="201" s="19" customFormat="1" x14ac:dyDescent="0.2"/>
    <row r="202" s="19" customFormat="1" x14ac:dyDescent="0.2"/>
    <row r="203" s="19" customFormat="1" x14ac:dyDescent="0.2"/>
    <row r="204" s="19" customFormat="1" x14ac:dyDescent="0.2"/>
    <row r="205" s="19" customFormat="1" x14ac:dyDescent="0.2"/>
    <row r="206" s="19" customFormat="1" x14ac:dyDescent="0.2"/>
    <row r="207" s="19" customFormat="1" x14ac:dyDescent="0.2"/>
    <row r="208" s="19" customFormat="1" x14ac:dyDescent="0.2"/>
    <row r="209" s="19" customFormat="1" x14ac:dyDescent="0.2"/>
    <row r="210" s="19" customFormat="1" x14ac:dyDescent="0.2"/>
    <row r="211" s="19" customFormat="1" x14ac:dyDescent="0.2"/>
    <row r="212" s="19" customFormat="1" x14ac:dyDescent="0.2"/>
    <row r="213" s="19" customFormat="1" x14ac:dyDescent="0.2"/>
    <row r="214" s="19" customFormat="1" x14ac:dyDescent="0.2"/>
    <row r="215" s="19" customFormat="1" x14ac:dyDescent="0.2"/>
    <row r="216" s="19" customFormat="1" x14ac:dyDescent="0.2"/>
    <row r="217" s="19" customFormat="1" x14ac:dyDescent="0.2"/>
    <row r="218" s="19" customFormat="1" x14ac:dyDescent="0.2"/>
    <row r="219" s="19" customFormat="1" x14ac:dyDescent="0.2"/>
    <row r="220" s="19" customFormat="1" x14ac:dyDescent="0.2"/>
    <row r="221" s="19" customFormat="1" x14ac:dyDescent="0.2"/>
    <row r="222" s="19" customFormat="1" x14ac:dyDescent="0.2"/>
    <row r="223" s="19" customFormat="1" x14ac:dyDescent="0.2"/>
    <row r="224" s="19" customFormat="1" x14ac:dyDescent="0.2"/>
    <row r="225" s="19" customFormat="1" x14ac:dyDescent="0.2"/>
    <row r="226" s="19" customFormat="1" x14ac:dyDescent="0.2"/>
    <row r="227" s="19" customFormat="1" x14ac:dyDescent="0.2"/>
    <row r="228" s="19" customFormat="1" x14ac:dyDescent="0.2"/>
    <row r="229" s="19" customFormat="1" x14ac:dyDescent="0.2"/>
    <row r="230" s="19" customFormat="1" x14ac:dyDescent="0.2"/>
    <row r="231" s="19" customFormat="1" x14ac:dyDescent="0.2"/>
    <row r="232" s="19" customFormat="1" x14ac:dyDescent="0.2"/>
    <row r="233" s="19" customFormat="1" x14ac:dyDescent="0.2"/>
    <row r="234" s="19" customFormat="1" x14ac:dyDescent="0.2"/>
    <row r="235" s="19" customFormat="1" x14ac:dyDescent="0.2"/>
    <row r="236" s="19" customFormat="1" x14ac:dyDescent="0.2"/>
    <row r="237" s="19" customFormat="1" x14ac:dyDescent="0.2"/>
    <row r="238" s="19" customFormat="1" x14ac:dyDescent="0.2"/>
    <row r="239" s="19" customFormat="1" x14ac:dyDescent="0.2"/>
    <row r="240"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sheetData>
  <sheetProtection algorithmName="SHA-512" hashValue="yp+HtzXse4Z88nHS5JzEEQmfjxCp6PIOWm1QONMiPrbPUik2VK0aTwMAXXD0RbAg86Lc7WXIze6n6Se1mmhxrw==" saltValue="JMe/ZXSl4YO/bhCYmndyJg==" spinCount="100000" sheet="1" objects="1" scenarios="1"/>
  <mergeCells count="24">
    <mergeCell ref="B71:E71"/>
    <mergeCell ref="B2:E2"/>
    <mergeCell ref="B160:E160"/>
    <mergeCell ref="B76:E76"/>
    <mergeCell ref="B3:E3"/>
    <mergeCell ref="B42:E42"/>
    <mergeCell ref="B50:E50"/>
    <mergeCell ref="B12:E12"/>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s>
  <conditionalFormatting sqref="B12:E39">
    <cfRule type="expression" dxfId="2233" priority="6">
      <formula>cbr_result="Excluded"</formula>
    </cfRule>
  </conditionalFormatting>
  <conditionalFormatting sqref="C7:J8 H9:J9 C9:G10 H10">
    <cfRule type="expression" dxfId="2232" priority="1">
      <formula>cbr_result="Excluded"</formula>
    </cfRule>
  </conditionalFormatting>
  <conditionalFormatting sqref="D5">
    <cfRule type="expression" dxfId="2231" priority="80">
      <formula>OR((cbr_result="Excluded"),AND((intelligent_operations_result="Excluded")))</formula>
    </cfRule>
  </conditionalFormatting>
  <conditionalFormatting sqref="D14:D39">
    <cfRule type="notContainsBlanks" dxfId="2230" priority="7">
      <formula>LEN(TRIM(D14))&gt;0</formula>
    </cfRule>
    <cfRule type="containsBlanks" dxfId="2229" priority="8">
      <formula>LEN(TRIM(D14))=0</formula>
    </cfRule>
  </conditionalFormatting>
  <conditionalFormatting sqref="D42">
    <cfRule type="expression" dxfId="2228"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2227" priority="9" stopIfTrue="1">
      <formula>cbr_result="Excluded"</formula>
    </cfRule>
    <cfRule type="notContainsBlanks" dxfId="2226" priority="20">
      <formula>LEN(TRIM(D44))&gt;0</formula>
    </cfRule>
  </conditionalFormatting>
  <conditionalFormatting sqref="D160 D162 D164:D168">
    <cfRule type="expression" dxfId="2225" priority="18" stopIfTrue="1">
      <formula>OR((cbr_result="Excluded"),AND((intelligent_operations_result="Excluded")))</formula>
    </cfRule>
  </conditionalFormatting>
  <conditionalFormatting sqref="E9:E10">
    <cfRule type="notContainsBlanks" dxfId="2224" priority="4">
      <formula>LEN(TRIM(E9))&gt;0</formula>
    </cfRule>
    <cfRule type="containsBlanks" dxfId="2223" priority="5">
      <formula>LEN(TRIM(E9))=0</formula>
    </cfRule>
  </conditionalFormatting>
  <conditionalFormatting sqref="G9:G10">
    <cfRule type="notContainsBlanks" dxfId="2222" priority="2">
      <formula>LEN(TRIM(G9))&gt;0</formula>
    </cfRule>
    <cfRule type="containsBlanks" dxfId="2221"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700-000000000000}"/>
    <hyperlink ref="C5" location="'Cloud-Based Ransomware Recovery'!B8" display="Deployment" xr:uid="{00000000-0004-0000-1700-000001000000}"/>
    <hyperlink ref="D5" location="'Cloud-Based Ransomware Recovery'!B130" display="Solution Interoperability" xr:uid="{00000000-0004-0000-17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7" activePane="bottomLeft" state="frozen"/>
      <selection pane="bottomLeft" activeCell="L24" sqref="L24"/>
    </sheetView>
  </sheetViews>
  <sheetFormatPr defaultColWidth="11" defaultRowHeight="15" x14ac:dyDescent="0.2"/>
  <cols>
    <col min="1" max="1" width="2.875" style="19" customWidth="1"/>
    <col min="2" max="2" width="63.875" style="8" customWidth="1"/>
    <col min="3" max="3" width="78.875" style="8" customWidth="1"/>
    <col min="4" max="4" width="84.875" style="8" customWidth="1"/>
    <col min="5" max="5" width="60.87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3835</v>
      </c>
      <c r="C2" s="655"/>
      <c r="D2" s="655"/>
      <c r="E2" s="664"/>
      <c r="F2" s="203"/>
    </row>
    <row r="3" spans="1:19" ht="15.75" x14ac:dyDescent="0.2">
      <c r="A3" s="203"/>
      <c r="B3" s="661" t="s">
        <v>3836</v>
      </c>
      <c r="C3" s="661"/>
      <c r="D3" s="661"/>
      <c r="E3" s="662"/>
      <c r="F3" s="203"/>
    </row>
    <row r="4" spans="1:19" x14ac:dyDescent="0.2">
      <c r="A4" s="216"/>
      <c r="B4" s="216"/>
      <c r="C4" s="216"/>
      <c r="D4" s="216"/>
      <c r="E4" s="216"/>
      <c r="F4" s="216"/>
    </row>
    <row r="5" spans="1:19" ht="33.950000000000003" customHeight="1" x14ac:dyDescent="0.2">
      <c r="A5" s="216"/>
      <c r="B5" s="217" t="s">
        <v>3758</v>
      </c>
      <c r="C5" s="217" t="s">
        <v>1014</v>
      </c>
      <c r="D5" s="236" t="s">
        <v>3325</v>
      </c>
      <c r="E5" s="237"/>
      <c r="F5" s="220"/>
    </row>
    <row r="6" spans="1:19" ht="20.100000000000001" customHeight="1" x14ac:dyDescent="0.2">
      <c r="A6" s="203"/>
      <c r="B6" s="203"/>
      <c r="C6" s="203"/>
      <c r="D6" s="221"/>
      <c r="E6" s="222"/>
      <c r="F6" s="222"/>
    </row>
    <row r="7" spans="1:19" ht="33.950000000000003" customHeight="1" x14ac:dyDescent="0.2">
      <c r="A7" s="8"/>
      <c r="B7" s="408" t="s">
        <v>3837</v>
      </c>
      <c r="C7" s="409"/>
      <c r="D7" s="409"/>
      <c r="E7" s="409"/>
      <c r="F7" s="409"/>
      <c r="G7" s="409"/>
      <c r="H7" s="409"/>
      <c r="I7" s="409"/>
      <c r="J7" s="410"/>
      <c r="K7" s="8"/>
      <c r="L7" s="8"/>
      <c r="M7" s="8"/>
      <c r="N7" s="8"/>
      <c r="O7" s="8"/>
      <c r="P7" s="8"/>
      <c r="Q7" s="8"/>
      <c r="R7" s="8"/>
      <c r="S7" s="8"/>
    </row>
    <row r="8" spans="1:19" ht="20.100000000000001" customHeight="1" x14ac:dyDescent="0.2">
      <c r="A8" s="8"/>
      <c r="B8" s="346" t="s">
        <v>3072</v>
      </c>
      <c r="C8" s="346" t="s">
        <v>202</v>
      </c>
      <c r="D8" s="346" t="s">
        <v>3073</v>
      </c>
      <c r="E8" s="97" t="s">
        <v>3074</v>
      </c>
      <c r="F8" s="346" t="s">
        <v>470</v>
      </c>
      <c r="G8" s="97" t="s">
        <v>471</v>
      </c>
      <c r="H8" s="451" t="s">
        <v>5</v>
      </c>
      <c r="I8" s="452"/>
      <c r="J8" s="453"/>
      <c r="K8" s="8"/>
      <c r="L8" s="8"/>
      <c r="M8" s="8"/>
      <c r="N8" s="8"/>
      <c r="O8" s="8"/>
      <c r="P8" s="8"/>
      <c r="Q8" s="8"/>
      <c r="R8" s="8"/>
      <c r="S8" s="8"/>
    </row>
    <row r="9" spans="1:19" ht="20.100000000000001" customHeight="1" x14ac:dyDescent="0.2">
      <c r="A9" s="8"/>
      <c r="B9" s="4" t="s">
        <v>3838</v>
      </c>
      <c r="C9" s="9" t="s">
        <v>2271</v>
      </c>
      <c r="D9" s="80" t="str">
        <f>CONCATENATE(this_instance,"-ccm-hcx01")</f>
        <v>sfo-ccm-hcx01</v>
      </c>
      <c r="E9" s="347"/>
      <c r="F9" s="80" t="str">
        <f>IF(mgmt_dpg_reuse_result="Included",CONCATENATE(prefix_mgmt_az1_cidr,"10.46"),CONCATENATE(prefix_mgmt_az1_cidr,"11.46"))</f>
        <v>10.11.10.46</v>
      </c>
      <c r="G9" s="347"/>
      <c r="H9" s="641" t="s">
        <v>3838</v>
      </c>
      <c r="I9" s="642"/>
      <c r="J9" s="640"/>
      <c r="K9" s="8"/>
      <c r="L9" s="8"/>
      <c r="M9" s="8"/>
      <c r="N9" s="8"/>
      <c r="O9" s="8"/>
      <c r="P9" s="8"/>
      <c r="Q9" s="8"/>
      <c r="R9" s="8"/>
      <c r="S9" s="8"/>
    </row>
    <row r="10" spans="1:19" ht="20.100000000000001" customHeight="1" x14ac:dyDescent="0.2">
      <c r="A10" s="8"/>
      <c r="B10" s="672" t="s">
        <v>3839</v>
      </c>
      <c r="C10" s="673"/>
      <c r="D10" s="672" t="s">
        <v>3840</v>
      </c>
      <c r="E10" s="674"/>
      <c r="F10" s="675" t="s">
        <v>3841</v>
      </c>
      <c r="G10" s="673"/>
      <c r="H10" s="665"/>
      <c r="I10" s="666"/>
      <c r="J10" s="667"/>
      <c r="K10" s="8"/>
      <c r="L10" s="8"/>
      <c r="M10" s="8"/>
      <c r="N10" s="8"/>
      <c r="O10" s="8"/>
      <c r="P10" s="8"/>
      <c r="Q10" s="8"/>
      <c r="R10" s="8"/>
      <c r="S10" s="8"/>
    </row>
    <row r="11" spans="1:19" ht="20.100000000000001" customHeight="1" x14ac:dyDescent="0.2">
      <c r="A11" s="8"/>
      <c r="B11" s="471" t="s">
        <v>2489</v>
      </c>
      <c r="C11" s="472"/>
      <c r="D11" s="670" t="str">
        <f>IF(mgmt_dpg_reuse_result="Included",CONCATENATE(prefix_wld_az1_cidr,"10.221-",prefix_wld_az1_cidr,"10.225"),CONCATENATE(prefix_wld_az1_cidr,"11.221-",prefix_wld_az1_cidr,"11.225"))</f>
        <v>10.13.10.221-10.13.10.225</v>
      </c>
      <c r="E11" s="671"/>
      <c r="F11" s="668"/>
      <c r="G11" s="669"/>
      <c r="H11" s="641"/>
      <c r="I11" s="642"/>
      <c r="J11" s="640"/>
      <c r="K11" s="8"/>
      <c r="L11" s="8"/>
      <c r="M11" s="8"/>
      <c r="N11" s="8"/>
      <c r="O11" s="8"/>
      <c r="P11" s="8"/>
      <c r="Q11" s="8"/>
      <c r="R11" s="8"/>
      <c r="S11" s="8"/>
    </row>
    <row r="12" spans="1:19" ht="20.100000000000001" customHeight="1" x14ac:dyDescent="0.2">
      <c r="A12" s="8"/>
      <c r="B12" s="471" t="s">
        <v>2040</v>
      </c>
      <c r="C12" s="472"/>
      <c r="D12" s="670" t="str">
        <f>CONCATENATE(prefix_wld_az1_cidr,"12.221-",prefix_wld_az1_cidr,"12.225")</f>
        <v>10.13.12.221-10.13.12.225</v>
      </c>
      <c r="E12" s="671"/>
      <c r="F12" s="668"/>
      <c r="G12" s="669"/>
      <c r="H12" s="641"/>
      <c r="I12" s="642"/>
      <c r="J12" s="640"/>
      <c r="K12" s="8"/>
      <c r="L12" s="8"/>
      <c r="M12" s="8"/>
      <c r="N12" s="8"/>
      <c r="O12" s="8"/>
      <c r="P12" s="8"/>
      <c r="Q12" s="8"/>
      <c r="R12" s="8"/>
      <c r="S12" s="8"/>
    </row>
    <row r="13" spans="1:19" x14ac:dyDescent="0.2">
      <c r="A13" s="8"/>
      <c r="B13" s="2"/>
      <c r="C13" s="2"/>
      <c r="D13" s="2"/>
      <c r="E13" s="2"/>
      <c r="F13" s="2"/>
      <c r="G13" s="2"/>
      <c r="H13" s="2"/>
      <c r="I13" s="2"/>
      <c r="J13" s="3"/>
      <c r="K13" s="8"/>
      <c r="L13" s="8"/>
      <c r="M13" s="8"/>
      <c r="N13" s="8"/>
      <c r="O13" s="8"/>
      <c r="P13" s="8"/>
      <c r="Q13" s="8"/>
      <c r="R13" s="8"/>
      <c r="S13" s="8"/>
    </row>
    <row r="14" spans="1:19" s="2" customFormat="1" ht="30" customHeight="1" x14ac:dyDescent="0.25">
      <c r="B14" s="575" t="s">
        <v>3837</v>
      </c>
      <c r="C14" s="576"/>
      <c r="D14" s="576"/>
      <c r="E14" s="577"/>
    </row>
    <row r="15" spans="1:19" s="2" customFormat="1" ht="20.100000000000001" customHeight="1" x14ac:dyDescent="0.25">
      <c r="B15" s="166" t="s">
        <v>259</v>
      </c>
      <c r="C15" s="166" t="s">
        <v>711</v>
      </c>
      <c r="D15" s="167" t="s">
        <v>277</v>
      </c>
      <c r="E15" s="166" t="s">
        <v>5</v>
      </c>
    </row>
    <row r="16" spans="1:19" s="2" customFormat="1" ht="20.100000000000001" customHeight="1" x14ac:dyDescent="0.25">
      <c r="B16" s="4" t="s">
        <v>2606</v>
      </c>
      <c r="C16" s="9" t="s">
        <v>3842</v>
      </c>
      <c r="D16" s="113"/>
      <c r="E16" s="197"/>
    </row>
    <row r="17" spans="2:5" s="2" customFormat="1" ht="20.100000000000001" customHeight="1" x14ac:dyDescent="0.25">
      <c r="B17" s="4" t="s">
        <v>3843</v>
      </c>
      <c r="C17" s="9" t="str">
        <f>CONCATENATE(this_instance,"-m01-fd-ccm")</f>
        <v>sfo-m01-fd-ccm</v>
      </c>
      <c r="D17" s="113"/>
      <c r="E17" s="197"/>
    </row>
    <row r="18" spans="2:5" s="2" customFormat="1" ht="20.100000000000001" customHeight="1" x14ac:dyDescent="0.25">
      <c r="B18" s="4" t="s">
        <v>2617</v>
      </c>
      <c r="C18" s="9" t="str">
        <f>CONCATENATE(this_instance,"-w0",wld_domain_number_chosen,"-fd-hcx")</f>
        <v>sfo-w01-fd-hcx</v>
      </c>
      <c r="D18" s="113"/>
      <c r="E18" s="197"/>
    </row>
    <row r="19" spans="2:5" s="2" customFormat="1" ht="20.100000000000001" customHeight="1" x14ac:dyDescent="0.25">
      <c r="B19" s="4" t="s">
        <v>2620</v>
      </c>
      <c r="C19" s="9" t="str">
        <f>CONCATENATE(this_instance,"-w0",wld_domain_number_chosen,"-cl01-rp-hcx")</f>
        <v>sfo-w01-cl01-rp-hcx</v>
      </c>
      <c r="D19" s="113"/>
      <c r="E19" s="197"/>
    </row>
    <row r="20" spans="2:5" s="2" customFormat="1" ht="20.100000000000001" customHeight="1" x14ac:dyDescent="0.25">
      <c r="B20" s="4" t="s">
        <v>2628</v>
      </c>
      <c r="C20" s="9" t="s">
        <v>3844</v>
      </c>
      <c r="D20" s="113"/>
      <c r="E20" s="197"/>
    </row>
    <row r="21" spans="2:5" s="2" customFormat="1" ht="20.100000000000001" customHeight="1" x14ac:dyDescent="0.25">
      <c r="B21" s="4" t="s">
        <v>2512</v>
      </c>
      <c r="C21" s="9" t="s">
        <v>3032</v>
      </c>
      <c r="D21" s="113"/>
      <c r="E21" s="197"/>
    </row>
    <row r="22" spans="2:5" s="2" customFormat="1" ht="20.100000000000001" customHeight="1" x14ac:dyDescent="0.25">
      <c r="B22" s="4" t="s">
        <v>2515</v>
      </c>
      <c r="C22" s="9" t="s">
        <v>3845</v>
      </c>
      <c r="D22" s="113"/>
      <c r="E22" s="197"/>
    </row>
    <row r="23" spans="2:5" s="2" customFormat="1" ht="20.100000000000001" customHeight="1" x14ac:dyDescent="0.25">
      <c r="B23" s="4" t="s">
        <v>144</v>
      </c>
      <c r="C23" s="9">
        <v>2</v>
      </c>
      <c r="D23" s="113"/>
      <c r="E23" s="197"/>
    </row>
    <row r="24" spans="2:5" s="2" customFormat="1" ht="20.100000000000001" customHeight="1" x14ac:dyDescent="0.25">
      <c r="B24" s="4" t="s">
        <v>2523</v>
      </c>
      <c r="C24" s="9" t="s">
        <v>3768</v>
      </c>
      <c r="D24" s="113"/>
      <c r="E24" s="197"/>
    </row>
    <row r="25" spans="2:5" s="2" customFormat="1" ht="20.100000000000001" customHeight="1" x14ac:dyDescent="0.25">
      <c r="B25" s="4" t="s">
        <v>2527</v>
      </c>
      <c r="C25" s="9" t="s">
        <v>3768</v>
      </c>
      <c r="D25" s="113"/>
      <c r="E25" s="197"/>
    </row>
    <row r="26" spans="2:5" s="2" customFormat="1" ht="20.100000000000001" customHeight="1" x14ac:dyDescent="0.25">
      <c r="B26" s="4" t="s">
        <v>2532</v>
      </c>
      <c r="C26" s="9" t="s">
        <v>3769</v>
      </c>
      <c r="D26" s="113"/>
      <c r="E26" s="197"/>
    </row>
    <row r="27" spans="2:5" s="2" customFormat="1" ht="20.100000000000001" customHeight="1" x14ac:dyDescent="0.25">
      <c r="B27" s="4" t="s">
        <v>3770</v>
      </c>
      <c r="C27" s="9" t="s">
        <v>3771</v>
      </c>
      <c r="D27" s="113"/>
      <c r="E27" s="197"/>
    </row>
    <row r="28" spans="2:5" s="2" customFormat="1" ht="20.100000000000001" customHeight="1" x14ac:dyDescent="0.25">
      <c r="B28" s="4" t="s">
        <v>2652</v>
      </c>
      <c r="C28" s="9" t="s">
        <v>3846</v>
      </c>
      <c r="D28" s="113"/>
      <c r="E28" s="197"/>
    </row>
    <row r="29" spans="2:5" s="2" customFormat="1" ht="20.100000000000001" customHeight="1" x14ac:dyDescent="0.25">
      <c r="B29" s="4" t="s">
        <v>3772</v>
      </c>
      <c r="C29" s="9" t="s">
        <v>3773</v>
      </c>
      <c r="D29" s="113"/>
      <c r="E29" s="197"/>
    </row>
    <row r="30" spans="2:5" s="2" customFormat="1" ht="20.100000000000001" customHeight="1" x14ac:dyDescent="0.25">
      <c r="B30" s="4" t="s">
        <v>2657</v>
      </c>
      <c r="C30" s="9" t="s">
        <v>3774</v>
      </c>
      <c r="D30" s="113"/>
      <c r="E30" s="197"/>
    </row>
    <row r="31" spans="2:5" s="2" customFormat="1" ht="20.100000000000001" customHeight="1" x14ac:dyDescent="0.25">
      <c r="B31" s="4" t="s">
        <v>2662</v>
      </c>
      <c r="C31" s="9" t="s">
        <v>3708</v>
      </c>
      <c r="D31" s="113"/>
      <c r="E31" s="197"/>
    </row>
    <row r="32" spans="2:5" s="2" customFormat="1" ht="20.100000000000001" customHeight="1" x14ac:dyDescent="0.25">
      <c r="B32" s="4" t="s">
        <v>2666</v>
      </c>
      <c r="C32" s="9" t="s">
        <v>3847</v>
      </c>
      <c r="D32" s="113"/>
      <c r="E32" s="197"/>
    </row>
    <row r="33" spans="1:6" s="2" customFormat="1" ht="20.100000000000001" customHeight="1" x14ac:dyDescent="0.25">
      <c r="B33" s="4" t="s">
        <v>2673</v>
      </c>
      <c r="C33" s="9" t="s">
        <v>379</v>
      </c>
      <c r="D33" s="113"/>
      <c r="E33" s="197"/>
    </row>
    <row r="34" spans="1:6" s="2" customFormat="1" ht="20.100000000000001" customHeight="1" x14ac:dyDescent="0.25">
      <c r="B34" s="4" t="s">
        <v>2675</v>
      </c>
      <c r="C34" s="9" t="s">
        <v>379</v>
      </c>
      <c r="D34" s="113"/>
      <c r="E34" s="197"/>
    </row>
    <row r="35" spans="1:6" s="2" customFormat="1" ht="20.100000000000001" customHeight="1" x14ac:dyDescent="0.25">
      <c r="B35" s="4" t="s">
        <v>2680</v>
      </c>
      <c r="C35" s="9" t="s">
        <v>3848</v>
      </c>
      <c r="D35" s="113"/>
      <c r="E35" s="197"/>
    </row>
    <row r="36" spans="1:6" s="2" customFormat="1" ht="20.100000000000001" customHeight="1" x14ac:dyDescent="0.25">
      <c r="B36" s="4" t="s">
        <v>2682</v>
      </c>
      <c r="C36" s="9" t="s">
        <v>3849</v>
      </c>
      <c r="D36" s="113"/>
      <c r="E36" s="197"/>
    </row>
    <row r="37" spans="1:6" s="2" customFormat="1" ht="20.100000000000001" customHeight="1" x14ac:dyDescent="0.25">
      <c r="B37" s="4" t="s">
        <v>2684</v>
      </c>
      <c r="C37" s="9" t="s">
        <v>3850</v>
      </c>
      <c r="D37" s="113"/>
      <c r="E37" s="197"/>
    </row>
    <row r="38" spans="1:6" s="2" customFormat="1" ht="20.100000000000001" customHeight="1" x14ac:dyDescent="0.25">
      <c r="B38" s="4" t="s">
        <v>2690</v>
      </c>
      <c r="C38" s="9" t="str">
        <f>CONCATENATE(this_instance,"-w0",wld_domain_number_chosen,"-compute-profile")</f>
        <v>sfo-w01-compute-profile</v>
      </c>
      <c r="D38" s="113"/>
      <c r="E38" s="197"/>
    </row>
    <row r="39" spans="1:6" s="2" customFormat="1" ht="20.100000000000001" customHeight="1" x14ac:dyDescent="0.25">
      <c r="B39" s="4" t="s">
        <v>2692</v>
      </c>
      <c r="C39" s="9" t="str">
        <f>CONCATENATE(this_instance,"-w0",wld_domain_number_chosen,"-service-mesh")</f>
        <v>sfo-w01-service-mesh</v>
      </c>
      <c r="D39" s="113"/>
      <c r="E39" s="197"/>
    </row>
    <row r="40" spans="1:6" x14ac:dyDescent="0.2">
      <c r="A40" s="216"/>
      <c r="B40" s="216"/>
      <c r="C40" s="216"/>
      <c r="D40" s="216"/>
      <c r="E40" s="216"/>
      <c r="F40" s="216"/>
    </row>
    <row r="41" spans="1:6" ht="33.950000000000003" customHeight="1" x14ac:dyDescent="0.2">
      <c r="A41" s="216"/>
      <c r="B41" s="653" t="s">
        <v>1014</v>
      </c>
      <c r="C41" s="653"/>
      <c r="D41" s="653"/>
      <c r="E41" s="663"/>
      <c r="F41" s="216"/>
    </row>
    <row r="42" spans="1:6" s="19" customFormat="1" x14ac:dyDescent="0.2">
      <c r="A42" s="216"/>
      <c r="B42" s="216"/>
      <c r="C42" s="216"/>
      <c r="D42" s="216"/>
      <c r="E42" s="216"/>
      <c r="F42" s="216"/>
    </row>
    <row r="43" spans="1:6" ht="33.950000000000003" customHeight="1" x14ac:dyDescent="0.2">
      <c r="A43" s="223"/>
      <c r="B43" s="652" t="s">
        <v>3851</v>
      </c>
      <c r="C43" s="652"/>
      <c r="D43" s="652"/>
      <c r="E43" s="652"/>
    </row>
    <row r="44" spans="1:6" ht="20.100000000000001" customHeight="1" x14ac:dyDescent="0.2">
      <c r="A44" s="223"/>
      <c r="B44" s="224" t="s">
        <v>259</v>
      </c>
      <c r="C44" s="224" t="s">
        <v>711</v>
      </c>
      <c r="D44" s="225" t="s">
        <v>277</v>
      </c>
      <c r="E44" s="224" t="s">
        <v>5</v>
      </c>
    </row>
    <row r="45" spans="1:6" ht="20.100000000000001" customHeight="1" x14ac:dyDescent="0.2">
      <c r="A45" s="223"/>
      <c r="B45" s="226" t="s">
        <v>3254</v>
      </c>
      <c r="C45" s="227" t="str">
        <f>sample_mgmt_vc_fqdn</f>
        <v>sfo-m01-vc01.sfo.rainpole.io</v>
      </c>
      <c r="D45" s="112" t="str">
        <f>mgmt_vc_fqdn</f>
        <v>labvcvcf01v.vcf.lab.local</v>
      </c>
      <c r="E45" s="228"/>
    </row>
    <row r="46" spans="1:6" s="19" customFormat="1" ht="20.100000000000001" customHeight="1" x14ac:dyDescent="0.2">
      <c r="A46" s="223"/>
      <c r="B46" s="233" t="s">
        <v>3852</v>
      </c>
      <c r="C46" s="234" t="str">
        <f>sample_ccm_hcx_vsphere_role</f>
        <v>VMware HCX to vSphere Integration</v>
      </c>
      <c r="D46" s="235" t="str">
        <f t="array" ref="D46">ccm_hcx_vsphere_role</f>
        <v>Value Missing</v>
      </c>
      <c r="E46" s="228"/>
    </row>
    <row r="47" spans="1:6" s="19" customFormat="1" ht="20.100000000000001" customHeight="1" x14ac:dyDescent="0.2"/>
    <row r="48" spans="1:6" s="19" customFormat="1" ht="33.950000000000003" customHeight="1" x14ac:dyDescent="0.2">
      <c r="B48" s="652" t="s">
        <v>3853</v>
      </c>
      <c r="C48" s="652"/>
      <c r="D48" s="652"/>
      <c r="E48" s="652"/>
    </row>
    <row r="49" spans="1:5" s="19" customFormat="1" ht="20.100000000000001" customHeight="1" x14ac:dyDescent="0.2">
      <c r="B49" s="224" t="s">
        <v>259</v>
      </c>
      <c r="C49" s="224" t="s">
        <v>711</v>
      </c>
      <c r="D49" s="225" t="s">
        <v>277</v>
      </c>
      <c r="E49" s="224" t="s">
        <v>5</v>
      </c>
    </row>
    <row r="50" spans="1:5" s="19" customFormat="1" ht="20.100000000000001" customHeight="1" x14ac:dyDescent="0.2">
      <c r="B50" s="226" t="s">
        <v>3254</v>
      </c>
      <c r="C50" s="227" t="str">
        <f>sample_mgmt_vc_fqdn</f>
        <v>sfo-m01-vc01.sfo.rainpole.io</v>
      </c>
      <c r="D50" s="112" t="str">
        <f>mgmt_vc_fqdn</f>
        <v>labvcvcf01v.vcf.lab.local</v>
      </c>
      <c r="E50" s="228"/>
    </row>
    <row r="51" spans="1:5" s="19" customFormat="1" ht="20.100000000000001" customHeight="1" x14ac:dyDescent="0.2">
      <c r="B51" s="226" t="s">
        <v>3854</v>
      </c>
      <c r="C51" s="227" t="str">
        <f>sample_child_dns_zone</f>
        <v>sfo.rainpole.io</v>
      </c>
      <c r="D51" s="112" t="str">
        <f>child_dns_zone</f>
        <v>Value Missing</v>
      </c>
      <c r="E51" s="228"/>
    </row>
    <row r="52" spans="1:5" s="19" customFormat="1" ht="20.100000000000001" customHeight="1" x14ac:dyDescent="0.2">
      <c r="B52" s="226" t="s">
        <v>3855</v>
      </c>
      <c r="C52" s="227" t="str">
        <f>sample_svc_ccm_hcx_vsphere_user</f>
        <v>svc-hcx-vsphere</v>
      </c>
      <c r="D52" s="112" t="str">
        <f>ccm_hcx_vsphere_svc_user</f>
        <v>Value Missing</v>
      </c>
      <c r="E52" s="228"/>
    </row>
    <row r="53" spans="1:5" s="19" customFormat="1" ht="20.100000000000001" customHeight="1" x14ac:dyDescent="0.2">
      <c r="B53" s="238" t="s">
        <v>3856</v>
      </c>
      <c r="C53" s="227" t="str">
        <f>sample_ccm_hcx_vsphere_role</f>
        <v>VMware HCX to vSphere Integration</v>
      </c>
      <c r="D53" s="112" t="str">
        <f>ccm_hcx_vsphere_role</f>
        <v>Value Missing</v>
      </c>
      <c r="E53" s="228"/>
    </row>
    <row r="54" spans="1:5" s="19" customFormat="1" ht="20.100000000000001" customHeight="1" x14ac:dyDescent="0.2"/>
    <row r="55" spans="1:5" s="19" customFormat="1" ht="33.950000000000003" customHeight="1" x14ac:dyDescent="0.2">
      <c r="A55" s="223"/>
      <c r="B55" s="652" t="s">
        <v>3857</v>
      </c>
      <c r="C55" s="652"/>
      <c r="D55" s="652"/>
      <c r="E55" s="652"/>
    </row>
    <row r="56" spans="1:5" s="19" customFormat="1" ht="20.100000000000001" customHeight="1" x14ac:dyDescent="0.2">
      <c r="A56" s="223"/>
      <c r="B56" s="224" t="s">
        <v>259</v>
      </c>
      <c r="C56" s="224" t="s">
        <v>711</v>
      </c>
      <c r="D56" s="225" t="s">
        <v>277</v>
      </c>
      <c r="E56" s="224" t="s">
        <v>5</v>
      </c>
    </row>
    <row r="57" spans="1:5" s="19" customFormat="1" ht="20.100000000000001" customHeight="1" x14ac:dyDescent="0.2">
      <c r="A57" s="223"/>
      <c r="B57" s="226" t="s">
        <v>3254</v>
      </c>
      <c r="C57" s="227" t="str">
        <f>sample_mgmt_vc_fqdn</f>
        <v>sfo-m01-vc01.sfo.rainpole.io</v>
      </c>
      <c r="D57" s="112" t="str">
        <f>mgmt_vc_fqdn</f>
        <v>labvcvcf01v.vcf.lab.local</v>
      </c>
      <c r="E57" s="228"/>
    </row>
    <row r="58" spans="1:5" s="19" customFormat="1" ht="20.100000000000001" customHeight="1" x14ac:dyDescent="0.2">
      <c r="A58" s="223"/>
      <c r="B58" s="226" t="s">
        <v>748</v>
      </c>
      <c r="C58" s="227" t="str">
        <f>sample_mgmt_datacenter</f>
        <v>sfo-m01-dc01</v>
      </c>
      <c r="D58" s="112" t="str">
        <f>mgmt_datacenter</f>
        <v>Site01</v>
      </c>
      <c r="E58" s="228"/>
    </row>
    <row r="59" spans="1:5" s="19" customFormat="1" ht="20.100000000000001" customHeight="1" x14ac:dyDescent="0.2">
      <c r="A59" s="223"/>
      <c r="B59" s="229" t="s">
        <v>3858</v>
      </c>
      <c r="C59" s="227" t="str">
        <f>sample_ccm_vm_folder</f>
        <v>sfo-m01-fd-ccm</v>
      </c>
      <c r="D59" s="112" t="str">
        <f>ccm_vm_folder</f>
        <v>Value Missing</v>
      </c>
      <c r="E59" s="228"/>
    </row>
    <row r="60" spans="1:5" s="19" customFormat="1" ht="20.100000000000001" customHeight="1" x14ac:dyDescent="0.2"/>
    <row r="61" spans="1:5" s="19" customFormat="1" ht="33.950000000000003" customHeight="1" x14ac:dyDescent="0.2">
      <c r="B61" s="652" t="s">
        <v>3859</v>
      </c>
      <c r="C61" s="652"/>
      <c r="D61" s="652"/>
      <c r="E61" s="652"/>
    </row>
    <row r="62" spans="1:5" s="19" customFormat="1" ht="20.100000000000001" customHeight="1" x14ac:dyDescent="0.2">
      <c r="B62" s="224" t="s">
        <v>259</v>
      </c>
      <c r="C62" s="224" t="s">
        <v>711</v>
      </c>
      <c r="D62" s="225" t="s">
        <v>277</v>
      </c>
      <c r="E62" s="224" t="s">
        <v>5</v>
      </c>
    </row>
    <row r="63" spans="1:5" s="19" customFormat="1" ht="20.100000000000001" customHeight="1" x14ac:dyDescent="0.2">
      <c r="B63" s="226" t="s">
        <v>3860</v>
      </c>
      <c r="C63" s="227" t="str">
        <f>sample_wld_vc_fqdn</f>
        <v>sfo-w01-vc01.sfo.rainpole.io</v>
      </c>
      <c r="D63" s="112" t="str">
        <f>wld_vc_fqdn</f>
        <v>Value Missing</v>
      </c>
      <c r="E63" s="228"/>
    </row>
    <row r="64" spans="1:5" s="19" customFormat="1" ht="20.100000000000001" customHeight="1" x14ac:dyDescent="0.2">
      <c r="B64" s="226" t="s">
        <v>748</v>
      </c>
      <c r="C64" s="227" t="str">
        <f>sample_wld_datacenter</f>
        <v>sfo-w01-dc</v>
      </c>
      <c r="D64" s="112" t="str">
        <f>wld_datacenter</f>
        <v>Value Missing</v>
      </c>
      <c r="E64" s="228"/>
    </row>
    <row r="65" spans="2:5" s="19" customFormat="1" ht="20.100000000000001" customHeight="1" x14ac:dyDescent="0.2">
      <c r="B65" s="226" t="s">
        <v>3861</v>
      </c>
      <c r="C65" s="227" t="str">
        <f>sample_ccm_hcx_vm_folder</f>
        <v>sfo-w01-fd-hcx</v>
      </c>
      <c r="D65" s="112"/>
      <c r="E65" s="228"/>
    </row>
    <row r="66" spans="2:5" s="19" customFormat="1" ht="20.100000000000001" customHeight="1" x14ac:dyDescent="0.2">
      <c r="B66" s="226" t="s">
        <v>2620</v>
      </c>
      <c r="C66" s="227" t="str">
        <f>sample_ccm_hcx_resource_pool</f>
        <v>sfo-w01-cl01-rp-hcx</v>
      </c>
      <c r="D66" s="112"/>
      <c r="E66" s="228"/>
    </row>
    <row r="67" spans="2:5" s="19" customFormat="1" ht="20.100000000000001" customHeight="1" x14ac:dyDescent="0.2"/>
    <row r="68" spans="2:5" s="19" customFormat="1" ht="33.950000000000003" customHeight="1" x14ac:dyDescent="0.2">
      <c r="B68" s="652" t="s">
        <v>3862</v>
      </c>
      <c r="C68" s="652"/>
      <c r="D68" s="652"/>
      <c r="E68" s="652"/>
    </row>
    <row r="69" spans="2:5" s="19" customFormat="1" ht="20.100000000000001" customHeight="1" x14ac:dyDescent="0.2">
      <c r="B69" s="224" t="s">
        <v>259</v>
      </c>
      <c r="C69" s="224" t="s">
        <v>711</v>
      </c>
      <c r="D69" s="225" t="s">
        <v>277</v>
      </c>
      <c r="E69" s="224" t="s">
        <v>5</v>
      </c>
    </row>
    <row r="70" spans="2:5" s="19" customFormat="1" ht="20.100000000000001" customHeight="1" x14ac:dyDescent="0.2">
      <c r="B70" s="226" t="s">
        <v>3863</v>
      </c>
      <c r="C70" s="227" t="str">
        <f>sample_mgmt_vc_fqdn</f>
        <v>sfo-m01-vc01.sfo.rainpole.io</v>
      </c>
      <c r="D70" s="112" t="str">
        <f>wld_nsxt_hostname&amp;"."&amp;child_dns_zone</f>
        <v>Value Missing.Value Missing</v>
      </c>
      <c r="E70" s="228"/>
    </row>
    <row r="71" spans="2:5" s="19" customFormat="1" ht="20.100000000000001" customHeight="1" x14ac:dyDescent="0.2">
      <c r="B71" s="226" t="s">
        <v>535</v>
      </c>
      <c r="C71" s="227" t="str">
        <f>sample_svc_ccm_hcx_nsx_user&amp;"@"&amp;sample_child_dns_zone</f>
        <v>svc-hcx-nsx@sfo.rainpole.io</v>
      </c>
      <c r="D71" s="112" t="str">
        <f>ccm_hcx_nsx_svc_user&amp;"@"&amp;child_dns_zone</f>
        <v>Value Missing@Value Missing</v>
      </c>
      <c r="E71" s="228"/>
    </row>
    <row r="72" spans="2:5" s="19" customFormat="1" ht="20.100000000000001" customHeight="1" x14ac:dyDescent="0.2"/>
    <row r="73" spans="2:5" s="19" customFormat="1" ht="33.950000000000003" customHeight="1" x14ac:dyDescent="0.2">
      <c r="B73" s="652" t="s">
        <v>3864</v>
      </c>
      <c r="C73" s="652"/>
      <c r="D73" s="652"/>
      <c r="E73" s="652"/>
    </row>
    <row r="74" spans="2:5" s="19" customFormat="1" ht="20.100000000000001" customHeight="1" x14ac:dyDescent="0.2">
      <c r="B74" s="224" t="s">
        <v>259</v>
      </c>
      <c r="C74" s="224" t="s">
        <v>711</v>
      </c>
      <c r="D74" s="225" t="s">
        <v>277</v>
      </c>
      <c r="E74" s="224" t="s">
        <v>5</v>
      </c>
    </row>
    <row r="75" spans="2:5" s="19" customFormat="1" ht="20.100000000000001" customHeight="1" x14ac:dyDescent="0.2">
      <c r="B75" s="226" t="s">
        <v>3786</v>
      </c>
      <c r="C75" s="227" t="s">
        <v>3787</v>
      </c>
      <c r="D75" s="112" t="str">
        <f>C75</f>
        <v>console.cloud.vmware.com</v>
      </c>
      <c r="E75" s="228"/>
    </row>
    <row r="76" spans="2:5" s="19" customFormat="1" ht="20.100000000000001" customHeight="1" x14ac:dyDescent="0.2">
      <c r="B76" s="226" t="s">
        <v>3788</v>
      </c>
      <c r="C76" s="227" t="str">
        <f>sample_ccm_aws_sddc_name</f>
        <v>mobility-sddc</v>
      </c>
      <c r="D76" s="112" t="str">
        <f>ccm_aws_sddc_name</f>
        <v>Value Missing</v>
      </c>
      <c r="E76" s="228"/>
    </row>
    <row r="77" spans="2:5" s="19" customFormat="1" ht="20.100000000000001" customHeight="1" x14ac:dyDescent="0.2">
      <c r="B77" s="226" t="s">
        <v>2512</v>
      </c>
      <c r="C77" s="227" t="str">
        <f>sample_ccm_aws_region</f>
        <v>Europe (Ireland)</v>
      </c>
      <c r="D77" s="112" t="str">
        <f>ccm_aws_region</f>
        <v>Value Missing</v>
      </c>
      <c r="E77" s="228"/>
    </row>
    <row r="78" spans="2:5" s="19" customFormat="1" ht="20.100000000000001" customHeight="1" x14ac:dyDescent="0.2">
      <c r="B78" s="226" t="s">
        <v>2515</v>
      </c>
      <c r="C78" s="227" t="str">
        <f>sample_ccm_aws_host_type</f>
        <v>I3 (Local SSD)</v>
      </c>
      <c r="D78" s="112" t="str">
        <f>ccm_aws_host_type</f>
        <v>Value Missing</v>
      </c>
      <c r="E78" s="228"/>
    </row>
    <row r="79" spans="2:5" s="19" customFormat="1" ht="20.100000000000001" customHeight="1" x14ac:dyDescent="0.2">
      <c r="B79" s="226" t="s">
        <v>144</v>
      </c>
      <c r="C79" s="227">
        <f>sample_ccm_aws_host_count</f>
        <v>2</v>
      </c>
      <c r="D79" s="112" t="str">
        <f>ccm_aws_host_count</f>
        <v>Value Missing</v>
      </c>
      <c r="E79" s="228"/>
    </row>
    <row r="80" spans="2:5" s="19" customFormat="1" ht="20.100000000000001" customHeight="1" x14ac:dyDescent="0.2">
      <c r="B80" s="226" t="s">
        <v>2523</v>
      </c>
      <c r="C80" s="227" t="str">
        <f>sample_ccm_aws_vpc</f>
        <v>&lt;generated&gt;</v>
      </c>
      <c r="D80" s="112" t="str">
        <f>ccm_aws_vpc</f>
        <v>Value Missing</v>
      </c>
      <c r="E80" s="228"/>
    </row>
    <row r="81" spans="2:5" s="19" customFormat="1" ht="20.100000000000001" customHeight="1" x14ac:dyDescent="0.2">
      <c r="B81" s="226" t="s">
        <v>2527</v>
      </c>
      <c r="C81" s="227" t="str">
        <f>sample_ccm_aws_subnet</f>
        <v>&lt;generated&gt;</v>
      </c>
      <c r="D81" s="112" t="str">
        <f>ccm_aws_subnet</f>
        <v>Value Missing</v>
      </c>
      <c r="E81" s="228"/>
    </row>
    <row r="82" spans="2:5" s="19" customFormat="1" ht="20.100000000000001" customHeight="1" x14ac:dyDescent="0.2">
      <c r="B82" s="226" t="s">
        <v>2532</v>
      </c>
      <c r="C82" s="227" t="str">
        <f>sample_ccm_aws_management_subnet</f>
        <v>10.2.0.0/16</v>
      </c>
      <c r="D82" s="112" t="str">
        <f>ccm_aws_management_subnet</f>
        <v>Value Missing</v>
      </c>
      <c r="E82" s="228"/>
    </row>
    <row r="83" spans="2:5" s="19" customFormat="1" ht="20.100000000000001" customHeight="1" x14ac:dyDescent="0.2"/>
    <row r="84" spans="2:5" s="19" customFormat="1" ht="33.950000000000003" customHeight="1" x14ac:dyDescent="0.2">
      <c r="B84" s="652" t="s">
        <v>3865</v>
      </c>
      <c r="C84" s="652"/>
      <c r="D84" s="652"/>
      <c r="E84" s="652"/>
    </row>
    <row r="85" spans="2:5" s="19" customFormat="1" ht="20.100000000000001" customHeight="1" x14ac:dyDescent="0.2">
      <c r="B85" s="224" t="s">
        <v>259</v>
      </c>
      <c r="C85" s="224" t="s">
        <v>711</v>
      </c>
      <c r="D85" s="225" t="s">
        <v>277</v>
      </c>
      <c r="E85" s="224" t="s">
        <v>5</v>
      </c>
    </row>
    <row r="86" spans="2:5" s="19" customFormat="1" ht="20.100000000000001" customHeight="1" x14ac:dyDescent="0.2">
      <c r="B86" s="226" t="s">
        <v>3786</v>
      </c>
      <c r="C86" s="227" t="s">
        <v>3787</v>
      </c>
      <c r="D86" s="112" t="s">
        <v>3787</v>
      </c>
      <c r="E86" s="228"/>
    </row>
    <row r="87" spans="2:5" s="19" customFormat="1" ht="20.100000000000001" customHeight="1" x14ac:dyDescent="0.2">
      <c r="B87" s="226" t="s">
        <v>3790</v>
      </c>
      <c r="C87" s="227" t="str">
        <f>sample_ccm_firewall_rule_vcenter</f>
        <v>vCenter Inbound Rule</v>
      </c>
      <c r="D87" s="112" t="str">
        <f>ccm_firewall_rule_vcenter</f>
        <v>Value Missing</v>
      </c>
      <c r="E87" s="228"/>
    </row>
    <row r="88" spans="2:5" s="19" customFormat="1" ht="20.100000000000001" customHeight="1" x14ac:dyDescent="0.2">
      <c r="B88" s="226" t="s">
        <v>3791</v>
      </c>
      <c r="C88" s="227" t="str">
        <f>sample_ccm_firewall_group</f>
        <v>External-Access</v>
      </c>
      <c r="D88" s="112" t="str">
        <f>ccm_firewall_group</f>
        <v>Value Missing</v>
      </c>
      <c r="E88" s="228"/>
    </row>
    <row r="89" spans="2:5" s="19" customFormat="1" ht="20.100000000000001" customHeight="1" x14ac:dyDescent="0.2">
      <c r="B89" s="226" t="s">
        <v>3792</v>
      </c>
      <c r="C89" s="227" t="s">
        <v>299</v>
      </c>
      <c r="D89" s="112" t="str">
        <f>C89</f>
        <v>vCenter</v>
      </c>
      <c r="E89" s="228"/>
    </row>
    <row r="90" spans="2:5" s="19" customFormat="1" ht="20.100000000000001" customHeight="1" x14ac:dyDescent="0.2">
      <c r="B90" s="226" t="s">
        <v>3793</v>
      </c>
      <c r="C90" s="227" t="s">
        <v>3794</v>
      </c>
      <c r="D90" s="112" t="str">
        <f>C90</f>
        <v>HTTPS (TCP 443)</v>
      </c>
      <c r="E90" s="228"/>
    </row>
    <row r="91" spans="2:5" s="19" customFormat="1" ht="20.100000000000001" customHeight="1" x14ac:dyDescent="0.2">
      <c r="B91" s="226" t="s">
        <v>3793</v>
      </c>
      <c r="C91" s="227" t="s">
        <v>3795</v>
      </c>
      <c r="D91" s="112" t="str">
        <f>C91</f>
        <v>SSO (TCP 7444)</v>
      </c>
      <c r="E91" s="228"/>
    </row>
    <row r="92" spans="2:5" s="19" customFormat="1" ht="20.100000000000001" customHeight="1" x14ac:dyDescent="0.2">
      <c r="B92" s="226" t="s">
        <v>3796</v>
      </c>
      <c r="C92" s="227" t="str">
        <f>sample_ccm_firewall_ip_addresses</f>
        <v>69.34.34.11</v>
      </c>
      <c r="D92" s="112" t="str">
        <f>ccm_firewall_ip_addresses</f>
        <v>Value Missing</v>
      </c>
      <c r="E92" s="228"/>
    </row>
    <row r="93" spans="2:5" s="19" customFormat="1" ht="20.100000000000001" customHeight="1" x14ac:dyDescent="0.2"/>
    <row r="94" spans="2:5" s="19" customFormat="1" ht="33.950000000000003" customHeight="1" x14ac:dyDescent="0.2">
      <c r="B94" s="652" t="s">
        <v>3866</v>
      </c>
      <c r="C94" s="652"/>
      <c r="D94" s="652"/>
      <c r="E94" s="652"/>
    </row>
    <row r="95" spans="2:5" s="19" customFormat="1" ht="20.100000000000001" customHeight="1" x14ac:dyDescent="0.2">
      <c r="B95" s="224" t="s">
        <v>259</v>
      </c>
      <c r="C95" s="224" t="s">
        <v>711</v>
      </c>
      <c r="D95" s="225" t="s">
        <v>277</v>
      </c>
      <c r="E95" s="224" t="s">
        <v>5</v>
      </c>
    </row>
    <row r="96" spans="2:5" s="19" customFormat="1" ht="20.100000000000001" customHeight="1" x14ac:dyDescent="0.2">
      <c r="B96" s="226" t="s">
        <v>3786</v>
      </c>
      <c r="C96" s="227" t="s">
        <v>3787</v>
      </c>
      <c r="D96" s="112" t="s">
        <v>3787</v>
      </c>
      <c r="E96" s="228"/>
    </row>
    <row r="97" spans="2:5" s="19" customFormat="1" ht="20.100000000000001" customHeight="1" x14ac:dyDescent="0.2">
      <c r="B97" s="226" t="s">
        <v>2628</v>
      </c>
      <c r="C97" s="227" t="str">
        <f>sample_ccm_aws_sddc_name</f>
        <v>mobility-sddc</v>
      </c>
      <c r="D97" s="112" t="str">
        <f>ccm_aws_sddc_name</f>
        <v>Value Missing</v>
      </c>
      <c r="E97" s="228"/>
    </row>
    <row r="98" spans="2:5" s="19" customFormat="1" ht="20.100000000000001" customHeight="1" x14ac:dyDescent="0.2"/>
    <row r="99" spans="2:5" s="19" customFormat="1" ht="33.950000000000003" customHeight="1" x14ac:dyDescent="0.2">
      <c r="B99" s="652" t="s">
        <v>3867</v>
      </c>
      <c r="C99" s="652"/>
      <c r="D99" s="652"/>
      <c r="E99" s="652"/>
    </row>
    <row r="100" spans="2:5" s="19" customFormat="1" ht="20.100000000000001" customHeight="1" x14ac:dyDescent="0.2">
      <c r="B100" s="224" t="s">
        <v>259</v>
      </c>
      <c r="C100" s="224" t="s">
        <v>711</v>
      </c>
      <c r="D100" s="225" t="s">
        <v>277</v>
      </c>
      <c r="E100" s="224" t="s">
        <v>5</v>
      </c>
    </row>
    <row r="101" spans="2:5" s="19" customFormat="1" ht="20.100000000000001" customHeight="1" x14ac:dyDescent="0.2">
      <c r="B101" s="226" t="s">
        <v>3786</v>
      </c>
      <c r="C101" s="227" t="s">
        <v>3787</v>
      </c>
      <c r="D101" s="112" t="str">
        <f>C101</f>
        <v>console.cloud.vmware.com</v>
      </c>
      <c r="E101" s="228"/>
    </row>
    <row r="102" spans="2:5" s="19" customFormat="1" ht="20.100000000000001" customHeight="1" x14ac:dyDescent="0.2">
      <c r="B102" s="233" t="s">
        <v>2628</v>
      </c>
      <c r="C102" s="234" t="str">
        <f>sample_ccm_aws_sddc_name</f>
        <v>mobility-sddc</v>
      </c>
      <c r="D102" s="235" t="str">
        <f>ccm_aws_sddc_name</f>
        <v>Value Missing</v>
      </c>
      <c r="E102" s="228"/>
    </row>
    <row r="103" spans="2:5" s="19" customFormat="1" ht="20.100000000000001" customHeight="1" x14ac:dyDescent="0.2">
      <c r="B103" s="676" t="s">
        <v>3868</v>
      </c>
      <c r="C103" s="676"/>
      <c r="D103" s="676"/>
      <c r="E103" s="677"/>
    </row>
    <row r="104" spans="2:5" s="19" customFormat="1" ht="20.100000000000001" customHeight="1" x14ac:dyDescent="0.2">
      <c r="B104" s="226" t="s">
        <v>3254</v>
      </c>
      <c r="C104" s="227" t="str">
        <f>sample_mgmt_vc_fqdn</f>
        <v>sfo-m01-vc01.sfo.rainpole.io</v>
      </c>
      <c r="D104" s="112" t="str">
        <f>mgmt_vc_fqdn</f>
        <v>labvcvcf01v.vcf.lab.local</v>
      </c>
      <c r="E104" s="228"/>
    </row>
    <row r="105" spans="2:5" s="19" customFormat="1" ht="20.100000000000001" customHeight="1" x14ac:dyDescent="0.2">
      <c r="B105" s="226" t="s">
        <v>3869</v>
      </c>
      <c r="C105" s="227" t="str">
        <f>sample_ccm_vm_folder</f>
        <v>sfo-m01-fd-ccm</v>
      </c>
      <c r="D105" s="112" t="str">
        <f>ccm_vm_folder</f>
        <v>Value Missing</v>
      </c>
      <c r="E105" s="228"/>
    </row>
    <row r="106" spans="2:5" s="19" customFormat="1" ht="20.100000000000001" customHeight="1" x14ac:dyDescent="0.2">
      <c r="B106" s="226" t="s">
        <v>3189</v>
      </c>
      <c r="C106" s="227" t="str">
        <f>sample_ccm_hcx_cdp_hostname</f>
        <v>sfo-ccm-hcx01</v>
      </c>
      <c r="D106" s="112" t="str">
        <f>ccm_hcx_cdp_hostname</f>
        <v>Value Missing</v>
      </c>
      <c r="E106" s="228"/>
    </row>
    <row r="107" spans="2:5" s="19" customFormat="1" ht="20.100000000000001" customHeight="1" x14ac:dyDescent="0.2">
      <c r="B107" s="226" t="s">
        <v>3191</v>
      </c>
      <c r="C107" s="227" t="str">
        <f>sample_mgmt_cl01_cluster</f>
        <v>sfo-m01-cl01</v>
      </c>
      <c r="D107" s="112" t="str">
        <f>mgmt_cl01_cluster</f>
        <v>vcf-mgmt-cluster01</v>
      </c>
      <c r="E107" s="228"/>
    </row>
    <row r="108" spans="2:5" s="19" customFormat="1" ht="20.100000000000001" customHeight="1" x14ac:dyDescent="0.2">
      <c r="B108" s="226" t="s">
        <v>3808</v>
      </c>
      <c r="C108" s="227" t="str">
        <f>sample_mgmt_cl01_vsan_datastore</f>
        <v>sfo-m01-cl01-ds-vsan01</v>
      </c>
      <c r="D108" s="112" t="str">
        <f>mgmt_cl01_vsan_datastore</f>
        <v>LABVSANESA01</v>
      </c>
      <c r="E108" s="228"/>
    </row>
    <row r="109" spans="2:5" s="19" customFormat="1" ht="20.100000000000001" customHeight="1" x14ac:dyDescent="0.2">
      <c r="B109" s="226" t="s">
        <v>706</v>
      </c>
      <c r="C109" s="227" t="str">
        <f>sample_mgmt_cl01_az1_mgmt_pg</f>
        <v>sfo-m01-cl01-vds01-pg-mgmt</v>
      </c>
      <c r="D109" s="112" t="str">
        <f>mgmt_cl01_az1_mgmt_pg</f>
        <v>VLAN_251_ESX_Mgmt</v>
      </c>
      <c r="E109" s="228"/>
    </row>
    <row r="110" spans="2:5" s="19" customFormat="1" ht="20.100000000000001" customHeight="1" x14ac:dyDescent="0.2">
      <c r="B110" s="226" t="s">
        <v>3870</v>
      </c>
      <c r="C110" s="227" t="str">
        <f>sample_ccm_hcx_admin_password</f>
        <v>VMw@re1!</v>
      </c>
      <c r="D110" s="112" t="str">
        <f>ccm_hcx_admin_password</f>
        <v>Value Missing</v>
      </c>
      <c r="E110" s="228"/>
    </row>
    <row r="111" spans="2:5" s="19" customFormat="1" ht="20.100000000000001" customHeight="1" x14ac:dyDescent="0.2">
      <c r="B111" s="226" t="s">
        <v>3871</v>
      </c>
      <c r="C111" s="227" t="str">
        <f>sample_ccm_hcx_root_password</f>
        <v>VMw@re1!</v>
      </c>
      <c r="D111" s="112" t="str">
        <f>ccm_hcx_root_password</f>
        <v>Value Missing</v>
      </c>
      <c r="E111" s="228"/>
    </row>
    <row r="112" spans="2:5" s="19" customFormat="1" ht="20.100000000000001" customHeight="1" x14ac:dyDescent="0.2">
      <c r="B112" s="226" t="s">
        <v>749</v>
      </c>
      <c r="C112" s="227"/>
      <c r="D112" s="112" t="str">
        <f>ccm_hcx_cdp_hostname&amp;"."&amp;child_dns_zone</f>
        <v>Value Missing.Value Missing</v>
      </c>
      <c r="E112" s="228"/>
    </row>
    <row r="113" spans="2:5" s="19" customFormat="1" ht="20.100000000000001" customHeight="1" x14ac:dyDescent="0.2">
      <c r="B113" s="226" t="s">
        <v>3872</v>
      </c>
      <c r="C113" s="227" t="str">
        <f>sample_ccm_hcx_cdp_ip</f>
        <v>10.11.10.46</v>
      </c>
      <c r="D113" s="112" t="str">
        <f>ccm_hcx_cdp_ip</f>
        <v>Value Missing</v>
      </c>
      <c r="E113" s="228"/>
    </row>
    <row r="114" spans="2:5" s="19" customFormat="1" ht="20.100000000000001" customHeight="1" x14ac:dyDescent="0.2">
      <c r="B114" s="226" t="s">
        <v>3873</v>
      </c>
      <c r="C114" s="227">
        <f>INT(RIGHT(sample_mgmt_az1_mgmt_cidr,LEN(sample_mgmt_az1_mgmt_cidr)-FIND("/",sample_mgmt_az1_mgmt_cidr)))</f>
        <v>24</v>
      </c>
      <c r="D114" s="112"/>
      <c r="E114" s="228"/>
    </row>
    <row r="115" spans="2:5" s="19" customFormat="1" ht="20.100000000000001" customHeight="1" x14ac:dyDescent="0.2">
      <c r="B115" s="226" t="s">
        <v>1046</v>
      </c>
      <c r="C115" s="227" t="str">
        <f>sample_mgmt_az1_mgmt_gateway_ip</f>
        <v>10.11.11.1</v>
      </c>
      <c r="D115" s="112" t="str">
        <f>mgmt_az1_mgmt_gateway_ip</f>
        <v>10.100.51.1</v>
      </c>
      <c r="E115" s="228"/>
    </row>
    <row r="116" spans="2:5" s="19" customFormat="1" ht="20.100000000000001" customHeight="1" x14ac:dyDescent="0.2">
      <c r="B116" s="226" t="s">
        <v>3874</v>
      </c>
      <c r="C116" s="227" t="str">
        <f>CONCATENATE(sample_region_dns1_ip," ",sample_region_dns2_ip)</f>
        <v>10.11.10.4 10.11.10.5</v>
      </c>
      <c r="D116" s="112" t="str">
        <f>CONCATENATE(region_dns1_ip," ",region_dns2_ip)</f>
        <v>10.255.50.26 Value Missing</v>
      </c>
      <c r="E116" s="228"/>
    </row>
    <row r="117" spans="2:5" s="19" customFormat="1" ht="20.100000000000001" customHeight="1" x14ac:dyDescent="0.2">
      <c r="B117" s="226" t="s">
        <v>3875</v>
      </c>
      <c r="C117" s="227" t="str">
        <f>sample_child_dns_zone</f>
        <v>sfo.rainpole.io</v>
      </c>
      <c r="D117" s="112" t="str">
        <f>child_dns_zone</f>
        <v>Value Missing</v>
      </c>
      <c r="E117" s="228"/>
    </row>
    <row r="118" spans="2:5" s="19" customFormat="1" ht="20.100000000000001" customHeight="1" x14ac:dyDescent="0.2">
      <c r="B118" s="226" t="s">
        <v>3876</v>
      </c>
      <c r="C118" s="227" t="str">
        <f>sample_region_ntp1_server</f>
        <v>ntp0.sfo.rainpole.io</v>
      </c>
      <c r="D118" s="112" t="str">
        <f>region_ntp1_server</f>
        <v>10.255.50.26</v>
      </c>
      <c r="E118" s="228"/>
    </row>
    <row r="119" spans="2:5" s="19" customFormat="1" ht="20.100000000000001" customHeight="1" x14ac:dyDescent="0.2">
      <c r="B119" s="676" t="s">
        <v>3877</v>
      </c>
      <c r="C119" s="676"/>
      <c r="D119" s="676"/>
      <c r="E119" s="677"/>
    </row>
    <row r="120" spans="2:5" s="19" customFormat="1" ht="20.100000000000001" customHeight="1" x14ac:dyDescent="0.2">
      <c r="B120" s="226" t="s">
        <v>2662</v>
      </c>
      <c r="C120" s="227" t="str">
        <f>sample_ccm_hcx_license</f>
        <v>xxxxx-xxxxx-xxxxx-xxxxx-xxxxx</v>
      </c>
      <c r="D120" s="112" t="str">
        <f>ccm_hcx_license</f>
        <v>Value Missing</v>
      </c>
      <c r="E120" s="228"/>
    </row>
    <row r="121" spans="2:5" s="19" customFormat="1" ht="20.100000000000001" customHeight="1" x14ac:dyDescent="0.2">
      <c r="B121" s="226" t="s">
        <v>3878</v>
      </c>
      <c r="C121" s="227" t="str">
        <f>sample_ccm_hcx_dc_location</f>
        <v>San Francisco, United States of America</v>
      </c>
      <c r="D121" s="112" t="str">
        <f>ccm_hcx_dc_location</f>
        <v>Value Missing</v>
      </c>
      <c r="E121" s="228"/>
    </row>
    <row r="122" spans="2:5" s="19" customFormat="1" ht="20.100000000000001" customHeight="1" x14ac:dyDescent="0.2">
      <c r="B122" s="226" t="s">
        <v>3879</v>
      </c>
      <c r="C122" s="227" t="str">
        <f>CONCATENATE(sample_ccm_hcx_cdp_hostname,".",sample_child_dns_zone)</f>
        <v>sfo-ccm-hcx01.sfo.rainpole.io</v>
      </c>
      <c r="D122" s="112" t="str">
        <f>CONCATENATE(ccm_hcx_cdp_hostname,".",child_dns_zone)</f>
        <v>Value Missing.Value Missing</v>
      </c>
      <c r="E122" s="228"/>
    </row>
    <row r="123" spans="2:5" s="19" customFormat="1" ht="20.100000000000001" customHeight="1" x14ac:dyDescent="0.2">
      <c r="B123" s="226" t="s">
        <v>2026</v>
      </c>
      <c r="C123" s="227" t="str">
        <f>sample_wld_vc_fqdn</f>
        <v>sfo-w01-vc01.sfo.rainpole.io</v>
      </c>
      <c r="D123" s="112" t="str">
        <f>wld_vc_fqdn</f>
        <v>Value Missing</v>
      </c>
      <c r="E123" s="228"/>
    </row>
    <row r="124" spans="2:5" s="19" customFormat="1" ht="20.100000000000001" customHeight="1" x14ac:dyDescent="0.2">
      <c r="B124" s="226" t="s">
        <v>294</v>
      </c>
      <c r="C124" s="227" t="str">
        <f>sample_svc_ccm_hcx_vsphere_user&amp;"@"&amp;sample_child_dns_zone</f>
        <v>svc-hcx-vsphere@sfo.rainpole.io</v>
      </c>
      <c r="D124" s="112" t="str">
        <f>ccm_hcx_vsphere_svc_user&amp;"@"&amp;child_dns_zone</f>
        <v>Value Missing@Value Missing</v>
      </c>
      <c r="E124" s="228"/>
    </row>
    <row r="125" spans="2:5" s="19" customFormat="1" ht="20.100000000000001" customHeight="1" x14ac:dyDescent="0.2">
      <c r="B125" s="226" t="s">
        <v>296</v>
      </c>
      <c r="C125" s="227" t="str">
        <f>sample_svc_ccm_hcx_vsphere_password</f>
        <v>VMw@re1!</v>
      </c>
      <c r="D125" s="112" t="str">
        <f>ccm_hcx_vsphere_svc_password</f>
        <v>Value Missing</v>
      </c>
      <c r="E125" s="228"/>
    </row>
    <row r="126" spans="2:5" s="19" customFormat="1" ht="20.100000000000001" customHeight="1" x14ac:dyDescent="0.2">
      <c r="B126" s="226" t="s">
        <v>300</v>
      </c>
      <c r="C126" s="227" t="str">
        <f>sample_wld_nsxt_vip_fqdn</f>
        <v>sfo-w01-nsx01.sfo.rainpole.io</v>
      </c>
      <c r="D126" s="112" t="str">
        <f>wld_nsxt_mgra_fqdn</f>
        <v>Value Missing</v>
      </c>
      <c r="E126" s="228"/>
    </row>
    <row r="127" spans="2:5" s="19" customFormat="1" ht="20.100000000000001" customHeight="1" x14ac:dyDescent="0.2">
      <c r="B127" s="226" t="s">
        <v>294</v>
      </c>
      <c r="C127" s="227" t="str">
        <f>sample_svc_ccm_hcx_nsx_user&amp;"@"&amp;sample_child_dns_zone</f>
        <v>svc-hcx-nsx@sfo.rainpole.io</v>
      </c>
      <c r="D127" s="112" t="str">
        <f>ccm_hcx_nsx_svc_user&amp;"@"&amp;child_dns_zone</f>
        <v>Value Missing@Value Missing</v>
      </c>
      <c r="E127" s="228"/>
    </row>
    <row r="128" spans="2:5" s="19" customFormat="1" ht="20.100000000000001" customHeight="1" x14ac:dyDescent="0.2">
      <c r="B128" s="226" t="s">
        <v>296</v>
      </c>
      <c r="C128" s="227" t="str">
        <f>sample_svc_ccm_hcx_nsx_password</f>
        <v>VMw@re1!</v>
      </c>
      <c r="D128" s="112" t="str">
        <f>ccm_hcx_nsx_svc_password</f>
        <v>Value Missing</v>
      </c>
      <c r="E128" s="228"/>
    </row>
    <row r="129" spans="2:5" s="19" customFormat="1" ht="20.100000000000001" customHeight="1" x14ac:dyDescent="0.2">
      <c r="B129" s="226" t="s">
        <v>3880</v>
      </c>
      <c r="C129" s="227" t="str">
        <f>sample_wld_vc_fqdn</f>
        <v>sfo-w01-vc01.sfo.rainpole.io</v>
      </c>
      <c r="D129" s="112" t="str">
        <f>wld_vc_fqdn</f>
        <v>Value Missing</v>
      </c>
      <c r="E129" s="228"/>
    </row>
    <row r="130" spans="2:5" s="19" customFormat="1" ht="20.100000000000001" customHeight="1" x14ac:dyDescent="0.2"/>
    <row r="131" spans="2:5" s="19" customFormat="1" ht="33.950000000000003" customHeight="1" x14ac:dyDescent="0.2">
      <c r="B131" s="652" t="s">
        <v>3881</v>
      </c>
      <c r="C131" s="652"/>
      <c r="D131" s="652"/>
      <c r="E131" s="652"/>
    </row>
    <row r="132" spans="2:5" s="19" customFormat="1" ht="20.100000000000001" customHeight="1" x14ac:dyDescent="0.2">
      <c r="B132" s="224" t="s">
        <v>259</v>
      </c>
      <c r="C132" s="224" t="s">
        <v>711</v>
      </c>
      <c r="D132" s="225" t="s">
        <v>277</v>
      </c>
      <c r="E132" s="224" t="s">
        <v>5</v>
      </c>
    </row>
    <row r="133" spans="2:5" s="19" customFormat="1" ht="20.100000000000001" customHeight="1" x14ac:dyDescent="0.2">
      <c r="B133" s="226" t="s">
        <v>3882</v>
      </c>
      <c r="C133" s="227" t="str">
        <f>CONCATENATE(sample_ccm_hcx_cdp_hostname,".",sample_child_dns_zone)</f>
        <v>sfo-ccm-hcx01.sfo.rainpole.io</v>
      </c>
      <c r="D133" s="112" t="str">
        <f>CONCATENATE(ccm_hcx_cdp_hostname,".",child_dns_zone)</f>
        <v>Value Missing.Value Missing</v>
      </c>
      <c r="E133" s="228"/>
    </row>
    <row r="134" spans="2:5" s="19" customFormat="1" ht="20.100000000000001" customHeight="1" x14ac:dyDescent="0.2">
      <c r="B134" s="226" t="s">
        <v>3870</v>
      </c>
      <c r="C134" s="227" t="str">
        <f>sample_ccm_hcx_admin_password</f>
        <v>VMw@re1!</v>
      </c>
      <c r="D134" s="112" t="str">
        <f>ccm_hcx_admin_password</f>
        <v>Value Missing</v>
      </c>
      <c r="E134" s="228"/>
    </row>
    <row r="135" spans="2:5" s="19" customFormat="1" ht="20.100000000000001" customHeight="1" x14ac:dyDescent="0.2"/>
    <row r="136" spans="2:5" s="19" customFormat="1" ht="33.950000000000003" customHeight="1" x14ac:dyDescent="0.2">
      <c r="B136" s="652" t="s">
        <v>3883</v>
      </c>
      <c r="C136" s="652"/>
      <c r="D136" s="652"/>
      <c r="E136" s="652"/>
    </row>
    <row r="137" spans="2:5" s="19" customFormat="1" ht="20.100000000000001" customHeight="1" x14ac:dyDescent="0.2">
      <c r="B137" s="224" t="s">
        <v>259</v>
      </c>
      <c r="C137" s="224" t="s">
        <v>711</v>
      </c>
      <c r="D137" s="225" t="s">
        <v>277</v>
      </c>
      <c r="E137" s="224" t="s">
        <v>5</v>
      </c>
    </row>
    <row r="138" spans="2:5" s="19" customFormat="1" ht="20.100000000000001" customHeight="1" x14ac:dyDescent="0.2">
      <c r="B138" s="226" t="s">
        <v>3254</v>
      </c>
      <c r="C138" s="227" t="str">
        <f>sample_mgmt_vc_fqdn</f>
        <v>sfo-m01-vc01.sfo.rainpole.io</v>
      </c>
      <c r="D138" s="112" t="str">
        <f>mgmt_vc_fqdn</f>
        <v>labvcvcf01v.vcf.lab.local</v>
      </c>
      <c r="E138" s="228"/>
    </row>
    <row r="139" spans="2:5" s="19" customFormat="1" ht="20.100000000000001" customHeight="1" x14ac:dyDescent="0.2">
      <c r="B139" s="226" t="s">
        <v>259</v>
      </c>
      <c r="C139" s="227" t="str">
        <f>CONCATENATE(sample_mgmt_cl01_cluster,"_primary-az-vmgroup")</f>
        <v>sfo-m01-cl01_primary-az-vmgroup</v>
      </c>
      <c r="D139" s="112" t="str">
        <f>CONCATENATE(mgmt_cl01_cluster,"_primary-az-vmgroup")</f>
        <v>vcf-mgmt-cluster01_primary-az-vmgroup</v>
      </c>
      <c r="E139" s="228"/>
    </row>
    <row r="140" spans="2:5" s="19" customFormat="1" ht="20.100000000000001" customHeight="1" x14ac:dyDescent="0.2">
      <c r="B140" s="233" t="s">
        <v>3884</v>
      </c>
      <c r="C140" s="234" t="str">
        <f>sample_ccm_hcx_cdp_hostname</f>
        <v>sfo-ccm-hcx01</v>
      </c>
      <c r="D140" s="235" t="str">
        <f>ccm_hcx_cdp_hostname</f>
        <v>Value Missing</v>
      </c>
      <c r="E140" s="228"/>
    </row>
    <row r="141" spans="2:5" s="19" customFormat="1" ht="20.100000000000001" customHeight="1" x14ac:dyDescent="0.2"/>
    <row r="142" spans="2:5" s="19" customFormat="1" ht="33.950000000000003" customHeight="1" x14ac:dyDescent="0.2">
      <c r="B142" s="652" t="s">
        <v>3885</v>
      </c>
      <c r="C142" s="652"/>
      <c r="D142" s="652"/>
      <c r="E142" s="652"/>
    </row>
    <row r="143" spans="2:5" s="19" customFormat="1" ht="20.100000000000001" customHeight="1" x14ac:dyDescent="0.2">
      <c r="B143" s="224" t="s">
        <v>259</v>
      </c>
      <c r="C143" s="224" t="s">
        <v>711</v>
      </c>
      <c r="D143" s="225" t="s">
        <v>277</v>
      </c>
      <c r="E143" s="224" t="s">
        <v>5</v>
      </c>
    </row>
    <row r="144" spans="2:5" s="19" customFormat="1" ht="20.100000000000001" customHeight="1" x14ac:dyDescent="0.2">
      <c r="B144" s="226" t="s">
        <v>3786</v>
      </c>
      <c r="C144" s="227" t="s">
        <v>3787</v>
      </c>
      <c r="D144" s="112" t="s">
        <v>3787</v>
      </c>
      <c r="E144" s="228"/>
    </row>
    <row r="145" spans="2:5" s="19" customFormat="1" ht="20.100000000000001" customHeight="1" x14ac:dyDescent="0.2">
      <c r="B145" s="226" t="s">
        <v>3790</v>
      </c>
      <c r="C145" s="227" t="str">
        <f>sample_ccm_firewall_rule_hcx</f>
        <v>HCX Inbound Rule</v>
      </c>
      <c r="D145" s="112" t="str">
        <f>ccm_firewall_rule_hcx</f>
        <v>Value Missing</v>
      </c>
      <c r="E145" s="228"/>
    </row>
    <row r="146" spans="2:5" s="19" customFormat="1" ht="20.100000000000001" customHeight="1" x14ac:dyDescent="0.2">
      <c r="B146" s="226" t="s">
        <v>3791</v>
      </c>
      <c r="C146" s="227" t="str">
        <f>sample_ccm_firewall_group</f>
        <v>External-Access</v>
      </c>
      <c r="D146" s="112" t="str">
        <f>ccm_firewall_group</f>
        <v>Value Missing</v>
      </c>
      <c r="E146" s="228"/>
    </row>
    <row r="147" spans="2:5" s="19" customFormat="1" ht="20.100000000000001" customHeight="1" x14ac:dyDescent="0.2">
      <c r="B147" s="226" t="s">
        <v>3792</v>
      </c>
      <c r="C147" s="227" t="s">
        <v>3886</v>
      </c>
      <c r="D147" s="112" t="str">
        <f>C147</f>
        <v>HCX</v>
      </c>
      <c r="E147" s="228"/>
    </row>
    <row r="148" spans="2:5" s="19" customFormat="1" ht="20.100000000000001" customHeight="1" x14ac:dyDescent="0.2">
      <c r="B148" s="226" t="s">
        <v>3793</v>
      </c>
      <c r="C148" s="227" t="s">
        <v>3887</v>
      </c>
      <c r="D148" s="112" t="str">
        <f>C148</f>
        <v>Appliance Management (TCP 9443)</v>
      </c>
      <c r="E148" s="228"/>
    </row>
    <row r="149" spans="2:5" s="19" customFormat="1" ht="20.100000000000001" customHeight="1" x14ac:dyDescent="0.2">
      <c r="B149" s="226" t="s">
        <v>3793</v>
      </c>
      <c r="C149" s="227" t="s">
        <v>3794</v>
      </c>
      <c r="D149" s="112" t="str">
        <f>C149</f>
        <v>HTTPS (TCP 443)</v>
      </c>
      <c r="E149" s="228"/>
    </row>
    <row r="150" spans="2:5" s="19" customFormat="1" ht="20.100000000000001" customHeight="1" x14ac:dyDescent="0.2">
      <c r="B150" s="226" t="s">
        <v>3796</v>
      </c>
      <c r="C150" s="227" t="str">
        <f>sample_ccm_firewall_ip_addresses</f>
        <v>69.34.34.11</v>
      </c>
      <c r="D150" s="112" t="str">
        <f>ccm_firewall_ip_addresses</f>
        <v>Value Missing</v>
      </c>
      <c r="E150" s="228"/>
    </row>
    <row r="151" spans="2:5" s="19" customFormat="1" ht="20.100000000000001" customHeight="1" x14ac:dyDescent="0.2"/>
    <row r="152" spans="2:5" s="19" customFormat="1" ht="33.950000000000003" customHeight="1" x14ac:dyDescent="0.2">
      <c r="B152" s="652" t="s">
        <v>3888</v>
      </c>
      <c r="C152" s="652"/>
      <c r="D152" s="652"/>
      <c r="E152" s="652"/>
    </row>
    <row r="153" spans="2:5" s="19" customFormat="1" ht="20.100000000000001" customHeight="1" x14ac:dyDescent="0.2">
      <c r="B153" s="224" t="s">
        <v>259</v>
      </c>
      <c r="C153" s="224" t="s">
        <v>711</v>
      </c>
      <c r="D153" s="225" t="s">
        <v>277</v>
      </c>
      <c r="E153" s="224" t="s">
        <v>5</v>
      </c>
    </row>
    <row r="154" spans="2:5" s="19" customFormat="1" ht="20.100000000000001" customHeight="1" x14ac:dyDescent="0.2">
      <c r="B154" s="226" t="s">
        <v>3860</v>
      </c>
      <c r="C154" s="227" t="str">
        <f>sample_wld_vc_fqdn</f>
        <v>sfo-w01-vc01.sfo.rainpole.io</v>
      </c>
      <c r="D154" s="112" t="str">
        <f>wld_vc_fqdn</f>
        <v>Value Missing</v>
      </c>
      <c r="E154" s="228"/>
    </row>
    <row r="155" spans="2:5" s="19" customFormat="1" ht="20.100000000000001" customHeight="1" x14ac:dyDescent="0.2">
      <c r="B155" s="226" t="s">
        <v>2680</v>
      </c>
      <c r="C155" s="227" t="str">
        <f>sample_ccm_hcx_remote_url</f>
        <v>https://hcx.sddc-44-231-98-23.vmwarevmc.com/</v>
      </c>
      <c r="D155" s="112" t="str">
        <f>ccm_hcx_remote_url</f>
        <v>Value Missing</v>
      </c>
      <c r="E155" s="228"/>
    </row>
    <row r="156" spans="2:5" s="19" customFormat="1" ht="20.100000000000001" customHeight="1" x14ac:dyDescent="0.2">
      <c r="B156" s="226" t="s">
        <v>294</v>
      </c>
      <c r="C156" s="227" t="str">
        <f>sample_ccm_aws_admin_ssouser</f>
        <v>cloudadmin@vmc.local</v>
      </c>
      <c r="D156" s="112" t="str">
        <f>ccm_aws_admin_ssouser</f>
        <v>Value Missing</v>
      </c>
      <c r="E156" s="228"/>
    </row>
    <row r="157" spans="2:5" s="19" customFormat="1" ht="20.100000000000001" customHeight="1" x14ac:dyDescent="0.2">
      <c r="B157" s="226" t="s">
        <v>296</v>
      </c>
      <c r="C157" s="227" t="str">
        <f>sample_ccm_aws_admin_password</f>
        <v>TBvAZf-Aj*1ap6T</v>
      </c>
      <c r="D157" s="112" t="str">
        <f>ccm_aws_admin_password</f>
        <v>Value Missing</v>
      </c>
      <c r="E157" s="228"/>
    </row>
    <row r="158" spans="2:5" s="19" customFormat="1" ht="20.100000000000001" customHeight="1" x14ac:dyDescent="0.2"/>
    <row r="159" spans="2:5" s="19" customFormat="1" ht="33.950000000000003" customHeight="1" x14ac:dyDescent="0.2">
      <c r="B159" s="652" t="s">
        <v>3889</v>
      </c>
      <c r="C159" s="652"/>
      <c r="D159" s="652"/>
      <c r="E159" s="652"/>
    </row>
    <row r="160" spans="2:5" s="19" customFormat="1" ht="20.100000000000001" customHeight="1" x14ac:dyDescent="0.2">
      <c r="B160" s="224" t="s">
        <v>259</v>
      </c>
      <c r="C160" s="224" t="s">
        <v>711</v>
      </c>
      <c r="D160" s="225" t="s">
        <v>277</v>
      </c>
      <c r="E160" s="224" t="s">
        <v>5</v>
      </c>
    </row>
    <row r="161" spans="2:5" s="19" customFormat="1" ht="20.100000000000001" customHeight="1" x14ac:dyDescent="0.2">
      <c r="B161" s="226" t="s">
        <v>3860</v>
      </c>
      <c r="C161" s="227" t="str">
        <f>sample_wld_vc_fqdn</f>
        <v>sfo-w01-vc01.sfo.rainpole.io</v>
      </c>
      <c r="D161" s="112" t="str">
        <f>wld_vc_fqdn</f>
        <v>Value Missing</v>
      </c>
      <c r="E161" s="228"/>
    </row>
    <row r="162" spans="2:5" s="19" customFormat="1" ht="20.100000000000001" customHeight="1" x14ac:dyDescent="0.2">
      <c r="B162" s="676" t="s">
        <v>3890</v>
      </c>
      <c r="C162" s="676"/>
      <c r="D162" s="676"/>
      <c r="E162" s="677"/>
    </row>
    <row r="163" spans="2:5" s="19" customFormat="1" ht="20.100000000000001" customHeight="1" x14ac:dyDescent="0.2">
      <c r="B163" s="226" t="s">
        <v>299</v>
      </c>
      <c r="C163" s="227" t="str">
        <f>sample_wld_vc_fqdn</f>
        <v>sfo-w01-vc01.sfo.rainpole.io</v>
      </c>
      <c r="D163" s="112" t="str">
        <f>wld_vc_fqdn</f>
        <v>Value Missing</v>
      </c>
      <c r="E163" s="228"/>
    </row>
    <row r="164" spans="2:5" s="19" customFormat="1" ht="20.100000000000001" customHeight="1" x14ac:dyDescent="0.2">
      <c r="B164" s="226" t="s">
        <v>706</v>
      </c>
      <c r="C164" s="227" t="str">
        <f>sample_wld_cl01_az1_mgmt_pg</f>
        <v>sfo-w01-cl01-vds01-pg-esxi-mgmt</v>
      </c>
      <c r="D164" s="112" t="str">
        <f>wld_cl01_az1_mgmt_pg</f>
        <v>Value Missing</v>
      </c>
      <c r="E164" s="228"/>
    </row>
    <row r="165" spans="2:5" s="19" customFormat="1" ht="20.100000000000001" customHeight="1" x14ac:dyDescent="0.2">
      <c r="B165" s="226" t="s">
        <v>259</v>
      </c>
      <c r="C165" s="227" t="str">
        <f>sample_wld_cl01_az1_mgmt_pg</f>
        <v>sfo-w01-cl01-vds01-pg-esxi-mgmt</v>
      </c>
      <c r="D165" s="112" t="str">
        <f>wld_cl01_az1_mgmt_pg</f>
        <v>Value Missing</v>
      </c>
      <c r="E165" s="228"/>
    </row>
    <row r="166" spans="2:5" s="19" customFormat="1" ht="20.100000000000001" customHeight="1" x14ac:dyDescent="0.2">
      <c r="B166" s="226" t="s">
        <v>3891</v>
      </c>
      <c r="C166" s="227" t="str">
        <f>sample_ccm_hcx_mgmt_network_ip_range</f>
        <v>10.13.10.221-10.13.10.225</v>
      </c>
      <c r="D166" s="112" t="str">
        <f>ccm_hcx_mgmt_network_ip_range</f>
        <v>Value Missing</v>
      </c>
      <c r="E166" s="228"/>
    </row>
    <row r="167" spans="2:5" s="19" customFormat="1" ht="20.100000000000001" customHeight="1" x14ac:dyDescent="0.2">
      <c r="B167" s="226" t="s">
        <v>3892</v>
      </c>
      <c r="C167" s="227">
        <f>INT(RIGHT(sample_mgmt_az1_mgmt_cidr,LEN(sample_mgmt_az1_mgmt_cidr)-FIND("/",sample_mgmt_az1_mgmt_cidr)))</f>
        <v>24</v>
      </c>
      <c r="D167" s="112">
        <f>IF(ISBLANK(input_mgmt_az1_mgmt_cidr),"Value Missing",INT(RIGHT(mgmt_az1_mgmt_cidr,LEN(mgmt_az1_mgmt_cidr)-FIND("/",mgmt_az1_mgmt_cidr))))</f>
        <v>24</v>
      </c>
      <c r="E167" s="228"/>
    </row>
    <row r="168" spans="2:5" s="19" customFormat="1" ht="20.100000000000001" customHeight="1" x14ac:dyDescent="0.2">
      <c r="B168" s="226" t="s">
        <v>399</v>
      </c>
      <c r="C168" s="227" t="str">
        <f>sample_wld_az1_mgmt_gateway_ip</f>
        <v>10.13.11.1</v>
      </c>
      <c r="D168" s="112" t="str">
        <f>wld_az1_mgmt_gateway_ip</f>
        <v>Value Missing</v>
      </c>
      <c r="E168" s="228"/>
    </row>
    <row r="169" spans="2:5" s="19" customFormat="1" ht="20.100000000000001" customHeight="1" x14ac:dyDescent="0.2">
      <c r="B169" s="226" t="s">
        <v>3893</v>
      </c>
      <c r="C169" s="227" t="str">
        <f>sample_region_dns1_ip</f>
        <v>10.11.10.4</v>
      </c>
      <c r="D169" s="112" t="str">
        <f>region_dns1_ip</f>
        <v>10.255.50.26</v>
      </c>
      <c r="E169" s="228"/>
    </row>
    <row r="170" spans="2:5" s="19" customFormat="1" ht="20.100000000000001" customHeight="1" x14ac:dyDescent="0.2">
      <c r="B170" s="226" t="s">
        <v>3894</v>
      </c>
      <c r="C170" s="227" t="str">
        <f>sample_region_dns2_ip</f>
        <v>10.11.10.5</v>
      </c>
      <c r="D170" s="112" t="str">
        <f>region_dns2_ip</f>
        <v>Value Missing</v>
      </c>
      <c r="E170" s="228"/>
    </row>
    <row r="171" spans="2:5" s="19" customFormat="1" ht="20.100000000000001" customHeight="1" x14ac:dyDescent="0.2">
      <c r="B171" s="226" t="s">
        <v>3895</v>
      </c>
      <c r="C171" s="227" t="str">
        <f>sample_child_dns_zone</f>
        <v>sfo.rainpole.io</v>
      </c>
      <c r="D171" s="112" t="str">
        <f>child_dns_zone</f>
        <v>Value Missing</v>
      </c>
      <c r="E171" s="228"/>
    </row>
    <row r="172" spans="2:5" s="19" customFormat="1" ht="20.100000000000001" customHeight="1" x14ac:dyDescent="0.2">
      <c r="B172" s="676" t="s">
        <v>3896</v>
      </c>
      <c r="C172" s="676"/>
      <c r="D172" s="676"/>
      <c r="E172" s="677"/>
    </row>
    <row r="173" spans="2:5" s="19" customFormat="1" ht="20.100000000000001" customHeight="1" x14ac:dyDescent="0.2">
      <c r="B173" s="226" t="s">
        <v>299</v>
      </c>
      <c r="C173" s="227" t="str">
        <f>sample_wld_vc_fqdn</f>
        <v>sfo-w01-vc01.sfo.rainpole.io</v>
      </c>
      <c r="D173" s="112" t="str">
        <f>wld_vc_fqdn</f>
        <v>Value Missing</v>
      </c>
      <c r="E173" s="228"/>
    </row>
    <row r="174" spans="2:5" s="19" customFormat="1" ht="20.100000000000001" customHeight="1" x14ac:dyDescent="0.2">
      <c r="B174" s="226" t="s">
        <v>706</v>
      </c>
      <c r="C174" s="227" t="str">
        <f>sample_wld_cl01_az1_vmotion_pg</f>
        <v>sfo-w01-cl01-vds01-pg-vmotion</v>
      </c>
      <c r="D174" s="112" t="str">
        <f>wld_cl01_az1_vmotion_pg</f>
        <v>Value Missing</v>
      </c>
      <c r="E174" s="228"/>
    </row>
    <row r="175" spans="2:5" s="19" customFormat="1" ht="20.100000000000001" customHeight="1" x14ac:dyDescent="0.2">
      <c r="B175" s="226" t="s">
        <v>259</v>
      </c>
      <c r="C175" s="227" t="str">
        <f>sample_wld_cl01_az1_vmotion_pg</f>
        <v>sfo-w01-cl01-vds01-pg-vmotion</v>
      </c>
      <c r="D175" s="112" t="str">
        <f>wld_cl01_az1_vmotion_pg</f>
        <v>Value Missing</v>
      </c>
      <c r="E175" s="228"/>
    </row>
    <row r="176" spans="2:5" s="19" customFormat="1" ht="20.100000000000001" customHeight="1" x14ac:dyDescent="0.2">
      <c r="B176" s="226" t="s">
        <v>3891</v>
      </c>
      <c r="C176" s="227" t="str">
        <f>sample_ccm_hcx_vmotion_network_ip_range</f>
        <v>10.13.12.221-10.13.12.225</v>
      </c>
      <c r="D176" s="112" t="str">
        <f>ccm_hcx_vmotion_network_ip_range</f>
        <v>Value Missing</v>
      </c>
      <c r="E176" s="228"/>
    </row>
    <row r="177" spans="2:5" s="19" customFormat="1" ht="20.100000000000001" customHeight="1" x14ac:dyDescent="0.2">
      <c r="B177" s="226" t="s">
        <v>3892</v>
      </c>
      <c r="C177" s="227">
        <f>INT(RIGHT(sample_wld_az1_vmotion_cidr,LEN(sample_wld_az1_vmotion_cidr)-FIND("/",sample_wld_az1_vmotion_cidr)))</f>
        <v>24</v>
      </c>
      <c r="D177" s="112">
        <f>IF(ISBLANK(input_mgmt_az1_mgmt_cidr),"Value Missing",INT(RIGHT(mgmt_az1_mgmt_cidr,LEN(mgmt_az1_mgmt_cidr)-FIND("/",mgmt_az1_mgmt_cidr))))</f>
        <v>24</v>
      </c>
      <c r="E177" s="228"/>
    </row>
    <row r="178" spans="2:5" s="19" customFormat="1" ht="20.100000000000001" customHeight="1" x14ac:dyDescent="0.2">
      <c r="B178" s="226" t="s">
        <v>399</v>
      </c>
      <c r="C178" s="227" t="str">
        <f>sample_wld_az1_vmotion_gateway_ip</f>
        <v>10.13.12.1</v>
      </c>
      <c r="D178" s="112" t="str">
        <f>wld_az1_vmotion_gateway_ip</f>
        <v>Value Missing</v>
      </c>
      <c r="E178" s="228"/>
    </row>
    <row r="179" spans="2:5" s="19" customFormat="1" ht="20.100000000000001" customHeight="1" x14ac:dyDescent="0.2">
      <c r="B179" s="226" t="s">
        <v>401</v>
      </c>
      <c r="C179" s="227">
        <f>sample_wld_az1_vmotion_mtu</f>
        <v>9000</v>
      </c>
      <c r="D179" s="112" t="str">
        <f>wld_az1_vmotion_mtu</f>
        <v>Value Missing</v>
      </c>
      <c r="E179" s="228"/>
    </row>
    <row r="180" spans="2:5" s="19" customFormat="1" ht="20.100000000000001" customHeight="1" x14ac:dyDescent="0.2"/>
    <row r="181" spans="2:5" s="19" customFormat="1" ht="33.950000000000003" customHeight="1" x14ac:dyDescent="0.2">
      <c r="B181" s="652" t="s">
        <v>3897</v>
      </c>
      <c r="C181" s="652"/>
      <c r="D181" s="652"/>
      <c r="E181" s="652"/>
    </row>
    <row r="182" spans="2:5" s="19" customFormat="1" ht="20.100000000000001" customHeight="1" x14ac:dyDescent="0.2">
      <c r="B182" s="224" t="s">
        <v>259</v>
      </c>
      <c r="C182" s="224" t="s">
        <v>711</v>
      </c>
      <c r="D182" s="225" t="s">
        <v>277</v>
      </c>
      <c r="E182" s="224" t="s">
        <v>5</v>
      </c>
    </row>
    <row r="183" spans="2:5" s="19" customFormat="1" ht="20.100000000000001" customHeight="1" x14ac:dyDescent="0.2">
      <c r="B183" s="226" t="s">
        <v>3860</v>
      </c>
      <c r="C183" s="227" t="str">
        <f>sample_wld_vc_fqdn</f>
        <v>sfo-w01-vc01.sfo.rainpole.io</v>
      </c>
      <c r="D183" s="112" t="str">
        <f>wld_vc_fqdn</f>
        <v>Value Missing</v>
      </c>
      <c r="E183" s="228"/>
    </row>
    <row r="184" spans="2:5" s="19" customFormat="1" ht="20.100000000000001" customHeight="1" x14ac:dyDescent="0.2">
      <c r="B184" s="226" t="s">
        <v>3898</v>
      </c>
      <c r="C184" s="227" t="str">
        <f>sample_ccm_hcx_compute_profile</f>
        <v>sfo-w01-compute-profile</v>
      </c>
      <c r="D184" s="112" t="str">
        <f>ccm_hcx_compute_profile</f>
        <v>Value Missing</v>
      </c>
      <c r="E184" s="228"/>
    </row>
    <row r="185" spans="2:5" s="19" customFormat="1" ht="20.100000000000001" customHeight="1" x14ac:dyDescent="0.2">
      <c r="B185" s="226" t="s">
        <v>3899</v>
      </c>
      <c r="C185" s="227" t="str">
        <f>sample_wld_datacenter</f>
        <v>sfo-w01-dc</v>
      </c>
      <c r="D185" s="112" t="str">
        <f>wld_datacenter</f>
        <v>Value Missing</v>
      </c>
      <c r="E185" s="228"/>
    </row>
    <row r="186" spans="2:5" s="19" customFormat="1" ht="20.100000000000001" customHeight="1" x14ac:dyDescent="0.2">
      <c r="B186" s="226" t="s">
        <v>3900</v>
      </c>
      <c r="C186" s="227" t="str">
        <f>sample_ccm_hcx_resource_pool</f>
        <v>sfo-w01-cl01-rp-hcx</v>
      </c>
      <c r="D186" s="112" t="str">
        <f>ccm_hcx_resource_pool</f>
        <v>Value Missing</v>
      </c>
      <c r="E186" s="228"/>
    </row>
    <row r="187" spans="2:5" s="19" customFormat="1" ht="20.100000000000001" customHeight="1" x14ac:dyDescent="0.2">
      <c r="B187" s="226" t="s">
        <v>1041</v>
      </c>
      <c r="C187" s="227" t="str">
        <f>sample_wld_cl01_vsan_datastore</f>
        <v>sfo-w01-sfo-w01-cl01-vsan01</v>
      </c>
      <c r="D187" s="112" t="str">
        <f>wld_cl01_vsan_datastore</f>
        <v>Value Missing</v>
      </c>
      <c r="E187" s="228"/>
    </row>
    <row r="188" spans="2:5" s="19" customFormat="1" ht="20.100000000000001" customHeight="1" x14ac:dyDescent="0.2">
      <c r="B188" s="226" t="s">
        <v>1037</v>
      </c>
      <c r="C188" s="227" t="str">
        <f>sample_ccm_hcx_vm_folder</f>
        <v>sfo-w01-fd-hcx</v>
      </c>
      <c r="D188" s="112" t="str">
        <f>ccm_hcx_vm_folder</f>
        <v>Value Missing</v>
      </c>
      <c r="E188" s="228"/>
    </row>
    <row r="189" spans="2:5" s="19" customFormat="1" ht="20.100000000000001" customHeight="1" x14ac:dyDescent="0.2">
      <c r="B189" s="226" t="s">
        <v>3901</v>
      </c>
      <c r="C189" s="227" t="str">
        <f>sample_wld_cl01_az1_mgmt_pg</f>
        <v>sfo-w01-cl01-vds01-pg-esxi-mgmt</v>
      </c>
      <c r="D189" s="112" t="str">
        <f>wld_cl01_az1_mgmt_pg</f>
        <v>Value Missing</v>
      </c>
      <c r="E189" s="228"/>
    </row>
    <row r="190" spans="2:5" s="19" customFormat="1" ht="20.100000000000001" customHeight="1" x14ac:dyDescent="0.2">
      <c r="B190" s="226" t="s">
        <v>3902</v>
      </c>
      <c r="C190" s="227" t="str">
        <f>sample_wld_cl01_az1_mgmt_pg</f>
        <v>sfo-w01-cl01-vds01-pg-esxi-mgmt</v>
      </c>
      <c r="D190" s="112" t="str">
        <f>wld_cl01_az1_mgmt_pg</f>
        <v>Value Missing</v>
      </c>
      <c r="E190" s="228"/>
    </row>
    <row r="191" spans="2:5" s="19" customFormat="1" ht="20.100000000000001" customHeight="1" x14ac:dyDescent="0.2">
      <c r="B191" s="226" t="s">
        <v>3903</v>
      </c>
      <c r="C191" s="227" t="str">
        <f>sample_wld_cl01_az1_vmotion_pg</f>
        <v>sfo-w01-cl01-vds01-pg-vmotion</v>
      </c>
      <c r="D191" s="112" t="str">
        <f>wld_cl01_az1_vmotion_pg</f>
        <v>Value Missing</v>
      </c>
      <c r="E191" s="228"/>
    </row>
    <row r="192" spans="2:5" s="19" customFormat="1" ht="20.100000000000001" customHeight="1" x14ac:dyDescent="0.2">
      <c r="B192" s="226" t="s">
        <v>3904</v>
      </c>
      <c r="C192" s="227" t="str">
        <f>sample_wld_cl01_az1_mgmt_pg</f>
        <v>sfo-w01-cl01-vds01-pg-esxi-mgmt</v>
      </c>
      <c r="D192" s="112" t="str">
        <f>wld_cl01_az1_mgmt_pg</f>
        <v>Value Missing</v>
      </c>
      <c r="E192" s="228"/>
    </row>
    <row r="193" spans="1:6" s="19" customFormat="1" ht="20.100000000000001" customHeight="1" x14ac:dyDescent="0.2">
      <c r="B193" s="226" t="s">
        <v>3905</v>
      </c>
      <c r="C193" s="227" t="str">
        <f>IF(mgmt_consolidated_result="Included",CONCATENATE("overlay-tz-",sample_mgmt_nsxt_vip_fqdn),CONCATENATE("overlay-tz-",sample_wld_nsxt_vip_fqdn))</f>
        <v>overlay-tz-sfo-w01-nsx01.sfo.rainpole.io</v>
      </c>
      <c r="D193" s="112" t="str">
        <f>IF(mgmt_consolidated_result="Included","overlay-tz-"&amp;mgmt_nsxt_vip_fqdn,"overlay-tz-"&amp;wld_nsxt_vip_fqdn)</f>
        <v>overlay-tz-Value Missing</v>
      </c>
      <c r="E193" s="228"/>
    </row>
    <row r="194" spans="1:6" s="19" customFormat="1" ht="20.100000000000001" customHeight="1" x14ac:dyDescent="0.2"/>
    <row r="195" spans="1:6" s="19" customFormat="1" ht="33.950000000000003" customHeight="1" x14ac:dyDescent="0.2">
      <c r="B195" s="652" t="s">
        <v>3906</v>
      </c>
      <c r="C195" s="652"/>
      <c r="D195" s="652"/>
      <c r="E195" s="652"/>
    </row>
    <row r="196" spans="1:6" s="19" customFormat="1" ht="20.100000000000001" customHeight="1" x14ac:dyDescent="0.2">
      <c r="B196" s="224" t="s">
        <v>259</v>
      </c>
      <c r="C196" s="224" t="s">
        <v>711</v>
      </c>
      <c r="D196" s="225" t="s">
        <v>277</v>
      </c>
      <c r="E196" s="224" t="s">
        <v>5</v>
      </c>
    </row>
    <row r="197" spans="1:6" s="19" customFormat="1" ht="20.100000000000001" customHeight="1" x14ac:dyDescent="0.2">
      <c r="B197" s="226" t="s">
        <v>3860</v>
      </c>
      <c r="C197" s="227" t="str">
        <f>sample_wld_vc_fqdn</f>
        <v>sfo-w01-vc01.sfo.rainpole.io</v>
      </c>
      <c r="D197" s="112" t="str">
        <f>wld_vc_fqdn</f>
        <v>Value Missing</v>
      </c>
      <c r="E197" s="228"/>
    </row>
    <row r="198" spans="1:6" s="19" customFormat="1" ht="20.100000000000001" customHeight="1" x14ac:dyDescent="0.2">
      <c r="B198" s="226" t="s">
        <v>3907</v>
      </c>
      <c r="C198" s="227" t="str">
        <f>sample_ccm_hcx_compute_profile</f>
        <v>sfo-w01-compute-profile</v>
      </c>
      <c r="D198" s="112" t="str">
        <f>ccm_hcx_compute_profile</f>
        <v>Value Missing</v>
      </c>
      <c r="E198" s="228"/>
    </row>
    <row r="199" spans="1:6" s="19" customFormat="1" ht="20.100000000000001" customHeight="1" x14ac:dyDescent="0.2">
      <c r="B199" s="226" t="s">
        <v>3908</v>
      </c>
      <c r="C199" s="227" t="s">
        <v>3909</v>
      </c>
      <c r="D199" s="112" t="str">
        <f>C199</f>
        <v>ComputeProfile(vcenter)</v>
      </c>
      <c r="E199" s="228"/>
    </row>
    <row r="200" spans="1:6" s="19" customFormat="1" ht="20.100000000000001" customHeight="1" x14ac:dyDescent="0.2">
      <c r="B200" s="226" t="s">
        <v>3910</v>
      </c>
      <c r="C200" s="227" t="str">
        <f>sample_ccm_hcx_service_mesh</f>
        <v>sfo-w01-service-mesh</v>
      </c>
      <c r="D200" s="112" t="str">
        <f>ccm_hcx_service_mesh</f>
        <v>Value Missing</v>
      </c>
      <c r="E200" s="228"/>
    </row>
    <row r="201" spans="1:6" s="19" customFormat="1" ht="20.100000000000001" customHeight="1" x14ac:dyDescent="0.2"/>
    <row r="202" spans="1:6" s="19" customFormat="1" ht="33.950000000000003" customHeight="1" x14ac:dyDescent="0.2">
      <c r="A202" s="216"/>
      <c r="B202" s="653" t="s">
        <v>3325</v>
      </c>
      <c r="C202" s="653"/>
      <c r="D202" s="653"/>
      <c r="E202" s="653"/>
      <c r="F202" s="216"/>
    </row>
    <row r="203" spans="1:6" s="19" customFormat="1" ht="20.100000000000001" customHeight="1" x14ac:dyDescent="0.2"/>
    <row r="204" spans="1:6" s="19" customFormat="1" ht="33.950000000000003" customHeight="1" x14ac:dyDescent="0.2">
      <c r="B204" s="656" t="s">
        <v>3830</v>
      </c>
      <c r="C204" s="657"/>
      <c r="D204" s="657"/>
      <c r="E204" s="657"/>
    </row>
    <row r="205" spans="1:6" s="19" customFormat="1" ht="20.100000000000001" customHeight="1" x14ac:dyDescent="0.2"/>
    <row r="206" spans="1:6" s="19" customFormat="1" ht="33.950000000000003" customHeight="1" x14ac:dyDescent="0.2">
      <c r="B206" s="652" t="s">
        <v>3911</v>
      </c>
      <c r="C206" s="652"/>
      <c r="D206" s="652"/>
      <c r="E206" s="652"/>
    </row>
    <row r="207" spans="1:6" s="19" customFormat="1" ht="20.100000000000001" customHeight="1" x14ac:dyDescent="0.2">
      <c r="B207" s="224" t="s">
        <v>259</v>
      </c>
      <c r="C207" s="224" t="s">
        <v>711</v>
      </c>
      <c r="D207" s="225" t="s">
        <v>277</v>
      </c>
      <c r="E207" s="224" t="s">
        <v>5</v>
      </c>
    </row>
    <row r="208" spans="1:6" s="19" customFormat="1" ht="20.100000000000001" customHeight="1" x14ac:dyDescent="0.2">
      <c r="B208" s="226" t="s">
        <v>3492</v>
      </c>
      <c r="C208" s="227" t="str">
        <f>sample_xreg_vrops_virtual_fqdn</f>
        <v>flt-ops01.rainpole.io</v>
      </c>
      <c r="D208" s="112" t="str">
        <f>xreg_vrops_virtual_fqdn</f>
        <v>operations.vcf.lab.local</v>
      </c>
      <c r="E208" s="228"/>
    </row>
    <row r="209" spans="2:5" s="19" customFormat="1" ht="20.100000000000001" customHeight="1" x14ac:dyDescent="0.2">
      <c r="B209" s="226" t="s">
        <v>259</v>
      </c>
      <c r="C209" s="227" t="str">
        <f>"cross-cloud-proxies"</f>
        <v>cross-cloud-proxies</v>
      </c>
      <c r="D209" s="112" t="str">
        <f>C209</f>
        <v>cross-cloud-proxies</v>
      </c>
      <c r="E209" s="228"/>
    </row>
    <row r="210" spans="2:5" s="19" customFormat="1" ht="20.100000000000001" customHeight="1" x14ac:dyDescent="0.2">
      <c r="B210" s="226" t="s">
        <v>3832</v>
      </c>
      <c r="C210" s="227" t="str">
        <f>C209</f>
        <v>cross-cloud-proxies</v>
      </c>
      <c r="D210" s="112" t="str">
        <f>C210</f>
        <v>cross-cloud-proxies</v>
      </c>
      <c r="E210" s="228"/>
    </row>
    <row r="211" spans="2:5" s="19" customFormat="1" ht="20.100000000000001" customHeight="1" x14ac:dyDescent="0.2">
      <c r="B211" s="226" t="s">
        <v>3833</v>
      </c>
      <c r="C211" s="227" t="str">
        <f>sample_ccm_hcx_cdp_ip</f>
        <v>10.11.10.46</v>
      </c>
      <c r="D211" s="112" t="str">
        <f>ccm_hcx_cdp_ip</f>
        <v>Value Missing</v>
      </c>
      <c r="E211" s="228"/>
    </row>
    <row r="212" spans="2:5" s="19" customFormat="1" ht="20.100000000000001" customHeight="1" x14ac:dyDescent="0.2">
      <c r="B212" s="226" t="s">
        <v>3834</v>
      </c>
      <c r="C212" s="227" t="str">
        <f>CONCATENATE(sample_mgmt_sddc_domain,"-collector-group")</f>
        <v>sfo-m01-collector-group</v>
      </c>
      <c r="D212" s="112" t="str">
        <f>CONCATENATE(mgmt_sddc_domain,"-collector-group")</f>
        <v>vcf-lab-mgmt01-collector-group</v>
      </c>
      <c r="E212" s="228"/>
    </row>
    <row r="213" spans="2:5" s="19" customFormat="1" ht="20.100000000000001" customHeight="1" x14ac:dyDescent="0.2"/>
    <row r="214" spans="2:5" s="19" customFormat="1" ht="33.950000000000003" customHeight="1" x14ac:dyDescent="0.2">
      <c r="B214" s="656" t="s">
        <v>3912</v>
      </c>
      <c r="C214" s="657"/>
      <c r="D214" s="657"/>
      <c r="E214" s="657"/>
    </row>
    <row r="215" spans="2:5" s="19" customFormat="1" ht="20.100000000000001" customHeight="1" x14ac:dyDescent="0.2"/>
    <row r="216" spans="2:5" s="19" customFormat="1" ht="33.950000000000003" customHeight="1" x14ac:dyDescent="0.2">
      <c r="B216" s="652" t="s">
        <v>3913</v>
      </c>
      <c r="C216" s="652"/>
      <c r="D216" s="652"/>
      <c r="E216" s="652"/>
    </row>
    <row r="217" spans="2:5" s="19" customFormat="1" ht="20.100000000000001" customHeight="1" x14ac:dyDescent="0.2">
      <c r="B217" s="224" t="s">
        <v>259</v>
      </c>
      <c r="C217" s="224" t="s">
        <v>711</v>
      </c>
      <c r="D217" s="225" t="s">
        <v>277</v>
      </c>
      <c r="E217" s="224" t="s">
        <v>5</v>
      </c>
    </row>
    <row r="218" spans="2:5" s="19" customFormat="1" ht="20.100000000000001" customHeight="1" x14ac:dyDescent="0.2">
      <c r="B218" s="226" t="s">
        <v>3914</v>
      </c>
      <c r="C218" s="227" t="str">
        <f>sample_sftp_server</f>
        <v>20.10.5.10</v>
      </c>
      <c r="D218" s="112" t="str">
        <f>sftp_server_ip</f>
        <v>Value Missing</v>
      </c>
      <c r="E218" s="228"/>
    </row>
    <row r="219" spans="2:5" s="19" customFormat="1" ht="20.100000000000001" customHeight="1" x14ac:dyDescent="0.2">
      <c r="B219" s="226" t="s">
        <v>3915</v>
      </c>
      <c r="C219" s="227">
        <f>sample_sftp_server_port</f>
        <v>22</v>
      </c>
      <c r="D219" s="112" t="str">
        <f>sftp_server_port</f>
        <v>Value Missing</v>
      </c>
      <c r="E219" s="228"/>
    </row>
    <row r="220" spans="2:5" s="19" customFormat="1" ht="20.100000000000001" customHeight="1" x14ac:dyDescent="0.2">
      <c r="B220" s="226" t="s">
        <v>516</v>
      </c>
      <c r="C220" s="227" t="str">
        <f>sample_sftp_server_protocol</f>
        <v>SFTP</v>
      </c>
      <c r="D220" s="112" t="str">
        <f>sftp_server_protocol</f>
        <v>Value Missing</v>
      </c>
      <c r="E220" s="228"/>
    </row>
    <row r="221" spans="2:5" s="19" customFormat="1" ht="20.100000000000001" customHeight="1" x14ac:dyDescent="0.2">
      <c r="B221" s="226" t="s">
        <v>294</v>
      </c>
      <c r="C221" s="227" t="str">
        <f>sample_svc_vcf_bck_user</f>
        <v>svc-vcf-bck</v>
      </c>
      <c r="D221" s="112" t="str">
        <f>user_svc_vcf_bck</f>
        <v>Value Missing</v>
      </c>
      <c r="E221" s="228"/>
    </row>
    <row r="222" spans="2:5" s="19" customFormat="1" ht="20.100000000000001" customHeight="1" x14ac:dyDescent="0.2">
      <c r="B222" s="226" t="s">
        <v>296</v>
      </c>
      <c r="C222" s="227" t="str">
        <f>sample_svc_vcf_bck_password</f>
        <v>VMw@re1!</v>
      </c>
      <c r="D222" s="112" t="str">
        <f>svc_vcf_bck_password</f>
        <v>Value Missing</v>
      </c>
      <c r="E222" s="228"/>
    </row>
    <row r="223" spans="2:5" s="19" customFormat="1" ht="20.100000000000001" customHeight="1" x14ac:dyDescent="0.2">
      <c r="B223" s="226" t="s">
        <v>3916</v>
      </c>
      <c r="C223" s="227" t="str">
        <f>sample_sftp_server_backup_dir</f>
        <v>/backups/</v>
      </c>
      <c r="D223" s="112" t="str">
        <f>sftp_server_backup_dir</f>
        <v>Value Missing</v>
      </c>
      <c r="E223" s="228"/>
    </row>
    <row r="224" spans="2:5" s="19" customFormat="1" ht="20.100000000000001" customHeight="1" x14ac:dyDescent="0.2"/>
    <row r="225" spans="2:5" s="19" customFormat="1" ht="33.950000000000003" customHeight="1" x14ac:dyDescent="0.2">
      <c r="B225" s="652" t="s">
        <v>3917</v>
      </c>
      <c r="C225" s="652"/>
      <c r="D225" s="652"/>
      <c r="E225" s="652"/>
    </row>
    <row r="226" spans="2:5" s="19" customFormat="1" ht="20.100000000000001" customHeight="1" x14ac:dyDescent="0.2">
      <c r="B226" s="224" t="s">
        <v>259</v>
      </c>
      <c r="C226" s="224" t="s">
        <v>711</v>
      </c>
      <c r="D226" s="225" t="s">
        <v>277</v>
      </c>
      <c r="E226" s="224" t="s">
        <v>5</v>
      </c>
    </row>
    <row r="227" spans="2:5" s="19" customFormat="1" ht="20.100000000000001" customHeight="1" x14ac:dyDescent="0.2">
      <c r="B227" s="226" t="s">
        <v>3918</v>
      </c>
      <c r="C227" s="227" t="s">
        <v>3919</v>
      </c>
      <c r="D227" s="112" t="str">
        <f>C227</f>
        <v>DAILY</v>
      </c>
      <c r="E227" s="228"/>
    </row>
    <row r="228" spans="2:5" s="19" customFormat="1" ht="20.100000000000001" customHeight="1" x14ac:dyDescent="0.2">
      <c r="B228" s="226" t="s">
        <v>3920</v>
      </c>
      <c r="C228" s="227">
        <v>3</v>
      </c>
      <c r="D228" s="112">
        <f>C228</f>
        <v>3</v>
      </c>
      <c r="E228" s="228"/>
    </row>
    <row r="229" spans="2:5" s="19" customFormat="1" ht="20.100000000000001" customHeight="1" x14ac:dyDescent="0.2">
      <c r="B229" s="226" t="s">
        <v>3921</v>
      </c>
      <c r="C229" s="227">
        <v>30</v>
      </c>
      <c r="D229" s="112">
        <f>C229</f>
        <v>30</v>
      </c>
      <c r="E229" s="228"/>
    </row>
    <row r="230" spans="2:5" s="19" customFormat="1" x14ac:dyDescent="0.2"/>
    <row r="231" spans="2:5" s="19" customFormat="1" x14ac:dyDescent="0.2"/>
    <row r="232" spans="2:5" s="19" customFormat="1" x14ac:dyDescent="0.2"/>
    <row r="233" spans="2:5" s="19" customFormat="1" x14ac:dyDescent="0.2"/>
    <row r="234" spans="2:5" s="19" customFormat="1" x14ac:dyDescent="0.2"/>
    <row r="235" spans="2:5" s="19" customFormat="1" x14ac:dyDescent="0.2"/>
    <row r="236" spans="2:5" s="19" customFormat="1" x14ac:dyDescent="0.2"/>
    <row r="237" spans="2:5" s="19" customFormat="1" x14ac:dyDescent="0.2"/>
    <row r="238" spans="2:5" s="19" customFormat="1" x14ac:dyDescent="0.2"/>
    <row r="239" spans="2:5" s="19" customFormat="1" x14ac:dyDescent="0.2"/>
    <row r="240" spans="2:5"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row r="938" s="19" customFormat="1" x14ac:dyDescent="0.2"/>
    <row r="939" s="19" customFormat="1" x14ac:dyDescent="0.2"/>
    <row r="940" s="19" customFormat="1" x14ac:dyDescent="0.2"/>
    <row r="941" s="19" customFormat="1" x14ac:dyDescent="0.2"/>
    <row r="942" s="19" customFormat="1" x14ac:dyDescent="0.2"/>
    <row r="943" s="19" customFormat="1" x14ac:dyDescent="0.2"/>
    <row r="944" s="19" customFormat="1" x14ac:dyDescent="0.2"/>
    <row r="945" s="19" customFormat="1" x14ac:dyDescent="0.2"/>
    <row r="946" s="19" customFormat="1" x14ac:dyDescent="0.2"/>
    <row r="947" s="19" customFormat="1" x14ac:dyDescent="0.2"/>
    <row r="948" s="19" customFormat="1" x14ac:dyDescent="0.2"/>
    <row r="949" s="19" customFormat="1" x14ac:dyDescent="0.2"/>
    <row r="950" s="19" customFormat="1" x14ac:dyDescent="0.2"/>
    <row r="951" s="19" customFormat="1" x14ac:dyDescent="0.2"/>
    <row r="952" s="19" customFormat="1" x14ac:dyDescent="0.2"/>
    <row r="953" s="19" customFormat="1" x14ac:dyDescent="0.2"/>
    <row r="954" s="19" customFormat="1" x14ac:dyDescent="0.2"/>
    <row r="955" s="19" customFormat="1" x14ac:dyDescent="0.2"/>
    <row r="956" s="19" customFormat="1" x14ac:dyDescent="0.2"/>
    <row r="957" s="19" customFormat="1" x14ac:dyDescent="0.2"/>
    <row r="958" s="19" customFormat="1" x14ac:dyDescent="0.2"/>
    <row r="959" s="19" customFormat="1" x14ac:dyDescent="0.2"/>
    <row r="960" s="19" customFormat="1" x14ac:dyDescent="0.2"/>
    <row r="961" s="19" customFormat="1" x14ac:dyDescent="0.2"/>
    <row r="962" s="19" customFormat="1" x14ac:dyDescent="0.2"/>
    <row r="963" s="19" customFormat="1" x14ac:dyDescent="0.2"/>
    <row r="964" s="19" customFormat="1" x14ac:dyDescent="0.2"/>
    <row r="965" s="19" customFormat="1" x14ac:dyDescent="0.2"/>
    <row r="966" s="19" customFormat="1" x14ac:dyDescent="0.2"/>
    <row r="967" s="19" customFormat="1" x14ac:dyDescent="0.2"/>
    <row r="968" s="19" customFormat="1" x14ac:dyDescent="0.2"/>
    <row r="969" s="19" customFormat="1" x14ac:dyDescent="0.2"/>
    <row r="970" s="19" customFormat="1" x14ac:dyDescent="0.2"/>
    <row r="971" s="19" customFormat="1" x14ac:dyDescent="0.2"/>
    <row r="972" s="19" customFormat="1" x14ac:dyDescent="0.2"/>
    <row r="973" s="19" customFormat="1" x14ac:dyDescent="0.2"/>
    <row r="974" s="19" customFormat="1" x14ac:dyDescent="0.2"/>
    <row r="975" s="19" customFormat="1" x14ac:dyDescent="0.2"/>
    <row r="976" s="19" customFormat="1" x14ac:dyDescent="0.2"/>
    <row r="977" s="19" customFormat="1" x14ac:dyDescent="0.2"/>
    <row r="978" s="19" customFormat="1" x14ac:dyDescent="0.2"/>
    <row r="979" s="19" customFormat="1" x14ac:dyDescent="0.2"/>
    <row r="980" s="19" customFormat="1" x14ac:dyDescent="0.2"/>
    <row r="981" s="19" customFormat="1" x14ac:dyDescent="0.2"/>
    <row r="982" s="19" customFormat="1" x14ac:dyDescent="0.2"/>
    <row r="983" s="19" customFormat="1" x14ac:dyDescent="0.2"/>
  </sheetData>
  <sheetProtection algorithmName="SHA-512" hashValue="NMt94iLVwxbiZBI+ettZKFeIR73zSbwY8esWZTv0wm4RD6SE4Ka6HVQAbLdPEup8QAH01D0pRYc6TO+VgjlQFQ==" saltValue="OeAV147YNXjnQzFCksLvAw==" spinCount="100000" sheet="1" objects="1" scenarios="1"/>
  <mergeCells count="45">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 ref="B195:E195"/>
    <mergeCell ref="B159:E159"/>
    <mergeCell ref="B204:E204"/>
    <mergeCell ref="B206:E206"/>
    <mergeCell ref="B202:E202"/>
    <mergeCell ref="B162:E162"/>
    <mergeCell ref="B172:E172"/>
    <mergeCell ref="B181:E181"/>
    <mergeCell ref="B11:C11"/>
    <mergeCell ref="D11:E11"/>
    <mergeCell ref="D10:E10"/>
    <mergeCell ref="F10:G10"/>
    <mergeCell ref="B136:E136"/>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s>
  <conditionalFormatting sqref="B14:E39">
    <cfRule type="expression" dxfId="2218" priority="6">
      <formula>ccm_result="Excluded"</formula>
    </cfRule>
  </conditionalFormatting>
  <conditionalFormatting sqref="C7:J10 D11:D12 F11:J12">
    <cfRule type="expression" dxfId="2217" priority="1">
      <formula>ccm_result="Excluded"</formula>
    </cfRule>
  </conditionalFormatting>
  <conditionalFormatting sqref="D5 D202">
    <cfRule type="expression" dxfId="2216" priority="22">
      <formula>OR((ccm_result="Excluded"),AND((intelligent_operations_result="Excluded")))</formula>
    </cfRule>
  </conditionalFormatting>
  <conditionalFormatting sqref="D16:D39">
    <cfRule type="notContainsBlanks" dxfId="2215" priority="7">
      <formula>LEN(TRIM(D16))&gt;0</formula>
    </cfRule>
    <cfRule type="containsBlanks" dxfId="2214" priority="8">
      <formula>LEN(TRIM(D16))=0</formula>
    </cfRule>
  </conditionalFormatting>
  <conditionalFormatting sqref="D41">
    <cfRule type="expression" dxfId="2213"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2212" priority="9" stopIfTrue="1">
      <formula>ccm_result="Excluded"</formula>
    </cfRule>
    <cfRule type="containsBlanks" dxfId="2211" priority="119">
      <formula>LEN(TRIM(D43))=0</formula>
    </cfRule>
    <cfRule type="notContainsBlanks" dxfId="2210" priority="120">
      <formula>LEN(TRIM(D43))&gt;0</formula>
    </cfRule>
  </conditionalFormatting>
  <conditionalFormatting sqref="D204 D206 D208:D212">
    <cfRule type="expression" dxfId="2209" priority="14" stopIfTrue="1">
      <formula>OR((ccm_result="Excluded"),AND((intelligent_operations_result="Excluded")))</formula>
    </cfRule>
  </conditionalFormatting>
  <conditionalFormatting sqref="D214">
    <cfRule type="expression" dxfId="2208" priority="13" stopIfTrue="1">
      <formula>ccm_result="Excluded"</formula>
    </cfRule>
  </conditionalFormatting>
  <conditionalFormatting sqref="E9 G9">
    <cfRule type="notContainsBlanks" dxfId="2207" priority="4">
      <formula>LEN(TRIM(E9))&gt;0</formula>
    </cfRule>
    <cfRule type="containsBlanks" dxfId="2206" priority="5">
      <formula>LEN(TRIM(E9))=0</formula>
    </cfRule>
  </conditionalFormatting>
  <conditionalFormatting sqref="F11:G12">
    <cfRule type="notContainsBlanks" dxfId="2205" priority="2">
      <formula>LEN(TRIM(F11))&gt;0</formula>
    </cfRule>
    <cfRule type="containsBlanks" dxfId="2204"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800-000000000000}"/>
    <hyperlink ref="C5" location="'Cross Cloud Mobility'!B8" display="Deployment" xr:uid="{00000000-0004-0000-1800-000001000000}"/>
    <hyperlink ref="D5" location="'Cross Cloud Mobility'!B169" display="Solution Interoperability" xr:uid="{00000000-0004-0000-1800-000002000000}"/>
    <hyperlink ref="C52" r:id="rId1" display="mailto:svc-cbo-vsphere@sfo.rainpole.io" xr:uid="{00000000-0004-0000-18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zoomScaleNormal="100" workbookViewId="0">
      <pane ySplit="4" topLeftCell="A5" activePane="bottomLeft" state="frozen"/>
      <selection pane="bottomLeft" activeCell="E41" sqref="E41"/>
    </sheetView>
  </sheetViews>
  <sheetFormatPr defaultColWidth="10.875" defaultRowHeight="15" x14ac:dyDescent="0.25"/>
  <cols>
    <col min="1" max="1" width="2.875" style="2" customWidth="1"/>
    <col min="2" max="2" width="65.875" style="2" customWidth="1"/>
    <col min="3" max="3" width="23.875" style="2" bestFit="1" customWidth="1"/>
    <col min="4" max="4" width="50.125" style="2" customWidth="1"/>
    <col min="5" max="5" width="44.375" style="2" bestFit="1" customWidth="1"/>
    <col min="6" max="6" width="49.5" style="2" customWidth="1"/>
    <col min="7" max="7" width="52.625" style="2" bestFit="1" customWidth="1"/>
    <col min="8" max="8" width="61.125" style="2" bestFit="1" customWidth="1"/>
    <col min="9" max="9" width="66.5" style="2" bestFit="1" customWidth="1"/>
    <col min="10" max="10" width="10.875" style="3" customWidth="1"/>
    <col min="11" max="16" width="10.875" style="2" customWidth="1"/>
    <col min="17" max="16384" width="10.875" style="2"/>
  </cols>
  <sheetData>
    <row r="1" spans="1:11" x14ac:dyDescent="0.25">
      <c r="A1" s="1"/>
      <c r="J1" s="2"/>
    </row>
    <row r="2" spans="1:11" ht="54" customHeight="1" x14ac:dyDescent="0.25">
      <c r="B2" s="420" t="s">
        <v>3922</v>
      </c>
      <c r="C2" s="420"/>
      <c r="D2" s="420"/>
      <c r="E2" s="420"/>
      <c r="F2" s="420"/>
      <c r="G2" s="420"/>
      <c r="H2" s="200"/>
      <c r="I2" s="200"/>
      <c r="J2" s="200"/>
      <c r="K2" s="200"/>
    </row>
    <row r="3" spans="1:11" ht="20.100000000000001" customHeight="1" x14ac:dyDescent="0.25">
      <c r="B3" s="339" t="s">
        <v>3923</v>
      </c>
      <c r="C3" s="339"/>
      <c r="D3" s="339"/>
      <c r="E3" s="339"/>
      <c r="F3" s="339"/>
      <c r="G3" s="339"/>
      <c r="H3" s="15"/>
      <c r="I3" s="15"/>
      <c r="J3" s="15"/>
      <c r="K3" s="15"/>
    </row>
    <row r="5" spans="1:11" ht="15.95" customHeight="1" x14ac:dyDescent="0.25"/>
    <row r="6" spans="1:11" s="104" customFormat="1" ht="33.950000000000003" customHeight="1" x14ac:dyDescent="0.25">
      <c r="B6" s="425" t="s">
        <v>3924</v>
      </c>
      <c r="C6" s="425"/>
      <c r="D6" s="425"/>
      <c r="E6" s="425"/>
      <c r="F6" s="425"/>
      <c r="G6" s="425"/>
      <c r="H6" s="2"/>
      <c r="J6" s="242"/>
    </row>
    <row r="7" spans="1:11" ht="20.100000000000001" customHeight="1" x14ac:dyDescent="0.25">
      <c r="B7" s="346" t="s">
        <v>3925</v>
      </c>
      <c r="C7" s="346" t="s">
        <v>202</v>
      </c>
      <c r="D7" s="346" t="s">
        <v>3926</v>
      </c>
      <c r="E7" s="97" t="s">
        <v>3927</v>
      </c>
      <c r="F7" s="346" t="s">
        <v>3928</v>
      </c>
      <c r="G7" s="243"/>
    </row>
    <row r="8" spans="1:11" ht="20.100000000000001" customHeight="1" x14ac:dyDescent="0.25">
      <c r="B8" s="4" t="s">
        <v>3929</v>
      </c>
      <c r="C8" s="80" t="s">
        <v>2265</v>
      </c>
      <c r="E8" s="347"/>
      <c r="F8" s="80" t="s">
        <v>3930</v>
      </c>
      <c r="G8" s="347"/>
    </row>
    <row r="9" spans="1:11" s="205" customFormat="1" ht="20.100000000000001" customHeight="1" x14ac:dyDescent="0.25">
      <c r="B9" s="4" t="s">
        <v>3931</v>
      </c>
      <c r="C9" s="80" t="s">
        <v>2271</v>
      </c>
      <c r="E9" s="245"/>
      <c r="F9" s="244" t="str">
        <f>(UPPER(this_instance))</f>
        <v>SFO</v>
      </c>
      <c r="G9" s="245"/>
      <c r="J9" s="191"/>
    </row>
    <row r="10" spans="1:11" ht="20.100000000000001" customHeight="1" x14ac:dyDescent="0.25">
      <c r="B10" s="4" t="s">
        <v>3932</v>
      </c>
      <c r="C10" s="80" t="s">
        <v>2265</v>
      </c>
      <c r="D10" s="80" t="s">
        <v>3933</v>
      </c>
      <c r="E10" s="129"/>
      <c r="F10" s="80" t="s">
        <v>3934</v>
      </c>
      <c r="G10" s="129"/>
    </row>
    <row r="11" spans="1:11" ht="20.100000000000001" customHeight="1" x14ac:dyDescent="0.25">
      <c r="B11" s="4" t="s">
        <v>3935</v>
      </c>
      <c r="C11" s="80" t="s">
        <v>2271</v>
      </c>
      <c r="D11" s="80" t="str">
        <f>CONCATENATE("ou=Security Groups,dc=",this_instance,",dc=rainpole,dc=io")</f>
        <v>ou=Security Groups,dc=sfo,dc=rainpole,dc=io</v>
      </c>
      <c r="E11" s="347"/>
      <c r="F11" s="80" t="str">
        <f>CONCATENATE("ou=Security Users,dc=",this_instance,",dc=rainpole,dc=io")</f>
        <v>ou=Security Users,dc=sfo,dc=rainpole,dc=io</v>
      </c>
      <c r="G11" s="347"/>
    </row>
    <row r="12" spans="1:11" ht="15.95" customHeight="1" x14ac:dyDescent="0.25"/>
    <row r="13" spans="1:11" ht="33.950000000000003" customHeight="1" x14ac:dyDescent="0.25">
      <c r="B13" s="408" t="s">
        <v>3936</v>
      </c>
      <c r="C13" s="409"/>
      <c r="D13" s="409"/>
      <c r="E13" s="409"/>
      <c r="F13" s="409"/>
      <c r="G13" s="410"/>
    </row>
    <row r="14" spans="1:11" ht="20.100000000000001" customHeight="1" x14ac:dyDescent="0.25">
      <c r="B14" s="475" t="s">
        <v>201</v>
      </c>
      <c r="C14" s="476"/>
      <c r="D14" s="476"/>
      <c r="E14" s="476"/>
      <c r="F14" s="476"/>
      <c r="G14" s="477"/>
      <c r="J14" s="2"/>
    </row>
    <row r="15" spans="1:11" ht="20.100000000000001" customHeight="1" x14ac:dyDescent="0.25">
      <c r="B15" s="346" t="s">
        <v>3925</v>
      </c>
      <c r="C15" s="346" t="s">
        <v>202</v>
      </c>
      <c r="D15" s="346" t="s">
        <v>3937</v>
      </c>
      <c r="E15" s="97" t="s">
        <v>3938</v>
      </c>
      <c r="F15" s="346" t="s">
        <v>3939</v>
      </c>
      <c r="G15" s="97" t="s">
        <v>3940</v>
      </c>
    </row>
    <row r="16" spans="1:11" ht="20.100000000000001" customHeight="1" x14ac:dyDescent="0.25">
      <c r="B16" s="475" t="s">
        <v>3941</v>
      </c>
      <c r="C16" s="476"/>
      <c r="D16" s="476"/>
      <c r="E16" s="476"/>
      <c r="F16" s="476"/>
      <c r="G16" s="477"/>
      <c r="J16" s="2"/>
    </row>
    <row r="17" spans="2:10" ht="20.100000000000001" customHeight="1" x14ac:dyDescent="0.25">
      <c r="B17" s="346" t="s">
        <v>3925</v>
      </c>
      <c r="C17" s="346" t="s">
        <v>202</v>
      </c>
      <c r="D17" s="346" t="s">
        <v>3937</v>
      </c>
      <c r="E17" s="97" t="s">
        <v>3938</v>
      </c>
      <c r="F17" s="346" t="s">
        <v>3939</v>
      </c>
      <c r="G17" s="97" t="s">
        <v>3940</v>
      </c>
    </row>
    <row r="18" spans="2:10" ht="20.100000000000001" customHeight="1" x14ac:dyDescent="0.25">
      <c r="B18" s="4" t="s">
        <v>3942</v>
      </c>
      <c r="C18" s="80" t="s">
        <v>2271</v>
      </c>
      <c r="D18" s="80" t="s">
        <v>2453</v>
      </c>
      <c r="E18" s="129"/>
      <c r="F18" s="135" t="s">
        <v>379</v>
      </c>
      <c r="G18" s="347"/>
      <c r="J18" s="2"/>
    </row>
    <row r="19" spans="2:10" ht="20.100000000000001" customHeight="1" x14ac:dyDescent="0.25">
      <c r="B19" s="4" t="s">
        <v>3943</v>
      </c>
      <c r="C19" s="80" t="s">
        <v>2271</v>
      </c>
      <c r="D19" s="80" t="s">
        <v>3944</v>
      </c>
      <c r="E19" s="129"/>
      <c r="F19" s="135" t="s">
        <v>379</v>
      </c>
      <c r="G19" s="347"/>
      <c r="J19" s="2"/>
    </row>
    <row r="20" spans="2:10" ht="15.95" customHeight="1" x14ac:dyDescent="0.25"/>
    <row r="21" spans="2:10" ht="33.950000000000003" customHeight="1" x14ac:dyDescent="0.25">
      <c r="B21" s="408" t="s">
        <v>3945</v>
      </c>
      <c r="C21" s="409"/>
      <c r="D21" s="409"/>
      <c r="E21" s="409"/>
      <c r="F21" s="409"/>
      <c r="G21" s="410"/>
    </row>
    <row r="22" spans="2:10" ht="20.100000000000001" customHeight="1" x14ac:dyDescent="0.25">
      <c r="B22" s="475" t="s">
        <v>3946</v>
      </c>
      <c r="C22" s="476"/>
      <c r="D22" s="476"/>
      <c r="E22" s="476"/>
      <c r="F22" s="476"/>
      <c r="G22" s="477"/>
      <c r="J22" s="2"/>
    </row>
    <row r="23" spans="2:10" ht="20.100000000000001" customHeight="1" x14ac:dyDescent="0.25">
      <c r="B23" s="346" t="s">
        <v>3925</v>
      </c>
      <c r="C23" s="346" t="s">
        <v>202</v>
      </c>
      <c r="D23" s="346" t="s">
        <v>3937</v>
      </c>
      <c r="E23" s="97" t="s">
        <v>3938</v>
      </c>
      <c r="F23" s="346" t="s">
        <v>3939</v>
      </c>
      <c r="G23" s="97" t="s">
        <v>3940</v>
      </c>
    </row>
    <row r="24" spans="2:10" ht="20.100000000000001" customHeight="1" x14ac:dyDescent="0.25">
      <c r="B24" s="4" t="s">
        <v>3947</v>
      </c>
      <c r="C24" s="80" t="s">
        <v>2271</v>
      </c>
      <c r="D24" s="80" t="s">
        <v>3948</v>
      </c>
      <c r="E24" s="347"/>
      <c r="F24" s="135" t="s">
        <v>379</v>
      </c>
      <c r="G24" s="347"/>
    </row>
    <row r="25" spans="2:10" ht="20.100000000000001" customHeight="1" x14ac:dyDescent="0.25">
      <c r="B25" s="475" t="s">
        <v>3949</v>
      </c>
      <c r="C25" s="476"/>
      <c r="D25" s="476"/>
      <c r="E25" s="476"/>
      <c r="F25" s="476"/>
      <c r="G25" s="477"/>
    </row>
    <row r="26" spans="2:10" ht="20.100000000000001" customHeight="1" x14ac:dyDescent="0.25">
      <c r="B26" s="346" t="s">
        <v>3925</v>
      </c>
      <c r="C26" s="346" t="s">
        <v>202</v>
      </c>
      <c r="D26" s="346" t="s">
        <v>3937</v>
      </c>
      <c r="E26" s="97" t="s">
        <v>3938</v>
      </c>
      <c r="F26" s="346" t="s">
        <v>3939</v>
      </c>
      <c r="G26" s="97" t="s">
        <v>3940</v>
      </c>
    </row>
    <row r="27" spans="2:10" ht="20.100000000000001" customHeight="1" x14ac:dyDescent="0.25">
      <c r="B27" s="4" t="s">
        <v>3950</v>
      </c>
      <c r="C27" s="80" t="s">
        <v>2271</v>
      </c>
      <c r="D27" s="80" t="s">
        <v>3951</v>
      </c>
      <c r="E27" s="347"/>
      <c r="F27" s="135" t="s">
        <v>379</v>
      </c>
      <c r="G27" s="347"/>
      <c r="H27" s="2" t="s">
        <v>3952</v>
      </c>
      <c r="J27" s="2"/>
    </row>
    <row r="28" spans="2:10" ht="20.100000000000001" customHeight="1" x14ac:dyDescent="0.25">
      <c r="B28" s="4" t="s">
        <v>3953</v>
      </c>
      <c r="C28" s="80" t="s">
        <v>2271</v>
      </c>
      <c r="D28" s="80" t="s">
        <v>3954</v>
      </c>
      <c r="E28" s="347"/>
      <c r="F28" s="135" t="s">
        <v>379</v>
      </c>
      <c r="G28" s="347"/>
      <c r="H28" s="2" t="s">
        <v>3952</v>
      </c>
      <c r="J28" s="2"/>
    </row>
    <row r="29" spans="2:10" ht="20.100000000000001" customHeight="1" x14ac:dyDescent="0.25">
      <c r="B29" s="4" t="s">
        <v>3955</v>
      </c>
      <c r="C29" s="80" t="s">
        <v>2271</v>
      </c>
      <c r="D29" s="80" t="s">
        <v>3956</v>
      </c>
      <c r="E29" s="347"/>
      <c r="F29" s="135" t="s">
        <v>379</v>
      </c>
      <c r="G29" s="347"/>
      <c r="H29" s="2" t="s">
        <v>3952</v>
      </c>
      <c r="J29" s="2"/>
    </row>
    <row r="30" spans="2:10" ht="20.100000000000001" customHeight="1" x14ac:dyDescent="0.25">
      <c r="B30" s="475" t="s">
        <v>3957</v>
      </c>
      <c r="C30" s="476"/>
      <c r="D30" s="476"/>
      <c r="E30" s="476"/>
      <c r="F30" s="476"/>
      <c r="G30" s="477"/>
      <c r="J30" s="2"/>
    </row>
    <row r="31" spans="2:10" ht="20.100000000000001" customHeight="1" x14ac:dyDescent="0.25">
      <c r="B31" s="346" t="s">
        <v>3925</v>
      </c>
      <c r="C31" s="346" t="s">
        <v>202</v>
      </c>
      <c r="D31" s="346" t="s">
        <v>3937</v>
      </c>
      <c r="E31" s="97" t="s">
        <v>3938</v>
      </c>
      <c r="F31" s="346" t="s">
        <v>3939</v>
      </c>
      <c r="G31" s="97" t="s">
        <v>3940</v>
      </c>
    </row>
    <row r="32" spans="2:10" ht="20.100000000000001" customHeight="1" x14ac:dyDescent="0.25">
      <c r="B32" s="4" t="s">
        <v>3958</v>
      </c>
      <c r="C32" s="80" t="s">
        <v>2271</v>
      </c>
      <c r="D32" s="80" t="s">
        <v>3959</v>
      </c>
      <c r="E32" s="129"/>
      <c r="F32" s="135" t="s">
        <v>379</v>
      </c>
      <c r="G32" s="347"/>
    </row>
    <row r="33" spans="2:10" ht="20.100000000000001" customHeight="1" x14ac:dyDescent="0.25">
      <c r="B33" s="4" t="s">
        <v>3960</v>
      </c>
      <c r="C33" s="80" t="s">
        <v>2271</v>
      </c>
      <c r="D33" s="80" t="s">
        <v>3961</v>
      </c>
      <c r="E33" s="129"/>
      <c r="F33" s="135" t="s">
        <v>379</v>
      </c>
      <c r="G33" s="347"/>
      <c r="J33" s="2"/>
    </row>
    <row r="34" spans="2:10" ht="20.100000000000001" customHeight="1" x14ac:dyDescent="0.25">
      <c r="B34" s="4" t="s">
        <v>3962</v>
      </c>
      <c r="C34" s="80" t="s">
        <v>2271</v>
      </c>
      <c r="D34" s="80" t="s">
        <v>3963</v>
      </c>
      <c r="E34" s="129"/>
      <c r="F34" s="135" t="s">
        <v>379</v>
      </c>
      <c r="G34" s="347"/>
      <c r="J34" s="2"/>
    </row>
    <row r="35" spans="2:10" ht="20.100000000000001" customHeight="1" x14ac:dyDescent="0.25">
      <c r="B35" s="475" t="s">
        <v>3964</v>
      </c>
      <c r="C35" s="476"/>
      <c r="D35" s="476"/>
      <c r="E35" s="476"/>
      <c r="F35" s="476"/>
      <c r="G35" s="477"/>
      <c r="J35" s="2"/>
    </row>
    <row r="36" spans="2:10" ht="20.100000000000001" customHeight="1" x14ac:dyDescent="0.25">
      <c r="B36" s="346" t="s">
        <v>3925</v>
      </c>
      <c r="C36" s="346" t="s">
        <v>202</v>
      </c>
      <c r="D36" s="346" t="s">
        <v>3937</v>
      </c>
      <c r="E36" s="97" t="s">
        <v>3938</v>
      </c>
      <c r="F36" s="346" t="s">
        <v>3939</v>
      </c>
      <c r="G36" s="97" t="s">
        <v>3940</v>
      </c>
      <c r="J36" s="2"/>
    </row>
    <row r="37" spans="2:10" ht="20.100000000000001" customHeight="1" x14ac:dyDescent="0.25">
      <c r="B37" s="4"/>
      <c r="C37" s="80" t="s">
        <v>2271</v>
      </c>
      <c r="D37" s="80" t="s">
        <v>3965</v>
      </c>
      <c r="E37" s="129"/>
      <c r="F37" s="135" t="s">
        <v>379</v>
      </c>
      <c r="G37" s="347"/>
      <c r="J37" s="2"/>
    </row>
    <row r="38" spans="2:10" ht="20.100000000000001" customHeight="1" x14ac:dyDescent="0.25">
      <c r="B38" s="4"/>
      <c r="C38" s="80" t="s">
        <v>2271</v>
      </c>
      <c r="D38" s="80" t="s">
        <v>3966</v>
      </c>
      <c r="E38" s="129"/>
      <c r="F38" s="135" t="s">
        <v>379</v>
      </c>
      <c r="G38" s="347"/>
      <c r="J38" s="2"/>
    </row>
    <row r="39" spans="2:10" ht="20.100000000000001" customHeight="1" x14ac:dyDescent="0.25">
      <c r="B39" s="4"/>
      <c r="C39" s="80" t="s">
        <v>2271</v>
      </c>
      <c r="D39" s="80" t="s">
        <v>3967</v>
      </c>
      <c r="E39" s="129"/>
      <c r="F39" s="135" t="s">
        <v>379</v>
      </c>
      <c r="G39" s="347"/>
    </row>
    <row r="40" spans="2:10" ht="20.100000000000001" customHeight="1" x14ac:dyDescent="0.25">
      <c r="B40" s="4"/>
      <c r="C40" s="135" t="s">
        <v>2271</v>
      </c>
      <c r="D40" s="80" t="s">
        <v>3968</v>
      </c>
      <c r="E40" s="129"/>
      <c r="F40" s="135" t="s">
        <v>379</v>
      </c>
      <c r="G40" s="347"/>
    </row>
    <row r="41" spans="2:10" ht="20.100000000000001" customHeight="1" x14ac:dyDescent="0.25">
      <c r="B41" s="4"/>
      <c r="C41" s="135" t="s">
        <v>2271</v>
      </c>
      <c r="D41" s="80" t="s">
        <v>3969</v>
      </c>
      <c r="E41" s="129"/>
      <c r="F41" s="135" t="s">
        <v>379</v>
      </c>
      <c r="G41" s="347"/>
    </row>
    <row r="42" spans="2:10" ht="20.100000000000001" customHeight="1" x14ac:dyDescent="0.25">
      <c r="B42" s="475" t="s">
        <v>3970</v>
      </c>
      <c r="C42" s="476"/>
      <c r="D42" s="476"/>
      <c r="E42" s="476"/>
      <c r="F42" s="476"/>
      <c r="G42" s="477"/>
    </row>
    <row r="43" spans="2:10" ht="20.100000000000001" customHeight="1" x14ac:dyDescent="0.25">
      <c r="B43" s="346" t="s">
        <v>3925</v>
      </c>
      <c r="C43" s="346" t="s">
        <v>202</v>
      </c>
      <c r="D43" s="346" t="s">
        <v>3937</v>
      </c>
      <c r="E43" s="97" t="s">
        <v>3938</v>
      </c>
      <c r="F43" s="346" t="s">
        <v>3939</v>
      </c>
      <c r="G43" s="97" t="s">
        <v>3940</v>
      </c>
    </row>
    <row r="44" spans="2:10" ht="20.100000000000001" customHeight="1" x14ac:dyDescent="0.25">
      <c r="B44" s="4" t="s">
        <v>3971</v>
      </c>
      <c r="C44" s="80" t="s">
        <v>2271</v>
      </c>
      <c r="D44" s="80" t="s">
        <v>3972</v>
      </c>
      <c r="E44" s="129"/>
      <c r="F44" s="135" t="s">
        <v>379</v>
      </c>
      <c r="G44" s="347"/>
    </row>
    <row r="45" spans="2:10" ht="20.100000000000001" customHeight="1" x14ac:dyDescent="0.25">
      <c r="B45" s="4" t="s">
        <v>3973</v>
      </c>
      <c r="C45" s="80" t="s">
        <v>2271</v>
      </c>
      <c r="D45" s="80" t="s">
        <v>3974</v>
      </c>
      <c r="E45" s="129"/>
      <c r="F45" s="135" t="s">
        <v>379</v>
      </c>
      <c r="G45" s="347"/>
    </row>
    <row r="46" spans="2:10" ht="20.100000000000001" customHeight="1" x14ac:dyDescent="0.25">
      <c r="B46" s="475" t="s">
        <v>3837</v>
      </c>
      <c r="C46" s="476"/>
      <c r="D46" s="476"/>
      <c r="E46" s="476"/>
      <c r="F46" s="476"/>
      <c r="G46" s="477"/>
    </row>
    <row r="47" spans="2:10" ht="20.100000000000001" customHeight="1" x14ac:dyDescent="0.25">
      <c r="B47" s="346" t="s">
        <v>3925</v>
      </c>
      <c r="C47" s="346" t="s">
        <v>202</v>
      </c>
      <c r="D47" s="346" t="s">
        <v>3937</v>
      </c>
      <c r="E47" s="97" t="s">
        <v>3938</v>
      </c>
      <c r="F47" s="346" t="s">
        <v>3939</v>
      </c>
      <c r="G47" s="97" t="s">
        <v>3940</v>
      </c>
    </row>
    <row r="48" spans="2:10" ht="20.100000000000001" customHeight="1" x14ac:dyDescent="0.25">
      <c r="B48" s="4" t="s">
        <v>3975</v>
      </c>
      <c r="C48" s="80" t="s">
        <v>2271</v>
      </c>
      <c r="D48" s="80" t="s">
        <v>3976</v>
      </c>
      <c r="E48" s="129"/>
      <c r="F48" s="135" t="s">
        <v>379</v>
      </c>
      <c r="G48" s="347"/>
    </row>
    <row r="49" spans="2:10" ht="20.100000000000001" customHeight="1" x14ac:dyDescent="0.25">
      <c r="B49" s="4" t="s">
        <v>3977</v>
      </c>
      <c r="C49" s="80" t="s">
        <v>2271</v>
      </c>
      <c r="D49" s="80" t="s">
        <v>3978</v>
      </c>
      <c r="E49" s="129"/>
      <c r="F49" s="135" t="s">
        <v>379</v>
      </c>
      <c r="G49" s="347"/>
    </row>
    <row r="50" spans="2:10" ht="20.100000000000001" customHeight="1" x14ac:dyDescent="0.25"/>
    <row r="51" spans="2:10" ht="33.950000000000003" customHeight="1" x14ac:dyDescent="0.25">
      <c r="B51" s="425" t="s">
        <v>2500</v>
      </c>
      <c r="C51" s="425"/>
      <c r="D51" s="425"/>
      <c r="E51" s="425"/>
      <c r="J51" s="2"/>
    </row>
    <row r="52" spans="2:10" ht="20.100000000000001" customHeight="1" x14ac:dyDescent="0.25">
      <c r="B52" s="678" t="s">
        <v>3979</v>
      </c>
      <c r="C52" s="678"/>
      <c r="D52" s="678"/>
      <c r="E52" s="678"/>
      <c r="J52" s="2"/>
    </row>
    <row r="53" spans="2:10" ht="20.100000000000001" customHeight="1" x14ac:dyDescent="0.25">
      <c r="B53" s="346" t="s">
        <v>3980</v>
      </c>
      <c r="C53" s="346" t="s">
        <v>202</v>
      </c>
      <c r="D53" s="346" t="s">
        <v>3981</v>
      </c>
      <c r="E53" s="97" t="s">
        <v>3982</v>
      </c>
      <c r="J53" s="2"/>
    </row>
    <row r="54" spans="2:10" ht="20.100000000000001" customHeight="1" x14ac:dyDescent="0.25">
      <c r="B54" s="4" t="s">
        <v>3979</v>
      </c>
      <c r="C54" s="80" t="s">
        <v>2271</v>
      </c>
      <c r="D54" s="80" t="s">
        <v>3983</v>
      </c>
      <c r="E54" s="347"/>
      <c r="J54" s="2"/>
    </row>
    <row r="55" spans="2:10" ht="20.100000000000001" customHeight="1" x14ac:dyDescent="0.25">
      <c r="B55" s="4"/>
      <c r="C55" s="80" t="s">
        <v>2271</v>
      </c>
      <c r="D55" s="80" t="s">
        <v>3984</v>
      </c>
      <c r="E55" s="347"/>
    </row>
    <row r="56" spans="2:10" ht="20.100000000000001" customHeight="1" x14ac:dyDescent="0.25">
      <c r="B56" s="4"/>
      <c r="C56" s="80" t="s">
        <v>2271</v>
      </c>
      <c r="D56" s="80" t="s">
        <v>3985</v>
      </c>
      <c r="E56" s="347"/>
    </row>
    <row r="57" spans="2:10" ht="20.100000000000001" customHeight="1" x14ac:dyDescent="0.25">
      <c r="B57" s="678" t="s">
        <v>3986</v>
      </c>
      <c r="C57" s="678"/>
      <c r="D57" s="678"/>
      <c r="E57" s="678"/>
    </row>
    <row r="58" spans="2:10" ht="20.100000000000001" customHeight="1" x14ac:dyDescent="0.25">
      <c r="B58" s="346" t="s">
        <v>3980</v>
      </c>
      <c r="C58" s="346" t="s">
        <v>202</v>
      </c>
      <c r="D58" s="346" t="s">
        <v>3981</v>
      </c>
      <c r="E58" s="97" t="s">
        <v>3982</v>
      </c>
    </row>
    <row r="59" spans="2:10" ht="20.100000000000001" customHeight="1" x14ac:dyDescent="0.25">
      <c r="B59" s="4" t="s">
        <v>3987</v>
      </c>
      <c r="C59" s="80" t="s">
        <v>2271</v>
      </c>
      <c r="D59" s="80" t="s">
        <v>3988</v>
      </c>
      <c r="E59" s="347"/>
      <c r="J59" s="2"/>
    </row>
    <row r="60" spans="2:10" ht="20.100000000000001" customHeight="1" x14ac:dyDescent="0.25">
      <c r="B60" s="4"/>
      <c r="C60" s="80" t="s">
        <v>2271</v>
      </c>
      <c r="D60" s="80" t="s">
        <v>3989</v>
      </c>
      <c r="E60" s="347"/>
    </row>
    <row r="61" spans="2:10" ht="20.100000000000001" customHeight="1" x14ac:dyDescent="0.25">
      <c r="B61" s="4"/>
      <c r="C61" s="80" t="s">
        <v>2271</v>
      </c>
      <c r="D61" s="80" t="s">
        <v>3990</v>
      </c>
      <c r="E61" s="347"/>
    </row>
    <row r="62" spans="2:10" ht="20.100000000000001" customHeight="1" x14ac:dyDescent="0.25">
      <c r="B62" s="678" t="s">
        <v>3991</v>
      </c>
      <c r="C62" s="678"/>
      <c r="D62" s="678"/>
      <c r="E62" s="678"/>
    </row>
    <row r="63" spans="2:10" ht="20.100000000000001" customHeight="1" x14ac:dyDescent="0.25">
      <c r="B63" s="346" t="s">
        <v>3980</v>
      </c>
      <c r="C63" s="346" t="s">
        <v>202</v>
      </c>
      <c r="D63" s="346" t="s">
        <v>3981</v>
      </c>
      <c r="E63" s="97" t="s">
        <v>3982</v>
      </c>
    </row>
    <row r="64" spans="2:10" ht="20.100000000000001" customHeight="1" x14ac:dyDescent="0.25">
      <c r="B64" s="4" t="s">
        <v>147</v>
      </c>
      <c r="C64" s="80" t="s">
        <v>2271</v>
      </c>
      <c r="D64" s="80" t="s">
        <v>2587</v>
      </c>
      <c r="E64" s="347"/>
      <c r="J64" s="2"/>
    </row>
    <row r="65" spans="2:10" ht="20.100000000000001" customHeight="1" x14ac:dyDescent="0.25">
      <c r="B65" s="4"/>
      <c r="C65" s="80" t="s">
        <v>2271</v>
      </c>
      <c r="D65" s="80" t="s">
        <v>2591</v>
      </c>
      <c r="E65" s="347"/>
    </row>
    <row r="66" spans="2:10" ht="20.100000000000001" customHeight="1" x14ac:dyDescent="0.25">
      <c r="B66" s="4"/>
      <c r="C66" s="80" t="s">
        <v>2271</v>
      </c>
      <c r="D66" s="80" t="s">
        <v>2595</v>
      </c>
      <c r="E66" s="347"/>
    </row>
    <row r="67" spans="2:10" ht="20.100000000000001" customHeight="1" x14ac:dyDescent="0.25">
      <c r="B67" s="4" t="s">
        <v>2026</v>
      </c>
      <c r="C67" s="80" t="s">
        <v>2271</v>
      </c>
      <c r="D67" s="80" t="s">
        <v>2598</v>
      </c>
      <c r="E67" s="347"/>
    </row>
    <row r="68" spans="2:10" ht="20.100000000000001" customHeight="1" x14ac:dyDescent="0.25">
      <c r="B68" s="4"/>
      <c r="C68" s="80" t="s">
        <v>2271</v>
      </c>
      <c r="D68" s="80" t="s">
        <v>2602</v>
      </c>
      <c r="E68" s="347"/>
    </row>
    <row r="69" spans="2:10" ht="20.100000000000001" customHeight="1" x14ac:dyDescent="0.25">
      <c r="B69" s="4"/>
      <c r="C69" s="80" t="s">
        <v>2271</v>
      </c>
      <c r="D69" s="80" t="s">
        <v>2605</v>
      </c>
      <c r="E69" s="347"/>
    </row>
    <row r="70" spans="2:10" ht="20.100000000000001" customHeight="1" x14ac:dyDescent="0.25">
      <c r="B70" s="4" t="s">
        <v>475</v>
      </c>
      <c r="C70" s="80" t="s">
        <v>2271</v>
      </c>
      <c r="D70" s="80" t="s">
        <v>2608</v>
      </c>
      <c r="E70" s="347"/>
    </row>
    <row r="71" spans="2:10" ht="20.100000000000001" customHeight="1" x14ac:dyDescent="0.25">
      <c r="B71" s="4"/>
      <c r="C71" s="80" t="s">
        <v>2271</v>
      </c>
      <c r="D71" s="80" t="s">
        <v>2611</v>
      </c>
      <c r="E71" s="347"/>
    </row>
    <row r="72" spans="2:10" ht="20.100000000000001" customHeight="1" x14ac:dyDescent="0.25">
      <c r="B72" s="4"/>
      <c r="C72" s="80" t="s">
        <v>2271</v>
      </c>
      <c r="D72" s="80" t="s">
        <v>2614</v>
      </c>
      <c r="E72" s="347"/>
    </row>
    <row r="73" spans="2:10" ht="20.100000000000001" customHeight="1" x14ac:dyDescent="0.25">
      <c r="B73" s="475" t="s">
        <v>3992</v>
      </c>
      <c r="C73" s="442"/>
      <c r="D73" s="442"/>
      <c r="E73" s="442"/>
    </row>
    <row r="74" spans="2:10" ht="20.100000000000001" customHeight="1" x14ac:dyDescent="0.25">
      <c r="B74" s="346" t="s">
        <v>3980</v>
      </c>
      <c r="C74" s="346" t="s">
        <v>202</v>
      </c>
      <c r="D74" s="346" t="s">
        <v>3981</v>
      </c>
      <c r="E74" s="97" t="s">
        <v>3982</v>
      </c>
    </row>
    <row r="75" spans="2:10" ht="20.100000000000001" customHeight="1" x14ac:dyDescent="0.25">
      <c r="B75" s="4" t="s">
        <v>3993</v>
      </c>
      <c r="C75" s="80" t="s">
        <v>2271</v>
      </c>
      <c r="D75" s="80" t="s">
        <v>3994</v>
      </c>
      <c r="E75" s="129"/>
    </row>
    <row r="76" spans="2:10" ht="20.100000000000001" customHeight="1" x14ac:dyDescent="0.25">
      <c r="B76" s="337"/>
      <c r="C76" s="80" t="s">
        <v>2271</v>
      </c>
      <c r="D76" s="80" t="s">
        <v>3995</v>
      </c>
      <c r="E76" s="129"/>
      <c r="G76" s="3"/>
    </row>
    <row r="77" spans="2:10" ht="20.100000000000001" customHeight="1" x14ac:dyDescent="0.25">
      <c r="B77" s="475" t="s">
        <v>3946</v>
      </c>
      <c r="C77" s="442"/>
      <c r="D77" s="442"/>
      <c r="E77" s="443"/>
      <c r="G77" s="3"/>
      <c r="J77" s="2"/>
    </row>
    <row r="78" spans="2:10" ht="20.100000000000001" customHeight="1" x14ac:dyDescent="0.25">
      <c r="B78" s="346" t="s">
        <v>3980</v>
      </c>
      <c r="C78" s="346" t="s">
        <v>202</v>
      </c>
      <c r="D78" s="346" t="s">
        <v>3981</v>
      </c>
      <c r="E78" s="97" t="s">
        <v>3982</v>
      </c>
      <c r="G78" s="3"/>
    </row>
    <row r="79" spans="2:10" ht="20.100000000000001" customHeight="1" x14ac:dyDescent="0.25">
      <c r="B79" s="4" t="s">
        <v>3996</v>
      </c>
      <c r="C79" s="80" t="s">
        <v>2271</v>
      </c>
      <c r="D79" s="80" t="s">
        <v>3997</v>
      </c>
      <c r="E79" s="347"/>
    </row>
    <row r="80" spans="2:10" ht="20.100000000000001" customHeight="1" x14ac:dyDescent="0.25">
      <c r="B80" s="4"/>
      <c r="C80" s="80" t="s">
        <v>2271</v>
      </c>
      <c r="D80" s="80" t="s">
        <v>3998</v>
      </c>
      <c r="E80" s="347"/>
    </row>
    <row r="81" spans="2:10" ht="20.100000000000001" customHeight="1" x14ac:dyDescent="0.25">
      <c r="B81" s="4"/>
      <c r="C81" s="80" t="s">
        <v>2271</v>
      </c>
      <c r="D81" s="80" t="s">
        <v>3999</v>
      </c>
      <c r="E81" s="347"/>
    </row>
    <row r="82" spans="2:10" ht="20.100000000000001" customHeight="1" x14ac:dyDescent="0.25">
      <c r="B82" s="475" t="s">
        <v>3949</v>
      </c>
      <c r="C82" s="442"/>
      <c r="D82" s="442"/>
      <c r="E82" s="443"/>
    </row>
    <row r="83" spans="2:10" ht="20.100000000000001" customHeight="1" x14ac:dyDescent="0.25">
      <c r="B83" s="346" t="s">
        <v>3980</v>
      </c>
      <c r="C83" s="346" t="s">
        <v>202</v>
      </c>
      <c r="D83" s="346" t="s">
        <v>3981</v>
      </c>
      <c r="E83" s="97" t="s">
        <v>3982</v>
      </c>
    </row>
    <row r="84" spans="2:10" ht="20.100000000000001" customHeight="1" x14ac:dyDescent="0.25">
      <c r="B84" s="4" t="s">
        <v>4000</v>
      </c>
      <c r="C84" s="80" t="s">
        <v>2271</v>
      </c>
      <c r="D84" s="80" t="s">
        <v>4001</v>
      </c>
      <c r="E84" s="347"/>
    </row>
    <row r="85" spans="2:10" ht="20.100000000000001" customHeight="1" x14ac:dyDescent="0.25">
      <c r="B85" s="4"/>
      <c r="C85" s="80" t="s">
        <v>2271</v>
      </c>
      <c r="D85" s="80" t="s">
        <v>4002</v>
      </c>
      <c r="E85" s="347"/>
    </row>
    <row r="86" spans="2:10" ht="20.100000000000001" customHeight="1" x14ac:dyDescent="0.25">
      <c r="B86" s="4"/>
      <c r="C86" s="80" t="s">
        <v>2271</v>
      </c>
      <c r="D86" s="80" t="s">
        <v>4003</v>
      </c>
      <c r="E86" s="347"/>
      <c r="J86" s="2"/>
    </row>
    <row r="87" spans="2:10" ht="20.100000000000001" customHeight="1" x14ac:dyDescent="0.25">
      <c r="B87" s="475" t="s">
        <v>3957</v>
      </c>
      <c r="C87" s="442"/>
      <c r="D87" s="442"/>
      <c r="E87" s="443"/>
    </row>
    <row r="88" spans="2:10" ht="20.100000000000001" customHeight="1" x14ac:dyDescent="0.25">
      <c r="B88" s="346" t="s">
        <v>3980</v>
      </c>
      <c r="C88" s="346" t="s">
        <v>202</v>
      </c>
      <c r="D88" s="346" t="s">
        <v>3981</v>
      </c>
      <c r="E88" s="97" t="s">
        <v>3982</v>
      </c>
      <c r="I88" s="3"/>
    </row>
    <row r="89" spans="2:10" ht="20.100000000000001" customHeight="1" x14ac:dyDescent="0.25">
      <c r="B89" s="4" t="s">
        <v>4004</v>
      </c>
      <c r="C89" s="80" t="s">
        <v>2271</v>
      </c>
      <c r="D89" s="80" t="s">
        <v>4005</v>
      </c>
      <c r="E89" s="347"/>
    </row>
    <row r="90" spans="2:10" ht="20.100000000000001" customHeight="1" x14ac:dyDescent="0.25">
      <c r="B90" s="4"/>
      <c r="C90" s="80" t="s">
        <v>2271</v>
      </c>
      <c r="D90" s="80" t="s">
        <v>4006</v>
      </c>
      <c r="E90" s="347"/>
    </row>
    <row r="91" spans="2:10" ht="20.100000000000001" customHeight="1" x14ac:dyDescent="0.25">
      <c r="B91" s="4"/>
      <c r="C91" s="80" t="s">
        <v>2271</v>
      </c>
      <c r="D91" s="80" t="s">
        <v>4007</v>
      </c>
      <c r="E91" s="347"/>
      <c r="J91" s="2"/>
    </row>
    <row r="92" spans="2:10" ht="20.100000000000001" customHeight="1" x14ac:dyDescent="0.25">
      <c r="B92" s="475" t="s">
        <v>3964</v>
      </c>
      <c r="C92" s="442"/>
      <c r="D92" s="442"/>
      <c r="E92" s="443"/>
    </row>
    <row r="93" spans="2:10" ht="20.100000000000001" customHeight="1" x14ac:dyDescent="0.25">
      <c r="B93" s="346" t="s">
        <v>3980</v>
      </c>
      <c r="C93" s="346" t="s">
        <v>202</v>
      </c>
      <c r="D93" s="346" t="s">
        <v>3981</v>
      </c>
      <c r="E93" s="97" t="s">
        <v>3982</v>
      </c>
    </row>
    <row r="94" spans="2:10" ht="20.100000000000001" customHeight="1" x14ac:dyDescent="0.25">
      <c r="B94" s="4" t="s">
        <v>4008</v>
      </c>
      <c r="C94" s="80" t="s">
        <v>2271</v>
      </c>
      <c r="D94" s="80" t="s">
        <v>4009</v>
      </c>
      <c r="E94" s="347"/>
    </row>
    <row r="95" spans="2:10" ht="20.100000000000001" customHeight="1" x14ac:dyDescent="0.25">
      <c r="B95" s="4"/>
      <c r="C95" s="80" t="s">
        <v>2271</v>
      </c>
      <c r="D95" s="80" t="s">
        <v>4010</v>
      </c>
      <c r="E95" s="347"/>
    </row>
    <row r="96" spans="2:10" ht="20.100000000000001" customHeight="1" x14ac:dyDescent="0.25">
      <c r="B96" s="4"/>
      <c r="C96" s="80" t="s">
        <v>2271</v>
      </c>
      <c r="D96" s="80" t="s">
        <v>4011</v>
      </c>
      <c r="E96" s="347"/>
      <c r="G96" s="3"/>
      <c r="J96" s="2"/>
    </row>
    <row r="97" spans="2:9" ht="20.100000000000001" customHeight="1" x14ac:dyDescent="0.25">
      <c r="B97" s="4"/>
      <c r="C97" s="80" t="s">
        <v>2271</v>
      </c>
      <c r="D97" s="80" t="s">
        <v>4012</v>
      </c>
      <c r="E97" s="347"/>
      <c r="G97" s="3"/>
    </row>
    <row r="98" spans="2:9" ht="20.100000000000001" customHeight="1" x14ac:dyDescent="0.25">
      <c r="B98" s="4"/>
      <c r="C98" s="80" t="s">
        <v>2271</v>
      </c>
      <c r="D98" s="80" t="s">
        <v>4013</v>
      </c>
      <c r="E98" s="347"/>
      <c r="G98" s="3"/>
    </row>
    <row r="99" spans="2:9" ht="20.100000000000001" customHeight="1" x14ac:dyDescent="0.25">
      <c r="B99" s="4"/>
      <c r="C99" s="80" t="s">
        <v>2271</v>
      </c>
      <c r="D99" s="80" t="s">
        <v>4014</v>
      </c>
      <c r="E99" s="347"/>
      <c r="G99" s="3"/>
      <c r="I99" s="3"/>
    </row>
    <row r="100" spans="2:9" ht="20.100000000000001" customHeight="1" x14ac:dyDescent="0.25">
      <c r="B100" s="4"/>
      <c r="C100" s="80" t="s">
        <v>2271</v>
      </c>
      <c r="D100" s="80" t="s">
        <v>4015</v>
      </c>
      <c r="E100" s="347"/>
      <c r="G100" s="3"/>
      <c r="I100" s="3"/>
    </row>
    <row r="101" spans="2:9" ht="20.100000000000001" customHeight="1" x14ac:dyDescent="0.25">
      <c r="B101" s="4"/>
      <c r="C101" s="80" t="s">
        <v>2271</v>
      </c>
      <c r="D101" s="80" t="s">
        <v>4016</v>
      </c>
      <c r="E101" s="347"/>
      <c r="G101" s="3"/>
      <c r="I101" s="3"/>
    </row>
    <row r="102" spans="2:9" ht="20.100000000000001" customHeight="1" x14ac:dyDescent="0.25">
      <c r="B102" s="4"/>
      <c r="C102" s="80" t="s">
        <v>2271</v>
      </c>
      <c r="D102" s="80" t="s">
        <v>4017</v>
      </c>
      <c r="E102" s="347"/>
      <c r="G102" s="3"/>
      <c r="I102" s="3"/>
    </row>
    <row r="103" spans="2:9" ht="20.100000000000001" customHeight="1" x14ac:dyDescent="0.25">
      <c r="B103" s="4"/>
      <c r="C103" s="80" t="s">
        <v>2271</v>
      </c>
      <c r="D103" s="80" t="s">
        <v>4018</v>
      </c>
      <c r="E103" s="347"/>
      <c r="G103" s="3"/>
      <c r="I103" s="3"/>
    </row>
    <row r="104" spans="2:9" ht="20.100000000000001" customHeight="1" x14ac:dyDescent="0.25">
      <c r="B104" s="4"/>
      <c r="C104" s="80" t="s">
        <v>2271</v>
      </c>
      <c r="D104" s="80" t="s">
        <v>4019</v>
      </c>
      <c r="E104" s="347"/>
      <c r="G104" s="3"/>
      <c r="I104" s="3"/>
    </row>
    <row r="105" spans="2:9" ht="20.100000000000001" customHeight="1" x14ac:dyDescent="0.25">
      <c r="B105" s="4"/>
      <c r="C105" s="80" t="s">
        <v>2271</v>
      </c>
      <c r="D105" s="80" t="s">
        <v>4020</v>
      </c>
      <c r="E105" s="347"/>
      <c r="G105" s="3"/>
      <c r="I105" s="3"/>
    </row>
    <row r="106" spans="2:9" ht="20.100000000000001" customHeight="1" x14ac:dyDescent="0.25">
      <c r="G106" s="3"/>
      <c r="I106" s="3"/>
    </row>
    <row r="107" spans="2:9" ht="20.100000000000001" customHeight="1" x14ac:dyDescent="0.25">
      <c r="G107" s="3"/>
      <c r="I107" s="3"/>
    </row>
    <row r="108" spans="2:9" ht="20.100000000000001" customHeight="1" x14ac:dyDescent="0.25">
      <c r="I108" s="3"/>
    </row>
    <row r="109" spans="2:9" ht="20.100000000000001" customHeight="1" x14ac:dyDescent="0.25">
      <c r="I109" s="3"/>
    </row>
    <row r="110" spans="2:9" ht="20.100000000000001" customHeight="1" x14ac:dyDescent="0.25">
      <c r="I110" s="3"/>
    </row>
    <row r="111" spans="2:9" ht="20.100000000000001" customHeight="1" x14ac:dyDescent="0.25"/>
    <row r="112" spans="2:9" ht="20.100000000000001" customHeight="1" x14ac:dyDescent="0.25"/>
  </sheetData>
  <sheetProtection algorithmName="SHA-512" hashValue="vw8/rZfNaIx4JaWyR2NDUPT1fIRbVB5mLS96TIwZ7ZhTXRIkQLis8+cQZ4LXEN3Y0hUI/5joq4beo8v9Atlruw==" saltValue="UKyAEfjXgAjB83I7loQLEQ==" spinCount="100000" sheet="1" selectLockedCells="1"/>
  <mergeCells count="21">
    <mergeCell ref="B82:E82"/>
    <mergeCell ref="B92:E92"/>
    <mergeCell ref="B42:G42"/>
    <mergeCell ref="B30:G30"/>
    <mergeCell ref="B73:E73"/>
    <mergeCell ref="B62:E62"/>
    <mergeCell ref="B57:E57"/>
    <mergeCell ref="B77:E77"/>
    <mergeCell ref="B87:E87"/>
    <mergeCell ref="B2:G2"/>
    <mergeCell ref="B6:G6"/>
    <mergeCell ref="B51:E51"/>
    <mergeCell ref="B52:E52"/>
    <mergeCell ref="B13:G13"/>
    <mergeCell ref="B14:G14"/>
    <mergeCell ref="B16:G16"/>
    <mergeCell ref="B35:G35"/>
    <mergeCell ref="B21:G21"/>
    <mergeCell ref="B25:G25"/>
    <mergeCell ref="B46:G46"/>
    <mergeCell ref="B22:G22"/>
  </mergeCells>
  <conditionalFormatting sqref="B77 B78:E81">
    <cfRule type="expression" dxfId="2202" priority="23">
      <formula>intelligent_logging_result="Excluded"</formula>
    </cfRule>
  </conditionalFormatting>
  <conditionalFormatting sqref="B92 B93:E105">
    <cfRule type="expression" dxfId="2201" priority="20">
      <formula>private_cloud_result="Excluded"</formula>
    </cfRule>
  </conditionalFormatting>
  <conditionalFormatting sqref="B8:C8 E8:G8">
    <cfRule type="expression" dxfId="2200" priority="83">
      <formula>vcf_aware_wsa_result="Excluded"</formula>
    </cfRule>
  </conditionalFormatting>
  <conditionalFormatting sqref="B9:C9 E9:G9">
    <cfRule type="expression" dxfId="2199" priority="81">
      <formula>iam_result="Excluded"</formula>
    </cfRule>
  </conditionalFormatting>
  <conditionalFormatting sqref="B51:E51">
    <cfRule type="expression" dxfId="2198"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2197" priority="33">
      <formula>vrslcm_result="Excluded"</formula>
    </cfRule>
  </conditionalFormatting>
  <conditionalFormatting sqref="B57:E61">
    <cfRule type="expression" dxfId="2196" priority="31" stopIfTrue="1">
      <formula>vcf_aware_wsa_result="Excluded"</formula>
    </cfRule>
  </conditionalFormatting>
  <conditionalFormatting sqref="B73:E76">
    <cfRule type="expression" dxfId="2195" priority="64">
      <formula>developer_ready_result="Excluded"</formula>
    </cfRule>
  </conditionalFormatting>
  <conditionalFormatting sqref="B78:E81 B62:E72 B73 B77">
    <cfRule type="expression" dxfId="2194" priority="29">
      <formula>iam_result="Excluded"</formula>
    </cfRule>
  </conditionalFormatting>
  <conditionalFormatting sqref="B82:E86">
    <cfRule type="expression" dxfId="2193" priority="7">
      <formula>intelligent_operations_result="Excluded"</formula>
    </cfRule>
  </conditionalFormatting>
  <conditionalFormatting sqref="B87:E91">
    <cfRule type="expression" dxfId="2192" priority="8" stopIfTrue="1">
      <formula>inv_result="Excluded"</formula>
    </cfRule>
  </conditionalFormatting>
  <conditionalFormatting sqref="B6:G7">
    <cfRule type="expression" dxfId="2191" priority="82">
      <formula>AND((vcf_aware_wsa_result="Excluded"),(iam_result="Excluded"))</formula>
    </cfRule>
  </conditionalFormatting>
  <conditionalFormatting sqref="B10:G10">
    <cfRule type="expression" dxfId="2190" priority="80">
      <formula>vcf_aware_wsa_result="Excluded"</formula>
    </cfRule>
  </conditionalFormatting>
  <conditionalFormatting sqref="B11:G11">
    <cfRule type="expression" dxfId="2189" priority="79">
      <formula>iam_result="Excluded"</formula>
    </cfRule>
  </conditionalFormatting>
  <conditionalFormatting sqref="B13:G13">
    <cfRule type="expression" dxfId="2188" priority="78">
      <formula>AND((mgmt_signed_certs_result="Excluded"),(vcf_aware_wsa_result="Excluded"),(iam_result="Excluded"))</formula>
    </cfRule>
  </conditionalFormatting>
  <conditionalFormatting sqref="B16:G19">
    <cfRule type="expression" dxfId="2187" priority="46">
      <formula>iam_result="Excluded"</formula>
    </cfRule>
  </conditionalFormatting>
  <conditionalFormatting sqref="B21:G21">
    <cfRule type="expression" dxfId="2186" priority="74">
      <formula>AND((private_cloud_result="Excluded"),(intelligent_operations_result="Excluded"))</formula>
    </cfRule>
  </conditionalFormatting>
  <conditionalFormatting sqref="B22:G24">
    <cfRule type="expression" dxfId="2185" priority="9">
      <formula>(intelligent_logging_result="Excluded")</formula>
    </cfRule>
  </conditionalFormatting>
  <conditionalFormatting sqref="B25:G28">
    <cfRule type="expression" dxfId="2184" priority="15">
      <formula>(intelligent_operations_result="Excluded")</formula>
    </cfRule>
  </conditionalFormatting>
  <conditionalFormatting sqref="B29:G29">
    <cfRule type="expression" dxfId="2183" priority="59">
      <formula>OR((private_cloud_result="Excluded"),(intelligent_operations_result="Excluded"))</formula>
    </cfRule>
  </conditionalFormatting>
  <conditionalFormatting sqref="B30:G34">
    <cfRule type="expression" dxfId="2182" priority="16">
      <formula>inv_result="Excluded"</formula>
    </cfRule>
  </conditionalFormatting>
  <conditionalFormatting sqref="B35:G41">
    <cfRule type="expression" dxfId="2181" priority="73">
      <formula>private_cloud_result="Excluded"</formula>
    </cfRule>
  </conditionalFormatting>
  <conditionalFormatting sqref="B42:G45">
    <cfRule type="expression" dxfId="2180" priority="35" stopIfTrue="1">
      <formula>hrm_result="Excluded"</formula>
    </cfRule>
  </conditionalFormatting>
  <conditionalFormatting sqref="B46:G49">
    <cfRule type="expression" dxfId="2179" priority="17">
      <formula>ccm_result="Excluded"</formula>
    </cfRule>
  </conditionalFormatting>
  <conditionalFormatting sqref="C41">
    <cfRule type="expression" dxfId="2178" priority="6">
      <formula>private_cloud_result="Excluded"</formula>
    </cfRule>
  </conditionalFormatting>
  <conditionalFormatting sqref="E8:E11">
    <cfRule type="containsBlanks" dxfId="2177" priority="105">
      <formula>LEN(TRIM(E8))=0</formula>
    </cfRule>
    <cfRule type="notContainsBlanks" dxfId="2176" priority="244">
      <formula>LEN(TRIM(E8))&gt;0</formula>
    </cfRule>
  </conditionalFormatting>
  <conditionalFormatting sqref="E18:E19">
    <cfRule type="notContainsBlanks" dxfId="2175" priority="247">
      <formula>LEN(TRIM(E18))&gt;0</formula>
    </cfRule>
  </conditionalFormatting>
  <conditionalFormatting sqref="E21:E29 E35:E45 G37:G42 E75:E76 E16:E19 G44:G46 E48:E49 G48:G49 G32:G34">
    <cfRule type="containsBlanks" dxfId="2174" priority="243">
      <formula>LEN(TRIM(E16))=0</formula>
    </cfRule>
  </conditionalFormatting>
  <conditionalFormatting sqref="E24">
    <cfRule type="containsBlanks" dxfId="2173" priority="13">
      <formula>LEN(TRIM(E24))=0</formula>
    </cfRule>
    <cfRule type="notContainsBlanks" dxfId="2172" priority="248">
      <formula>LEN(TRIM(E24))&gt;0</formula>
    </cfRule>
  </conditionalFormatting>
  <conditionalFormatting sqref="E27:E29">
    <cfRule type="containsBlanks" dxfId="2171" priority="63">
      <formula>LEN(TRIM(E27))=0</formula>
    </cfRule>
    <cfRule type="notContainsBlanks" dxfId="2170" priority="249">
      <formula>LEN(TRIM(E27))&gt;0</formula>
    </cfRule>
  </conditionalFormatting>
  <conditionalFormatting sqref="E31">
    <cfRule type="containsBlanks" dxfId="2169" priority="2">
      <formula>LEN(TRIM(E31))=0</formula>
    </cfRule>
  </conditionalFormatting>
  <conditionalFormatting sqref="E32:E34">
    <cfRule type="containsBlanks" dxfId="2168" priority="19">
      <formula>LEN(TRIM(E32))=0</formula>
    </cfRule>
    <cfRule type="notContainsBlanks" dxfId="2167" priority="250">
      <formula>LEN(TRIM(E32))&gt;0</formula>
    </cfRule>
  </conditionalFormatting>
  <conditionalFormatting sqref="E37:E42">
    <cfRule type="notContainsBlanks" dxfId="2166" priority="251">
      <formula>LEN(TRIM(E37))&gt;0</formula>
    </cfRule>
  </conditionalFormatting>
  <conditionalFormatting sqref="E44:E45">
    <cfRule type="containsBlanks" dxfId="2165" priority="36">
      <formula>LEN(TRIM(E44))=0</formula>
    </cfRule>
    <cfRule type="notContainsBlanks" dxfId="2164" priority="252">
      <formula>LEN(TRIM(E44))&gt;0</formula>
    </cfRule>
  </conditionalFormatting>
  <conditionalFormatting sqref="E47">
    <cfRule type="containsBlanks" dxfId="2163" priority="5">
      <formula>LEN(TRIM(E47))=0</formula>
    </cfRule>
  </conditionalFormatting>
  <conditionalFormatting sqref="E48:E49">
    <cfRule type="notContainsBlanks" dxfId="2162" priority="246">
      <formula>LEN(TRIM(E48))&gt;0</formula>
    </cfRule>
  </conditionalFormatting>
  <conditionalFormatting sqref="E54:E56">
    <cfRule type="containsBlanks" dxfId="2161" priority="70">
      <formula>LEN(TRIM(E54))=0</formula>
    </cfRule>
    <cfRule type="notContainsBlanks" dxfId="2160" priority="253">
      <formula>LEN(TRIM(E54))&gt;0</formula>
    </cfRule>
  </conditionalFormatting>
  <conditionalFormatting sqref="E59:E61">
    <cfRule type="containsBlanks" dxfId="2159" priority="69">
      <formula>LEN(TRIM(E59))=0</formula>
    </cfRule>
    <cfRule type="notContainsBlanks" dxfId="2158" priority="254">
      <formula>LEN(TRIM(E59))&gt;0</formula>
    </cfRule>
  </conditionalFormatting>
  <conditionalFormatting sqref="E64:E72 E79:E81">
    <cfRule type="containsBlanks" dxfId="2157" priority="68">
      <formula>LEN(TRIM(E64))=0</formula>
    </cfRule>
    <cfRule type="notContainsBlanks" dxfId="2156" priority="255">
      <formula>LEN(TRIM(E64))&gt;0</formula>
    </cfRule>
  </conditionalFormatting>
  <conditionalFormatting sqref="E79:E81">
    <cfRule type="containsBlanks" dxfId="2155" priority="25" stopIfTrue="1">
      <formula>LEN(TRIM(E79))=0</formula>
    </cfRule>
  </conditionalFormatting>
  <conditionalFormatting sqref="E84:E86 E89:E91">
    <cfRule type="notContainsBlanks" dxfId="2154" priority="257">
      <formula>LEN(TRIM(E84))&gt;0</formula>
    </cfRule>
  </conditionalFormatting>
  <conditionalFormatting sqref="E89:E91 E84:E86">
    <cfRule type="containsBlanks" dxfId="2153" priority="28" stopIfTrue="1">
      <formula>LEN(TRIM(E84))=0</formula>
    </cfRule>
  </conditionalFormatting>
  <conditionalFormatting sqref="E94:E105">
    <cfRule type="containsBlanks" dxfId="2152" priority="22" stopIfTrue="1">
      <formula>LEN(TRIM(E94))=0</formula>
    </cfRule>
    <cfRule type="notContainsBlanks" dxfId="2151" priority="258">
      <formula>LEN(TRIM(E94))&gt;0</formula>
    </cfRule>
  </conditionalFormatting>
  <conditionalFormatting sqref="G8:G11">
    <cfRule type="containsBlanks" dxfId="2150" priority="103">
      <formula>LEN(TRIM(G8))=0</formula>
    </cfRule>
    <cfRule type="notContainsBlanks" dxfId="2149" priority="259">
      <formula>LEN(TRIM(G8))&gt;0</formula>
    </cfRule>
  </conditionalFormatting>
  <conditionalFormatting sqref="G18:G19">
    <cfRule type="containsBlanks" dxfId="2148" priority="49">
      <formula>LEN(TRIM(G18))=0</formula>
    </cfRule>
    <cfRule type="notContainsBlanks" dxfId="2147" priority="262">
      <formula>LEN(TRIM(G18))&gt;0</formula>
    </cfRule>
  </conditionalFormatting>
  <conditionalFormatting sqref="G24">
    <cfRule type="containsBlanks" dxfId="2146" priority="11">
      <formula>LEN(TRIM(G24))=0</formula>
    </cfRule>
    <cfRule type="notContainsBlanks" dxfId="2145" priority="263">
      <formula>LEN(TRIM(G24))&gt;0</formula>
    </cfRule>
  </conditionalFormatting>
  <conditionalFormatting sqref="G27:G30">
    <cfRule type="containsBlanks" dxfId="2144" priority="61">
      <formula>LEN(TRIM(G27))=0</formula>
    </cfRule>
    <cfRule type="notContainsBlanks" dxfId="2143" priority="264">
      <formula>LEN(TRIM(G27))&gt;0</formula>
    </cfRule>
  </conditionalFormatting>
  <conditionalFormatting sqref="G32:G34 G37:G42 G44:G46 G48:G49 E75:E76">
    <cfRule type="notContainsBlanks" dxfId="2142"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A35F94-42D7-4DE9-8B50-E0DB83B46D6C}">
  <ds:schemaRefs>
    <ds:schemaRef ds:uri="http://schemas.microsoft.com/sharepoint/v3/contenttype/forms"/>
  </ds:schemaRefs>
</ds:datastoreItem>
</file>

<file path=customXml/itemProps2.xml><?xml version="1.0" encoding="utf-8"?>
<ds:datastoreItem xmlns:ds="http://schemas.openxmlformats.org/officeDocument/2006/customXml" ds:itemID="{7238FDAF-6C1D-43F6-B941-6E104C721C9F}">
  <ds:schemaRefs>
    <ds:schemaRef ds:uri="http://schemas.microsoft.com/office/2006/metadata/properties"/>
    <ds:schemaRef ds:uri="http://schemas.microsoft.com/office/infopath/2007/PartnerControls"/>
    <ds:schemaRef ds:uri="eb3a237d-4129-4a2a-8fb3-b20be8ca4bd3"/>
    <ds:schemaRef ds:uri="7dc73e9a-a2c7-410e-a6a7-fe1b70e2a0b9"/>
    <ds:schemaRef ds:uri="daa80f42-9ae5-4835-be60-e49709dd5722"/>
  </ds:schemaRefs>
</ds:datastoreItem>
</file>

<file path=customXml/itemProps3.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8288</vt:i4>
      </vt:variant>
    </vt:vector>
  </HeadingPairs>
  <TitlesOfParts>
    <vt:vector size="8314"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Arkham</vt:lpstr>
      <vt:lpstr>Configure Workload Domain</vt:lpstr>
      <vt:lpstr>Deploy Cluster</vt:lpstr>
      <vt:lpstr>Change Control</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change_control_new</vt:lpstr>
      <vt:lpstr>change_control_old</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flt_auto_sr_ip</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flt_custom_network_auto_nodee_ip</vt:lpstr>
      <vt:lpstr>flt_custom_network_auto_nodef_ip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flt_fc_fqdn</vt:lpstr>
      <vt:lpstr>flt_fc_ip</vt:lpstr>
      <vt:lpstr>flt_ic_fqdn</vt:lpstr>
      <vt:lpstr>flt_ic_ip</vt:lpstr>
      <vt:lpstr>flt_lc_fqdn</vt:lpstr>
      <vt:lpstr>flt_lc_ip</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flt_sr_fqdn</vt:lpstr>
      <vt:lpstr>flt_sr_ip</vt:lpstr>
      <vt:lpstr>flt_vcfms_node_pool_end_ip</vt:lpstr>
      <vt:lpstr>flt_vcfms_node_pool_start_ip</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flt_vidb_pg</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flt_vidb_vip_fqdn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input_flt_auto_node_pool_end_ip</vt:lpstr>
      <vt:lpstr>input_flt_auto_node_pool_start_ip</vt:lpstr>
      <vt:lpstr>input_flt_auto_sr_fqdn</vt:lpstr>
      <vt:lpstr>input_flt_auto_sr_ip</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input_flt_custom_network_auto_nodee_ip</vt:lpstr>
      <vt:lpstr>input_flt_custom_network_auto_nodef_ip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input_flt_fc_fqdn</vt:lpstr>
      <vt:lpstr>input_flt_fc_ip</vt:lpstr>
      <vt:lpstr>input_flt_ic_fqdn</vt:lpstr>
      <vt:lpstr>input_flt_ic_ip</vt:lpstr>
      <vt:lpstr>input_flt_lc_fqdn</vt:lpstr>
      <vt:lpstr>input_flt_lc_ip</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input_flt_sr_fqdn</vt:lpstr>
      <vt:lpstr>input_flt_sr_ip</vt:lpstr>
      <vt:lpstr>input_flt_vcfms_node_pool_end_ip</vt:lpstr>
      <vt:lpstr>input_flt_vcfms_node_pool_start_ip</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input_flt_vidb_pg</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input_flt_vidb_vip_fqdn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input_mgmt_az1_en1_mgmt_ip</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input_mgmt_az1_en2_mgmt_ip</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input_wld_az1_en1_mgmt_ip</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input_wld_az1_en2_mgmt_ip</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input_xreg_vra_node_pool_end_ip</vt:lpstr>
      <vt:lpstr>input_xreg_vra_node_pool_start_ip</vt:lpstr>
      <vt:lpstr>input_xreg_vra_nodea_ip</vt:lpstr>
      <vt:lpstr>input_xreg_vra_nodeb_ip</vt:lpstr>
      <vt:lpstr>input_xreg_vra_nodec_ip</vt:lpstr>
      <vt:lpstr>input_xreg_vra_noded_ip</vt:lpstr>
      <vt:lpstr>input_xreg_vra_nodee_ip</vt:lpstr>
      <vt:lpstr>input_xreg_vra_nodef_ip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lag_load_balancing</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mgmt_nsxt_appliance_size_chosen</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mgmt_vcenter_appliance_size_chosen</vt:lpstr>
      <vt:lpstr>mgmt_vcf_installer_location_chosen</vt:lpstr>
      <vt:lpstr>mgmt_vcf_management_network_chosen</vt:lpstr>
      <vt:lpstr>mgmt_vcfops_appliance_size_chosen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sample_flt_auto_node_pool_end_ip</vt:lpstr>
      <vt:lpstr>sample_flt_auto_node_pool_start_ip</vt:lpstr>
      <vt:lpstr>sample_flt_auto_sr_fqdn</vt:lpstr>
      <vt:lpstr>sample_flt_auto_sr_ip</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sample_flt_custom_network_auto_nodee_ip</vt:lpstr>
      <vt:lpstr>sample_flt_custom_network_auto_nodef_ip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sample_flt_fc_fqdn</vt:lpstr>
      <vt:lpstr>sample_flt_fc_ip</vt:lpstr>
      <vt:lpstr>sample_flt_ic_fqdn</vt:lpstr>
      <vt:lpstr>sample_flt_ic_ip</vt:lpstr>
      <vt:lpstr>sample_flt_lc_fqdn</vt:lpstr>
      <vt:lpstr>sample_flt_lc_ip</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sample_flt_sr_fqdn</vt:lpstr>
      <vt:lpstr>sample_flt_sr_ip</vt:lpstr>
      <vt:lpstr>sample_flt_vcfms_node_pool_end_ip</vt:lpstr>
      <vt:lpstr>sample_flt_vcfms_node_pool_start_ip</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sample_flt_vidb_pg</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sample_flt_vidb_vip_fqdn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sample_mgmt_az1_en1_mgmt_ip</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sample_mgmt_az1_en2_mgmt_ip</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sample_wld_az1_en1_mgmt_ip</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sample_wld_az1_en2_mgmt_ip</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sample_xreg_vra_node_pool_end_ip</vt:lpstr>
      <vt:lpstr>sample_xreg_vra_node_pool_start_ip</vt:lpstr>
      <vt:lpstr>sample_xreg_vra_nodea_ip</vt:lpstr>
      <vt:lpstr>sample_xreg_vra_nodeb_ip</vt:lpstr>
      <vt:lpstr>sample_xreg_vra_nodec_ip</vt:lpstr>
      <vt:lpstr>sample_xreg_vra_noded_ip</vt:lpstr>
      <vt:lpstr>sample_xreg_vra_nodee_ip</vt:lpstr>
      <vt:lpstr>sample_xreg_vra_nodef_ip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sizing_m01_ssp_chosen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vcf_automation_nodee_ip</vt:lpstr>
      <vt:lpstr>vcf_automation_nodef_ip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xreg_seg01_mask</vt:lpstr>
      <vt:lpstr>xreg_vra_admin_password</vt:lpstr>
      <vt:lpstr>xreg_vra_k8s_cluster_cidr_chosen</vt:lpstr>
      <vt:lpstr>xreg_vra_node_pool_end_ip</vt:lpstr>
      <vt:lpstr>xreg_vra_node_pool_start_ip</vt:lpstr>
      <vt:lpstr>xreg_vra_nodea_ip</vt:lpstr>
      <vt:lpstr>xreg_vra_nodeb_ip</vt:lpstr>
      <vt:lpstr>xreg_vra_nodec_ip</vt:lpstr>
      <vt:lpstr>xreg_vra_noded_ip</vt:lpstr>
      <vt:lpstr>xreg_vra_nodee_ip</vt:lpstr>
      <vt:lpstr>xreg_vra_nodef_ip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Thomas Rodrigues</cp:lastModifiedBy>
  <cp:revision/>
  <dcterms:created xsi:type="dcterms:W3CDTF">2020-01-21T13:51:29Z</dcterms:created>
  <dcterms:modified xsi:type="dcterms:W3CDTF">2026-03-16T18:13:38Z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